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" sheetId="1" r:id="rId5"/>
    <sheet state="visible" name="Satisfacción 2025" sheetId="2" r:id="rId6"/>
    <sheet state="visible" name="Milva" sheetId="3" r:id="rId7"/>
    <sheet state="visible" name="Taller" sheetId="4" r:id="rId8"/>
    <sheet state="visible" name="Consultantes" sheetId="5" r:id="rId9"/>
    <sheet state="visible" name="% Anual" sheetId="6" r:id="rId10"/>
    <sheet state="visible" name="2026" sheetId="7" r:id="rId11"/>
    <sheet state="visible" name="2025" sheetId="8" r:id="rId12"/>
    <sheet state="visible" name="2024" sheetId="9" r:id="rId13"/>
    <sheet state="visible" name="2023" sheetId="10" r:id="rId14"/>
    <sheet state="visible" name="2022" sheetId="11" r:id="rId15"/>
    <sheet state="visible" name="Carmona" sheetId="12" r:id="rId16"/>
  </sheets>
  <definedNames>
    <definedName hidden="1" localSheetId="3" name="_xlnm._FilterDatabase">Taller!$A$2:$E$208</definedName>
    <definedName hidden="1" localSheetId="4" name="_xlnm._FilterDatabase">Consultantes!$G$1:$G$999</definedName>
    <definedName hidden="1" localSheetId="5" name="_xlnm._FilterDatabase">'% Anual'!$G$1:$AE$112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tc={05cc4533-7c78-4f1d-8f4b-8a92d495338c}</author>
    <author>tc={203930e8-565c-4369-a79a-23b6251712b2}</author>
    <author>tc={2d92b4b1-d329-464b-812d-4c28a63075c0}</author>
    <author>tc={4a72f8cf-a6f3-421a-a336-9542954a3747}</author>
    <author>tc={57aaed30-db8b-4409-a077-8382c6032223}</author>
    <author>tc={5f4f7115-edf8-48e8-b146-4d481d1b1c04}</author>
    <author>tc={86ba4669-ae6c-40ec-9d7b-b178702fd493}</author>
    <author>tc={8a6ca596-8729-4286-b973-c63f6e1fed85}</author>
    <author>tc={9f0a47e2-311f-429d-86b5-778b0cbe053f}</author>
    <author>tc={aa8f4bcc-069d-4f43-a630-937d5fea61e5}</author>
    <author>tc={c28da913-fcb1-4a0d-8503-035313c47a6e}</author>
    <author>tc={d2edb348-eb3d-46cf-aff7-034597a95abf}</author>
    <author>tc={df4eb141-6285-4d65-8b03-17461e6aa343}</author>
  </authors>
  <commentList>
    <comment authorId="0" xr:uid="{05cc4533-7c78-4f1d-8f4b-8a92d495338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proponer turno de las 8
</t>
      </text>
    </comment>
    <comment authorId="1" xr:uid="{203930e8-565c-4369-a79a-23b6251712b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Ella solicita agendamientos
</t>
      </text>
    </comment>
    <comment authorId="2" xr:uid="{2d92b4b1-d329-464b-812d-4c28a63075c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Menor de edad
Mamá: Cristhi Santos
</t>
      </text>
    </comment>
    <comment authorId="3" xr:uid="{4a72f8cf-a6f3-421a-a336-9542954a37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padres
</t>
      </text>
    </comment>
    <comment authorId="4" xr:uid="{57aaed30-db8b-4409-a077-8382c60322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 disponibiidad
</t>
      </text>
    </comment>
    <comment authorId="5" xr:uid="{5f4f7115-edf8-48e8-b146-4d481d1b1c0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Menor de edad. Padres:
Sol Gill
Ale Sarubbi
</t>
      </text>
    </comment>
    <comment authorId="6" xr:uid="{86ba4669-ae6c-40ec-9d7b-b178702fd49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Menor de edad
</t>
      </text>
    </comment>
    <comment authorId="7" xr:uid="{8a6ca596-8729-4286-b973-c63f6e1fed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adolescente/adulto
carmona/jean
</t>
      </text>
    </comment>
    <comment authorId="8" xr:uid="{9f0a47e2-311f-429d-86b5-778b0cbe05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de espera: Samara sin una de ellas no confirma. Si no se libera, avisarme
</t>
      </text>
    </comment>
    <comment authorId="9" xr:uid="{aa8f4bcc-069d-4f43-a630-937d5fea61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Ubicar en un lugar fijo SEMANAL
</t>
      </text>
    </comment>
    <comment authorId="10" xr:uid="{c28da913-fcb1-4a0d-8503-035313c47a6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proponer turno de las 8
</t>
      </text>
    </comment>
    <comment authorId="11" xr:uid="{d2edb348-eb3d-46cf-aff7-034597a95ab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Primera consulta
</t>
      </text>
    </comment>
    <comment authorId="12" xr:uid="{df4eb141-6285-4d65-8b03-17461e6aa34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Menor de edad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tc={44535b96-9477-437e-8787-d2c6249ecc56}</author>
    <author>tc={5727ca80-e3b0-4f51-bf07-6b01a1ca2939}</author>
    <author>tc={b5a64f27-2f13-4aac-8890-4f045a290b38}</author>
  </authors>
  <commentList>
    <comment authorId="0" xr:uid="{44535b96-9477-437e-8787-d2c6249ecc56}" ref="H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anterior 05/02/2024
</t>
      </text>
    </comment>
    <comment authorId="1" xr:uid="{5727ca80-e3b0-4f51-bf07-6b01a1ca2939}" ref="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anterior 9/7/24
</t>
      </text>
    </comment>
    <comment authorId="2" xr:uid="{b5a64f27-2f13-4aac-8890-4f045a290b38}" ref="H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anterior 18/12/23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tc={0d3a6c92-54c8-4d05-9a29-bb8ab787f9eb}</author>
    <author>tc={db480518-b2c4-4e5f-8666-eaf31d38efbf}</author>
  </authors>
  <commentList>
    <comment authorId="0" xr:uid="{0d3a6c92-54c8-4d05-9a29-bb8ab787f9eb}" ref="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aca
</t>
      </text>
    </comment>
    <comment authorId="1" xr:uid="{db480518-b2c4-4e5f-8666-eaf31d38efbf}" ref="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tc={d125a1a2-a452-4275-a493-bac173266777}</author>
  </authors>
  <commentList>
    <comment authorId="0" xr:uid="{d125a1a2-a452-4275-a493-bac173266777}" ref="M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factura incluida en noviembre
</t>
      </text>
    </comment>
  </commentList>
</comments>
</file>

<file path=xl/sharedStrings.xml><?xml version="1.0" encoding="utf-8"?>
<sst xmlns="http://schemas.openxmlformats.org/spreadsheetml/2006/main" count="16349" uniqueCount="1918">
  <si>
    <t>8hs</t>
  </si>
  <si>
    <t>Ladis Dentice</t>
  </si>
  <si>
    <t>Milagros Arevalos</t>
  </si>
  <si>
    <t>Jazmin Gomez</t>
  </si>
  <si>
    <t>AGENDA GENERAL</t>
  </si>
  <si>
    <t>9hs</t>
  </si>
  <si>
    <t>Facundo Alvarez</t>
  </si>
  <si>
    <t>Fer Silva VIR</t>
  </si>
  <si>
    <t xml:space="preserve">Sebastián Ruiz Díaz </t>
  </si>
  <si>
    <t>Martes</t>
  </si>
  <si>
    <t>Miercoles</t>
  </si>
  <si>
    <t>Jueves</t>
  </si>
  <si>
    <t>viernes</t>
  </si>
  <si>
    <t>10hs</t>
  </si>
  <si>
    <t>Paloma Codas VIR</t>
  </si>
  <si>
    <t>Ana Fariña VIR</t>
  </si>
  <si>
    <t>Renato Caroni</t>
  </si>
  <si>
    <t>Naoto Goto</t>
  </si>
  <si>
    <t>QUINCENAL</t>
  </si>
  <si>
    <t>11hs</t>
  </si>
  <si>
    <t>Mathias Franco</t>
  </si>
  <si>
    <t>Sandra Oviedo VIR</t>
  </si>
  <si>
    <t>Marcos Riveros</t>
  </si>
  <si>
    <t>Osvaldo Delvalle</t>
  </si>
  <si>
    <t>Carlos/JAckie</t>
  </si>
  <si>
    <t>Victor Hugo Almada*</t>
  </si>
  <si>
    <t>SEMANAL</t>
  </si>
  <si>
    <t>12hs</t>
  </si>
  <si>
    <t>Sebas Ruiz Diaz</t>
  </si>
  <si>
    <t>Luis Moreno VIR</t>
  </si>
  <si>
    <t>Benjamin Galeano</t>
  </si>
  <si>
    <t>Alejandra Tanassio</t>
  </si>
  <si>
    <t>MENSUAL</t>
  </si>
  <si>
    <t>13hs</t>
  </si>
  <si>
    <t>Enrique Ferreira VIR</t>
  </si>
  <si>
    <t>Marcos Cardozo</t>
  </si>
  <si>
    <t>Adolfo Mendieta VIR</t>
  </si>
  <si>
    <t>Vicky Fariña</t>
  </si>
  <si>
    <t>Yesica Ojeda*</t>
  </si>
  <si>
    <t>14hs</t>
  </si>
  <si>
    <t>Audrey Galeano</t>
  </si>
  <si>
    <t xml:space="preserve">Natalia Tellez </t>
  </si>
  <si>
    <t>12 hs</t>
  </si>
  <si>
    <t>Elias Melgarejo*</t>
  </si>
  <si>
    <t>Inconstantes</t>
  </si>
  <si>
    <t>15hs</t>
  </si>
  <si>
    <t>Matías Gallagher</t>
  </si>
  <si>
    <t>Aileen Sarubbi 15:15</t>
  </si>
  <si>
    <t>Víctor Domínguez</t>
  </si>
  <si>
    <t xml:space="preserve">Carmen Mendoza </t>
  </si>
  <si>
    <t>13 hs</t>
  </si>
  <si>
    <t>Belen Quiñonez</t>
  </si>
  <si>
    <t>Vio Codas</t>
  </si>
  <si>
    <t>Carlos Orihuela</t>
  </si>
  <si>
    <t>16hs</t>
  </si>
  <si>
    <t>Adri Zacarias</t>
  </si>
  <si>
    <t>Ana Lucía Echauri 16:00 VIR</t>
  </si>
  <si>
    <t>Jime Flores</t>
  </si>
  <si>
    <t>Vero Valinotti</t>
  </si>
  <si>
    <t>Rena Caroni</t>
  </si>
  <si>
    <t xml:space="preserve">17:30hs </t>
  </si>
  <si>
    <t>Maximiliano Colman 17:00</t>
  </si>
  <si>
    <t>Adriana Quintana VIR</t>
  </si>
  <si>
    <t>Soledad Vazquez VIR 17:30</t>
  </si>
  <si>
    <t>17:30hs</t>
  </si>
  <si>
    <t>Fede Centurión</t>
  </si>
  <si>
    <t>Benja Colmán</t>
  </si>
  <si>
    <t>Carlos Salinas VIR</t>
  </si>
  <si>
    <t>Sol Valdez</t>
  </si>
  <si>
    <t>Fede Centurion</t>
  </si>
  <si>
    <t>Camila Ortiz</t>
  </si>
  <si>
    <t>18:30hs</t>
  </si>
  <si>
    <t>Ezequiel Ramirez 18:00</t>
  </si>
  <si>
    <t xml:space="preserve">Francisco Echauri </t>
  </si>
  <si>
    <t>Natasha Iashombeck 18:30</t>
  </si>
  <si>
    <t>Lorena Balbuena</t>
  </si>
  <si>
    <t>Maximiliano Colman</t>
  </si>
  <si>
    <t xml:space="preserve">Adriana Zacarias* </t>
  </si>
  <si>
    <t>Myrian Uchiyamada</t>
  </si>
  <si>
    <t>lourdes martinez</t>
  </si>
  <si>
    <t>19:30hs</t>
  </si>
  <si>
    <t>Fiorella Sosa 19:00</t>
  </si>
  <si>
    <t>Javier Caceres VIR</t>
  </si>
  <si>
    <t>Hugo Carreras 19:30</t>
  </si>
  <si>
    <t>Daisy Garcia VIR 19:30</t>
  </si>
  <si>
    <t>Lucci Speciale</t>
  </si>
  <si>
    <t>Kiara Yambay* 17 hs</t>
  </si>
  <si>
    <t>Marlene Caballero</t>
  </si>
  <si>
    <t>Eilkyn Rubiños</t>
  </si>
  <si>
    <t>Jimena Leguizamon/Paloma Calles</t>
  </si>
  <si>
    <t>Araceli Riveros</t>
  </si>
  <si>
    <t>Paloma Codas</t>
  </si>
  <si>
    <t>Chirley Stumpfs*</t>
  </si>
  <si>
    <t>Karina Benitez</t>
  </si>
  <si>
    <t>Leticia Cabañas</t>
  </si>
  <si>
    <t>20:30hs</t>
  </si>
  <si>
    <t>Samara Sosa</t>
  </si>
  <si>
    <t>escribir a almendra droutreleau</t>
  </si>
  <si>
    <t xml:space="preserve">Araceli Riveros </t>
  </si>
  <si>
    <t>Benja Colman</t>
  </si>
  <si>
    <t>Natasha Iaschombeck VIR</t>
  </si>
  <si>
    <t>Fran Hermosilla</t>
  </si>
  <si>
    <t>viernes 17</t>
  </si>
  <si>
    <t>Activos</t>
  </si>
  <si>
    <t>Entre 3 a 5 consultas</t>
  </si>
  <si>
    <t>Observación</t>
  </si>
  <si>
    <t>Entre 6 a 10</t>
  </si>
  <si>
    <t>Entre 11 y 20</t>
  </si>
  <si>
    <t>mas de 20</t>
  </si>
  <si>
    <t>Actualizar costo a partir de diciembre: 220</t>
  </si>
  <si>
    <t>Alejandro Miranda (AD)</t>
  </si>
  <si>
    <t>No respondió</t>
  </si>
  <si>
    <t>Adriana Zacarías</t>
  </si>
  <si>
    <t>Ara Riveros</t>
  </si>
  <si>
    <t>Va a completar</t>
  </si>
  <si>
    <t>vero valinotti</t>
  </si>
  <si>
    <t>Almendra Doutrelou</t>
  </si>
  <si>
    <t>Alejandra Tanasio</t>
  </si>
  <si>
    <t>Kiara Yambay</t>
  </si>
  <si>
    <t>Completado</t>
  </si>
  <si>
    <t>Eilyn Rubiños</t>
  </si>
  <si>
    <t>Eilyn</t>
  </si>
  <si>
    <t>Cristhian Cubas</t>
  </si>
  <si>
    <t>Andrea Oviedo</t>
  </si>
  <si>
    <t>Cami Ortiz</t>
  </si>
  <si>
    <t>Fabiana Florentín</t>
  </si>
  <si>
    <t>Aileen Sarubbi</t>
  </si>
  <si>
    <t>Actualizar costo a partir de enero 2026: 250</t>
  </si>
  <si>
    <t>Fiorella Sosa</t>
  </si>
  <si>
    <t>Hugo Delagracia</t>
  </si>
  <si>
    <t>Veronica Valinotti</t>
  </si>
  <si>
    <t>- Tanasio</t>
  </si>
  <si>
    <t>Fanny Ayala</t>
  </si>
  <si>
    <t>Jackeline Paiva</t>
  </si>
  <si>
    <t>Violeta Maciel</t>
  </si>
  <si>
    <t>- Orihuela</t>
  </si>
  <si>
    <t>Gio Bibolini</t>
  </si>
  <si>
    <t>Juan Ramirez</t>
  </si>
  <si>
    <t>- Fio Sosa</t>
  </si>
  <si>
    <t>Juan Hermosilla</t>
  </si>
  <si>
    <t>Leslie Ferreira</t>
  </si>
  <si>
    <t>Violeta Codas</t>
  </si>
  <si>
    <t>- Juan Ramirez</t>
  </si>
  <si>
    <t>Lourdes Martinez</t>
  </si>
  <si>
    <t>- Mathias Franco</t>
  </si>
  <si>
    <t>Guido Corbalan</t>
  </si>
  <si>
    <t>- Ara Riveros</t>
  </si>
  <si>
    <t>Thiago Grosselle (AD)</t>
  </si>
  <si>
    <t>Seba Ruiz Diaz</t>
  </si>
  <si>
    <t>- Rena Caroni</t>
  </si>
  <si>
    <t>Jose Gauto</t>
  </si>
  <si>
    <t>Carlos Salinas</t>
  </si>
  <si>
    <t>- Samara Sosa</t>
  </si>
  <si>
    <t>Adriana Quintana</t>
  </si>
  <si>
    <t>- Sol Valdez</t>
  </si>
  <si>
    <t>Carlos Zapatinni</t>
  </si>
  <si>
    <t>- Vio Codas</t>
  </si>
  <si>
    <t>Sandra Oviedo</t>
  </si>
  <si>
    <t>- Vio Maciel</t>
  </si>
  <si>
    <t>Juan Alonso</t>
  </si>
  <si>
    <t>Victor Almada</t>
  </si>
  <si>
    <t>Victor Dominguez</t>
  </si>
  <si>
    <t>Inactivos</t>
  </si>
  <si>
    <t>Alejandra Cabrera</t>
  </si>
  <si>
    <t>Nathalia Tellez</t>
  </si>
  <si>
    <t>Eduardo Samaniego</t>
  </si>
  <si>
    <t>Alba Ostertag</t>
  </si>
  <si>
    <t>Luis Flores</t>
  </si>
  <si>
    <t>Felix Barreto</t>
  </si>
  <si>
    <t>Fernanda Talavera</t>
  </si>
  <si>
    <t>Camila Arias</t>
  </si>
  <si>
    <t>Jime Leguizamon</t>
  </si>
  <si>
    <t>Cecilia Arrua</t>
  </si>
  <si>
    <t>Jorge Armoa</t>
  </si>
  <si>
    <t>Paloma Calles</t>
  </si>
  <si>
    <t>Chirley Stumpfs</t>
  </si>
  <si>
    <t>Jorge Pavon</t>
  </si>
  <si>
    <t>Fatima Cabañas</t>
  </si>
  <si>
    <t>Catherine Caceres</t>
  </si>
  <si>
    <t>Patricia Rodriguez</t>
  </si>
  <si>
    <t>Fernando Vazquez</t>
  </si>
  <si>
    <t>Marle Caballero</t>
  </si>
  <si>
    <t>Sofia Borja</t>
  </si>
  <si>
    <t>Jazmin Perez</t>
  </si>
  <si>
    <t>Tania Nuñez</t>
  </si>
  <si>
    <t>Jorge Amarilla (padre)</t>
  </si>
  <si>
    <t>Naomi Ibarra</t>
  </si>
  <si>
    <t>Maria Silva</t>
  </si>
  <si>
    <t>Lucia Diarte</t>
  </si>
  <si>
    <t>Nathasha Iaschombek</t>
  </si>
  <si>
    <t>Milagros Papaseit</t>
  </si>
  <si>
    <t>Pastor Rojas</t>
  </si>
  <si>
    <t>Walter Ovelar</t>
  </si>
  <si>
    <t>Sofia Arrua</t>
  </si>
  <si>
    <t>Tania Manzur</t>
  </si>
  <si>
    <t>Vero Filozola</t>
  </si>
  <si>
    <t>Victoria Fariña</t>
  </si>
  <si>
    <t>Yesica Ojera</t>
  </si>
  <si>
    <t>Alta</t>
  </si>
  <si>
    <t>Elias Melgarejo</t>
  </si>
  <si>
    <t>Fabiola Martinez</t>
  </si>
  <si>
    <t>Alfonso Burró</t>
  </si>
  <si>
    <t>Graciela Lopez VIR</t>
  </si>
  <si>
    <t>1,2,3 TALLER DE EMOCIONES</t>
  </si>
  <si>
    <t>Nº</t>
  </si>
  <si>
    <t>ALUMNO</t>
  </si>
  <si>
    <t>CONTACTO</t>
  </si>
  <si>
    <t>CONSULTANTE</t>
  </si>
  <si>
    <t>RETORNO</t>
  </si>
  <si>
    <t>INSCRIPCION</t>
  </si>
  <si>
    <t>luz</t>
  </si>
  <si>
    <t>No Consultante</t>
  </si>
  <si>
    <t>material enviado</t>
  </si>
  <si>
    <t xml:space="preserve">Nathalia </t>
  </si>
  <si>
    <t>Santiago Toledo</t>
  </si>
  <si>
    <t>Debora Nair</t>
  </si>
  <si>
    <t>sussy riveros</t>
  </si>
  <si>
    <t xml:space="preserve">Eilyn Rubiños </t>
  </si>
  <si>
    <t>Activo</t>
  </si>
  <si>
    <t>Paz Bustamante</t>
  </si>
  <si>
    <t>INSCRIPTA</t>
  </si>
  <si>
    <t xml:space="preserve">Ariel </t>
  </si>
  <si>
    <t>Yonny</t>
  </si>
  <si>
    <t xml:space="preserve">Asucena </t>
  </si>
  <si>
    <t xml:space="preserve">Violeta Cavallaro </t>
  </si>
  <si>
    <t xml:space="preserve">Belen Romero </t>
  </si>
  <si>
    <t xml:space="preserve">Lucia Diarte </t>
  </si>
  <si>
    <t>Inactivo</t>
  </si>
  <si>
    <t xml:space="preserve">Angel Aranda </t>
  </si>
  <si>
    <t>Nicolas Zapata</t>
  </si>
  <si>
    <t>984 690009</t>
  </si>
  <si>
    <t>Adriana Viera</t>
  </si>
  <si>
    <t>Aaron Brunstein</t>
  </si>
  <si>
    <t>no respondio</t>
  </si>
  <si>
    <t>Eduardo Rojas</t>
  </si>
  <si>
    <t>Alan gonzalez</t>
  </si>
  <si>
    <t>992 930090</t>
  </si>
  <si>
    <t>Alejandra Acosta</t>
  </si>
  <si>
    <t>Belen Valinotti</t>
  </si>
  <si>
    <t>981 213529</t>
  </si>
  <si>
    <t>984 218683</t>
  </si>
  <si>
    <t>972 193387</t>
  </si>
  <si>
    <t>Arami Villalba</t>
  </si>
  <si>
    <t>Araceli Da Costa</t>
  </si>
  <si>
    <t>Anfhersson Gavilan</t>
  </si>
  <si>
    <t>Andrea Flecha</t>
  </si>
  <si>
    <t>Jorge Amarilla</t>
  </si>
  <si>
    <t>983 551721</t>
  </si>
  <si>
    <t>Amilcar Amarilla</t>
  </si>
  <si>
    <t>982 780759</t>
  </si>
  <si>
    <t>Alfonso Burro</t>
  </si>
  <si>
    <t>Berni Marecos</t>
  </si>
  <si>
    <t>981 496563</t>
  </si>
  <si>
    <t>Bruno PErrota</t>
  </si>
  <si>
    <t>971 250988</t>
  </si>
  <si>
    <t>Camila Adorno</t>
  </si>
  <si>
    <t>994 281152</t>
  </si>
  <si>
    <t>Cami Gonzalez</t>
  </si>
  <si>
    <t>994 838722</t>
  </si>
  <si>
    <t>Cecilia Bareiro</t>
  </si>
  <si>
    <t>984 236394</t>
  </si>
  <si>
    <t>Ceci Riveros</t>
  </si>
  <si>
    <t>972 445413</t>
  </si>
  <si>
    <t>Clarissa Hermosilla</t>
  </si>
  <si>
    <t>981 451671</t>
  </si>
  <si>
    <t>972 738608</t>
  </si>
  <si>
    <t>Cielo Paredes</t>
  </si>
  <si>
    <t>Elam Hermosilla</t>
  </si>
  <si>
    <t>Enrique Mendoza</t>
  </si>
  <si>
    <t>981 157915</t>
  </si>
  <si>
    <t>Enrique Barua</t>
  </si>
  <si>
    <t>961 932076</t>
  </si>
  <si>
    <t>981 963550</t>
  </si>
  <si>
    <t>Eunice Cardozo</t>
  </si>
  <si>
    <t>983 107710</t>
  </si>
  <si>
    <t>Fatima Ortiz</t>
  </si>
  <si>
    <t>982 414812</t>
  </si>
  <si>
    <t>Estefania Saccarello</t>
  </si>
  <si>
    <t>971 233933</t>
  </si>
  <si>
    <t>Ferdi Gimenez</t>
  </si>
  <si>
    <t>973 512858</t>
  </si>
  <si>
    <t>Fernando Cabello</t>
  </si>
  <si>
    <t>971 349734</t>
  </si>
  <si>
    <t>Ghandy Gautier</t>
  </si>
  <si>
    <t>992 245072</t>
  </si>
  <si>
    <t>Flor Gonzalez</t>
  </si>
  <si>
    <t>981 727260</t>
  </si>
  <si>
    <t>Giovanni Bibolini</t>
  </si>
  <si>
    <t>982 655944</t>
  </si>
  <si>
    <t>Guillermo Lopez</t>
  </si>
  <si>
    <t>984 764617</t>
  </si>
  <si>
    <t>Gissel Segovia</t>
  </si>
  <si>
    <t>Guillermo Sarubbi</t>
  </si>
  <si>
    <t>Hernan Diaz</t>
  </si>
  <si>
    <t>Hugo Lopez</t>
  </si>
  <si>
    <t>Isaac PEralta</t>
  </si>
  <si>
    <t>Ivonne Ortiz</t>
  </si>
  <si>
    <t>Jacqueline PAiva</t>
  </si>
  <si>
    <t>JAvier Nuñez</t>
  </si>
  <si>
    <t>Jazmin Franco</t>
  </si>
  <si>
    <t>JAzmin Coronel</t>
  </si>
  <si>
    <t>Jimena Ortiz</t>
  </si>
  <si>
    <t>Johanna Rodas</t>
  </si>
  <si>
    <t>Jimena Cabral</t>
  </si>
  <si>
    <t>Joaquin Llano</t>
  </si>
  <si>
    <t>Johanna Carreras</t>
  </si>
  <si>
    <t>Jorge Benitez</t>
  </si>
  <si>
    <t>Julieta Molinas</t>
  </si>
  <si>
    <t>KArina Bogado</t>
  </si>
  <si>
    <t>Lorena Talavera</t>
  </si>
  <si>
    <t>Luana Locatti</t>
  </si>
  <si>
    <t>Luis Elizeche</t>
  </si>
  <si>
    <t>Lucas Zaracho</t>
  </si>
  <si>
    <t>Luz Ortigoza</t>
  </si>
  <si>
    <t>Lujan riquelme</t>
  </si>
  <si>
    <t>MAida LEguizamon</t>
  </si>
  <si>
    <t>Maria del Carmen Alvarez</t>
  </si>
  <si>
    <t>MAriela Bareiro</t>
  </si>
  <si>
    <t>MAriela Manchini</t>
  </si>
  <si>
    <t>Marimar Lopez</t>
  </si>
  <si>
    <t>MArio Jara</t>
  </si>
  <si>
    <t>Mario Feltes</t>
  </si>
  <si>
    <t>Mario Santander</t>
  </si>
  <si>
    <t>Mauricio Britez</t>
  </si>
  <si>
    <t>MAriela PEreira</t>
  </si>
  <si>
    <t>Maybelline Filippini</t>
  </si>
  <si>
    <t>MArtin Levit</t>
  </si>
  <si>
    <t>Melanie Ramirez</t>
  </si>
  <si>
    <t>Mirtha Palacios</t>
  </si>
  <si>
    <t>Melquiades Alonso</t>
  </si>
  <si>
    <t>Nahiara Trinidad</t>
  </si>
  <si>
    <t>Natalia Tellez</t>
  </si>
  <si>
    <t>Natalia Trinidad</t>
  </si>
  <si>
    <t>Natasha Iaschombeck</t>
  </si>
  <si>
    <t>Nico Gonzalez</t>
  </si>
  <si>
    <t>Noelia Hermosilla</t>
  </si>
  <si>
    <t>nilda Ramirez</t>
  </si>
  <si>
    <t>Nicole ORtiz</t>
  </si>
  <si>
    <t>PAtricia Rodriguez</t>
  </si>
  <si>
    <t>PAstor Rojas</t>
  </si>
  <si>
    <t>Omar Franco</t>
  </si>
  <si>
    <t>OSvaldo Palacios</t>
  </si>
  <si>
    <t>PAtricia Cabañas</t>
  </si>
  <si>
    <t>PErla Centurion</t>
  </si>
  <si>
    <t>Rossana MArtinez</t>
  </si>
  <si>
    <t>Ricardo Flores</t>
  </si>
  <si>
    <t>Richard Falcon</t>
  </si>
  <si>
    <t>Rossana Portillo</t>
  </si>
  <si>
    <t>Sara Domecq</t>
  </si>
  <si>
    <t>Sabrina Caballero</t>
  </si>
  <si>
    <t>Sebastian Ruiz Diaz</t>
  </si>
  <si>
    <t>Shirley Vega</t>
  </si>
  <si>
    <t>Silvana Modica</t>
  </si>
  <si>
    <t>Sofia del Puerto</t>
  </si>
  <si>
    <t>Stefania Lopez</t>
  </si>
  <si>
    <t>Sol Caballero</t>
  </si>
  <si>
    <t>Veronica Filizzola</t>
  </si>
  <si>
    <t>Yanina Segovia</t>
  </si>
  <si>
    <t>Ythuriel Gonzalez</t>
  </si>
  <si>
    <t>Thiago Zarza</t>
  </si>
  <si>
    <t>KArina Benitez</t>
  </si>
  <si>
    <t>Luz Aranda</t>
  </si>
  <si>
    <t>Damaris Saucedo</t>
  </si>
  <si>
    <t>Ivan Bejarano</t>
  </si>
  <si>
    <t>Leisy Zorrilla</t>
  </si>
  <si>
    <t>Lujan Cardona</t>
  </si>
  <si>
    <t>Fernando Zaldivar</t>
  </si>
  <si>
    <t>Helga Lutz</t>
  </si>
  <si>
    <t>Angela Orrego</t>
  </si>
  <si>
    <t>0982 757 381</t>
  </si>
  <si>
    <t xml:space="preserve">Monse </t>
  </si>
  <si>
    <t>0976 983 483</t>
  </si>
  <si>
    <t>marty guerreño</t>
  </si>
  <si>
    <t>0981 757 367</t>
  </si>
  <si>
    <t>Julia Gonzalez</t>
  </si>
  <si>
    <t>0982 529 040</t>
  </si>
  <si>
    <t>Montserrat</t>
  </si>
  <si>
    <t>0992 576 867</t>
  </si>
  <si>
    <t>Dio  Figueredo</t>
  </si>
  <si>
    <t>0986 473 623</t>
  </si>
  <si>
    <t>clau ortiz</t>
  </si>
  <si>
    <t>0984 860 826</t>
  </si>
  <si>
    <t xml:space="preserve">mica </t>
  </si>
  <si>
    <t>0984 098 155</t>
  </si>
  <si>
    <t>mara roa</t>
  </si>
  <si>
    <t>595 9871 291 52</t>
  </si>
  <si>
    <t xml:space="preserve">Gabi </t>
  </si>
  <si>
    <t>0984 048 374</t>
  </si>
  <si>
    <t>andrea Gonzalez</t>
  </si>
  <si>
    <t>0972 218 560</t>
  </si>
  <si>
    <t>Lujan Acosta</t>
  </si>
  <si>
    <t>0971 683 053</t>
  </si>
  <si>
    <t>Mimi Basualdo</t>
  </si>
  <si>
    <t>0984 100 998</t>
  </si>
  <si>
    <t>la negra</t>
  </si>
  <si>
    <t>0983 291 777</t>
  </si>
  <si>
    <t>dahi</t>
  </si>
  <si>
    <t>Avi Garcete</t>
  </si>
  <si>
    <t xml:space="preserve">avril </t>
  </si>
  <si>
    <t>mensaje enviado</t>
  </si>
  <si>
    <t>lili</t>
  </si>
  <si>
    <t>bania</t>
  </si>
  <si>
    <t>lucia aliendre</t>
  </si>
  <si>
    <t>grace</t>
  </si>
  <si>
    <t>amanda machuca</t>
  </si>
  <si>
    <t>Alexandra</t>
  </si>
  <si>
    <t>joha</t>
  </si>
  <si>
    <t>mel mendieta</t>
  </si>
  <si>
    <t>Merci</t>
  </si>
  <si>
    <t>Vero</t>
  </si>
  <si>
    <t>Belen guayan</t>
  </si>
  <si>
    <t>thiara</t>
  </si>
  <si>
    <t xml:space="preserve">0984 723 522 </t>
  </si>
  <si>
    <t>Nina</t>
  </si>
  <si>
    <t>Andrea Báez</t>
  </si>
  <si>
    <t>Noelia</t>
  </si>
  <si>
    <t>Andy Quintana</t>
  </si>
  <si>
    <t>Ariel torres</t>
  </si>
  <si>
    <t>Alicia</t>
  </si>
  <si>
    <t>Juli</t>
  </si>
  <si>
    <t>alma</t>
  </si>
  <si>
    <t xml:space="preserve"> majo</t>
  </si>
  <si>
    <t>Sandra Gimenez</t>
  </si>
  <si>
    <t>Ana Belen Escobar</t>
  </si>
  <si>
    <t>Andrea Escobar</t>
  </si>
  <si>
    <t>Clau</t>
  </si>
  <si>
    <t>proximo taller</t>
  </si>
  <si>
    <t>Nombre y Apellido</t>
  </si>
  <si>
    <t>Horario</t>
  </si>
  <si>
    <t>Contacto</t>
  </si>
  <si>
    <t>Factura</t>
  </si>
  <si>
    <t>Edad</t>
  </si>
  <si>
    <t>Periodicidad</t>
  </si>
  <si>
    <t>Terapeuta</t>
  </si>
  <si>
    <t xml:space="preserve"> Eduardo Rojas</t>
  </si>
  <si>
    <t>-</t>
  </si>
  <si>
    <t>Jean Clemotte</t>
  </si>
  <si>
    <t>si</t>
  </si>
  <si>
    <t>Adulto</t>
  </si>
  <si>
    <t>martes 17:30</t>
  </si>
  <si>
    <t>Guillermo Sarubbi 3015730-7</t>
  </si>
  <si>
    <t>Semanal</t>
  </si>
  <si>
    <t>Alan González</t>
  </si>
  <si>
    <t>Alejandra Acosta 3363767-9</t>
  </si>
  <si>
    <t>Silvio Cabrera 1547118-7</t>
  </si>
  <si>
    <t>Jueves 11:00</t>
  </si>
  <si>
    <t>José Antonio Basso 50019057-7</t>
  </si>
  <si>
    <t>Quincenal</t>
  </si>
  <si>
    <t>Amilcar Amarilla*</t>
  </si>
  <si>
    <t>Adolescente</t>
  </si>
  <si>
    <t>Andhersson Gavilán</t>
  </si>
  <si>
    <t>José Carmona</t>
  </si>
  <si>
    <t>Angel Zelaya</t>
  </si>
  <si>
    <t>Javier Da Costa 2265355-4</t>
  </si>
  <si>
    <t>Arami Villalba*</t>
  </si>
  <si>
    <t>Edgar Villalba 709108-7</t>
  </si>
  <si>
    <t>lunes 17:00</t>
  </si>
  <si>
    <t>María Luisa Mora 1876067-8</t>
  </si>
  <si>
    <t>martes 18:30</t>
  </si>
  <si>
    <t>Sebastián Ruiz Díaz 4202050-6</t>
  </si>
  <si>
    <t>Belen Samaniego</t>
  </si>
  <si>
    <t>984 292009</t>
  </si>
  <si>
    <t>Hector candia 3645872-4</t>
  </si>
  <si>
    <t>no</t>
  </si>
  <si>
    <t>Bruno Perrota</t>
  </si>
  <si>
    <t>Camila González</t>
  </si>
  <si>
    <t>982 710712</t>
  </si>
  <si>
    <t>Yvonne Correa 3229561-3</t>
  </si>
  <si>
    <t>Cecilia Riveros</t>
  </si>
  <si>
    <t>Cielo Paredes*</t>
  </si>
  <si>
    <t>Cielo Paredes 3406294-7</t>
  </si>
  <si>
    <t>Clarisa Hermosilla</t>
  </si>
  <si>
    <t>David Salinas</t>
  </si>
  <si>
    <t>jueves 17:30</t>
  </si>
  <si>
    <t>994 866626</t>
  </si>
  <si>
    <t xml:space="preserve">David Salinas </t>
  </si>
  <si>
    <t>994 866626</t>
  </si>
  <si>
    <t>pendiente</t>
  </si>
  <si>
    <t>4283920-3 Alejandra Samaniego</t>
  </si>
  <si>
    <t>martes 19:30</t>
  </si>
  <si>
    <t>981 399264</t>
  </si>
  <si>
    <t>Eilyn Rubiños 4176232-0</t>
  </si>
  <si>
    <t>Elam Hermosilla 3394599-3</t>
  </si>
  <si>
    <t xml:space="preserve">Francisco Melgarejo 1050968-2 </t>
  </si>
  <si>
    <t>Enrique Barúa</t>
  </si>
  <si>
    <t>martes 16:00</t>
  </si>
  <si>
    <t>Ruben Mendoza 1246848-7</t>
  </si>
  <si>
    <t>Esteban Ortega</t>
  </si>
  <si>
    <t>jueves 18:00</t>
  </si>
  <si>
    <t>981 608299</t>
  </si>
  <si>
    <t>Lidia Hoppe 391838-6</t>
  </si>
  <si>
    <t>Estefanía Saccarello</t>
  </si>
  <si>
    <t>3976274-2 Estefanía Saccarello</t>
  </si>
  <si>
    <t xml:space="preserve">Eunice Cardozo </t>
  </si>
  <si>
    <t xml:space="preserve">Ferdi Giménez </t>
  </si>
  <si>
    <t>Fernanda Talavera*</t>
  </si>
  <si>
    <t>juves 9:00</t>
  </si>
  <si>
    <t>991 740702</t>
  </si>
  <si>
    <t xml:space="preserve">Fernando Cabello </t>
  </si>
  <si>
    <t xml:space="preserve">Flor González </t>
  </si>
  <si>
    <t>Ghandy Gautier 8575031-0</t>
  </si>
  <si>
    <t>jueves 16:00</t>
  </si>
  <si>
    <t>986 536887</t>
  </si>
  <si>
    <t>981 526416</t>
  </si>
  <si>
    <t>Gustavo Torres</t>
  </si>
  <si>
    <t>983 657606</t>
  </si>
  <si>
    <t>981 409216</t>
  </si>
  <si>
    <t>982 551274</t>
  </si>
  <si>
    <t>982 391128</t>
  </si>
  <si>
    <t>Isaac Peralta</t>
  </si>
  <si>
    <t>974 598889</t>
  </si>
  <si>
    <t>991 450352</t>
  </si>
  <si>
    <t>Jacqueline Paiva</t>
  </si>
  <si>
    <t>martes 10:00</t>
  </si>
  <si>
    <t>981 739334</t>
  </si>
  <si>
    <t>Jacqueline Paiva 868985-7</t>
  </si>
  <si>
    <t>Javier Núñez</t>
  </si>
  <si>
    <t>985 631725</t>
  </si>
  <si>
    <t>Jazmín Coronel</t>
  </si>
  <si>
    <t>994 960427</t>
  </si>
  <si>
    <t>Jazmín Franco</t>
  </si>
  <si>
    <t>martes 15:00</t>
  </si>
  <si>
    <t>984 136453</t>
  </si>
  <si>
    <t>Jhamara Salinas</t>
  </si>
  <si>
    <t xml:space="preserve">Jimena Cabral </t>
  </si>
  <si>
    <t>Jimena Flores</t>
  </si>
  <si>
    <t>Nathalia Tellez 3464110-6</t>
  </si>
  <si>
    <t>jueves 17:00</t>
  </si>
  <si>
    <t>992 285014</t>
  </si>
  <si>
    <t>Carolina Larroza 1879933-7</t>
  </si>
  <si>
    <t>981 430930</t>
  </si>
  <si>
    <t>jueves 19:30</t>
  </si>
  <si>
    <t>994 987621</t>
  </si>
  <si>
    <t>5658980-8 Claudia Quintana</t>
  </si>
  <si>
    <t>jueves 11:00</t>
  </si>
  <si>
    <t xml:space="preserve"> 984 909166</t>
  </si>
  <si>
    <t>aurelio rodas 646 953 - 1</t>
  </si>
  <si>
    <t>Jorge Benítez</t>
  </si>
  <si>
    <t>971 196321</t>
  </si>
  <si>
    <t>José Gauto</t>
  </si>
  <si>
    <t>972 424545</t>
  </si>
  <si>
    <t>Jose Matto</t>
  </si>
  <si>
    <t>jueves 15:00</t>
  </si>
  <si>
    <t>982 700465</t>
  </si>
  <si>
    <t>Carlos Matto 588416-0</t>
  </si>
  <si>
    <t>981 342339</t>
  </si>
  <si>
    <t>Karina Bogado</t>
  </si>
  <si>
    <t>981 350850</t>
  </si>
  <si>
    <t>Laura Martinez</t>
  </si>
  <si>
    <t>981 546091</t>
  </si>
  <si>
    <t>Leonardo Carreras</t>
  </si>
  <si>
    <t>982 806230</t>
  </si>
  <si>
    <t>Celia Portillo RUC 1519902-9</t>
  </si>
  <si>
    <t>lunes 20:00</t>
  </si>
  <si>
    <t>971 871462</t>
  </si>
  <si>
    <t>Leslie Ferrerira 4017064-0</t>
  </si>
  <si>
    <t>991 279123</t>
  </si>
  <si>
    <t>981 958419</t>
  </si>
  <si>
    <t>991 504713</t>
  </si>
  <si>
    <t>971 723000</t>
  </si>
  <si>
    <t>Lunes 19:30</t>
  </si>
  <si>
    <t>973 339481</t>
  </si>
  <si>
    <t>Luis Palacios</t>
  </si>
  <si>
    <t>981 380024</t>
  </si>
  <si>
    <t>991 325330</t>
  </si>
  <si>
    <t>Luján Riquelme</t>
  </si>
  <si>
    <t>991 720947</t>
  </si>
  <si>
    <t>994 146730</t>
  </si>
  <si>
    <t>Asismed 80016658-2</t>
  </si>
  <si>
    <t>Maida Leguizzamón</t>
  </si>
  <si>
    <t>981 454075</t>
  </si>
  <si>
    <t>Maida Leguizamón 1938555.2</t>
  </si>
  <si>
    <t>Maria del Carmen</t>
  </si>
  <si>
    <t>981 523221</t>
  </si>
  <si>
    <t>Maria del Carmen Alvarez 2442247-9</t>
  </si>
  <si>
    <t>Mariela Bareiro</t>
  </si>
  <si>
    <t>984 975271</t>
  </si>
  <si>
    <t xml:space="preserve">Mariela Manchini </t>
  </si>
  <si>
    <t>982 970869</t>
  </si>
  <si>
    <t>986 216147</t>
  </si>
  <si>
    <t>María del Mar López Aisemán 5730597-8</t>
  </si>
  <si>
    <t>981 405135</t>
  </si>
  <si>
    <t>Mario Feltes 4063040-4</t>
  </si>
  <si>
    <t>Mario Jara</t>
  </si>
  <si>
    <t>982 299964</t>
  </si>
  <si>
    <t>961 820844</t>
  </si>
  <si>
    <t>Mario Santander 949938-5</t>
  </si>
  <si>
    <t>Martín Levit</t>
  </si>
  <si>
    <t>986 800789</t>
  </si>
  <si>
    <t>Mauricio Brítez</t>
  </si>
  <si>
    <t>971 144401</t>
  </si>
  <si>
    <t>Max Pereira</t>
  </si>
  <si>
    <t>981 710424</t>
  </si>
  <si>
    <t>Jovita Robles 1239724-5</t>
  </si>
  <si>
    <t>Mensual</t>
  </si>
  <si>
    <t>Maximiliano Rivet</t>
  </si>
  <si>
    <t>May Filippini</t>
  </si>
  <si>
    <t>971 992750</t>
  </si>
  <si>
    <t>Mayra Pereira</t>
  </si>
  <si>
    <t>lunes 18:00</t>
  </si>
  <si>
    <t>992 531581</t>
  </si>
  <si>
    <t>Melquiades Alonso*</t>
  </si>
  <si>
    <t>986 837867</t>
  </si>
  <si>
    <t>Micaela Ruíz</t>
  </si>
  <si>
    <t>984 429481</t>
  </si>
  <si>
    <t>985 318248</t>
  </si>
  <si>
    <t>981 835942</t>
  </si>
  <si>
    <t xml:space="preserve">Nahiara Trinidad </t>
  </si>
  <si>
    <t>981 835942</t>
  </si>
  <si>
    <t>Nair Cardozo</t>
  </si>
  <si>
    <t>985 709277</t>
  </si>
  <si>
    <t>991 703411</t>
  </si>
  <si>
    <t>Natalia Bogarín</t>
  </si>
  <si>
    <t>985 913562</t>
  </si>
  <si>
    <t>2355295-6 Natalia Bogarin</t>
  </si>
  <si>
    <t>Natalia Paredes</t>
  </si>
  <si>
    <t>994 314562</t>
  </si>
  <si>
    <t>Natalia Paredes 4209985-4</t>
  </si>
  <si>
    <t>Natasha Iaschombek*</t>
  </si>
  <si>
    <t>985 982435</t>
  </si>
  <si>
    <t>lunes 19:00</t>
  </si>
  <si>
    <t>992 207841</t>
  </si>
  <si>
    <t>Nicolas Gonzalez</t>
  </si>
  <si>
    <t>Nicole Ortiz</t>
  </si>
  <si>
    <t>Nicole Sarubbi</t>
  </si>
  <si>
    <t>972 787878</t>
  </si>
  <si>
    <t>Helga Lutz 328927-3</t>
  </si>
  <si>
    <t>Nilda Ramírez</t>
  </si>
  <si>
    <t>martes 17:00</t>
  </si>
  <si>
    <t>983 355607</t>
  </si>
  <si>
    <t>jueves 19:00</t>
  </si>
  <si>
    <t>981 290853</t>
  </si>
  <si>
    <t>971 979975</t>
  </si>
  <si>
    <t>Osvaldo Palacios</t>
  </si>
  <si>
    <t>985 333921</t>
  </si>
  <si>
    <t xml:space="preserve">Osvaldo Palacios 3661916-3 </t>
  </si>
  <si>
    <t>lunes 15:00</t>
  </si>
  <si>
    <t>981 135975</t>
  </si>
  <si>
    <t xml:space="preserve">Patricia Cabañas </t>
  </si>
  <si>
    <t>976 154957</t>
  </si>
  <si>
    <t>986 393603</t>
  </si>
  <si>
    <t>Alba Marecos 2234693-7</t>
  </si>
  <si>
    <t xml:space="preserve">Perla Centurión </t>
  </si>
  <si>
    <t>971 143332</t>
  </si>
  <si>
    <t>Liz Centurión 3401868-9</t>
  </si>
  <si>
    <t>Lunes 18:30</t>
  </si>
  <si>
    <t>991 500092</t>
  </si>
  <si>
    <t>Richard Falcón</t>
  </si>
  <si>
    <t>jueves 20:30</t>
  </si>
  <si>
    <t>982 889181</t>
  </si>
  <si>
    <t>Rossana Martínez</t>
  </si>
  <si>
    <t>971 376004</t>
  </si>
  <si>
    <t>994 980059</t>
  </si>
  <si>
    <t>981 376189</t>
  </si>
  <si>
    <t>Sebastián Ruiz Diaz</t>
  </si>
  <si>
    <t>981 291893</t>
  </si>
  <si>
    <t>Shirley Vega*</t>
  </si>
  <si>
    <t>Viernes 18:00</t>
  </si>
  <si>
    <t>972 104400</t>
  </si>
  <si>
    <t>4102072-3 Silvana Modica</t>
  </si>
  <si>
    <t>983 524880</t>
  </si>
  <si>
    <t>Amado Borja 1389119-7</t>
  </si>
  <si>
    <t>Sofía Del Puerto</t>
  </si>
  <si>
    <t>971 126553</t>
  </si>
  <si>
    <t>Sol Caballero*</t>
  </si>
  <si>
    <t>982 114401</t>
  </si>
  <si>
    <t>derlis caballero, 3511736-2</t>
  </si>
  <si>
    <t>Stephanie Lopez</t>
  </si>
  <si>
    <t>982 935234</t>
  </si>
  <si>
    <t>Tania Núñez</t>
  </si>
  <si>
    <t>lunes 19:30/jueves 18:30</t>
  </si>
  <si>
    <t>982 402579</t>
  </si>
  <si>
    <t>Tania Núñez 4148503-3</t>
  </si>
  <si>
    <t>lunes 16:00</t>
  </si>
  <si>
    <t>983 175904</t>
  </si>
  <si>
    <t xml:space="preserve">martes 19:30 </t>
  </si>
  <si>
    <t>982 213148</t>
  </si>
  <si>
    <t>Vio Maciel</t>
  </si>
  <si>
    <t>Jueves 10:00</t>
  </si>
  <si>
    <t>Ythuriel González</t>
  </si>
  <si>
    <t xml:space="preserve">Thiago Zarza </t>
  </si>
  <si>
    <t>982 872113</t>
  </si>
  <si>
    <t xml:space="preserve">Karina Benítez </t>
  </si>
  <si>
    <t>martes 20:30</t>
  </si>
  <si>
    <t>981 603908</t>
  </si>
  <si>
    <t>Karina Benítez 3638768-1</t>
  </si>
  <si>
    <t>983 485271</t>
  </si>
  <si>
    <t>Paloma Codas 4.289.929-0</t>
  </si>
  <si>
    <t>994 352126</t>
  </si>
  <si>
    <t>Paloma Calles Filartiga 4236100-1</t>
  </si>
  <si>
    <t>martes 11:00</t>
  </si>
  <si>
    <t>985 726634</t>
  </si>
  <si>
    <t>971 122330</t>
  </si>
  <si>
    <t>7253029-4 Luz Aranda</t>
  </si>
  <si>
    <t>986 857814</t>
  </si>
  <si>
    <t>971 741472</t>
  </si>
  <si>
    <t xml:space="preserve"> 981 348704</t>
  </si>
  <si>
    <t>4273226-3 Hugo Delagracia</t>
  </si>
  <si>
    <t>martes 8:00</t>
  </si>
  <si>
    <t>982 111840</t>
  </si>
  <si>
    <t>Jorge Amarilla - Amilcar</t>
  </si>
  <si>
    <t>María Silva - Amilcar</t>
  </si>
  <si>
    <t xml:space="preserve"> 982 780759</t>
  </si>
  <si>
    <t>991 346382</t>
  </si>
  <si>
    <t>Leisy Zorrilla  5.540.009-4</t>
  </si>
  <si>
    <t xml:space="preserve">martes </t>
  </si>
  <si>
    <t>Alba Ostertag 4179920-8</t>
  </si>
  <si>
    <t>Félix Barreto</t>
  </si>
  <si>
    <t>981 434877</t>
  </si>
  <si>
    <t>Félix Barreto 3.646.032</t>
  </si>
  <si>
    <t>984 263726</t>
  </si>
  <si>
    <t xml:space="preserve"> Juan Victoriano Valdez Isasi 815483-0</t>
  </si>
  <si>
    <t>Consultantes 2022</t>
  </si>
  <si>
    <t>Consultantes 2023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</si>
  <si>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</si>
  <si>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</si>
  <si>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</si>
  <si>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</si>
  <si>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</si>
  <si>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</si>
  <si>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</si>
  <si>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</si>
  <si>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</si>
  <si>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</si>
  <si>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</si>
  <si>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</si>
  <si>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Daniel Rojas</t>
  </si>
  <si>
    <t xml:space="preserve">Julia Díaz </t>
  </si>
  <si>
    <t>Gisela Gonzalez</t>
  </si>
  <si>
    <t>Patricia Cabañas</t>
  </si>
  <si>
    <t xml:space="preserve">Melanie Ramirez </t>
  </si>
  <si>
    <t xml:space="preserve">Jime Cabral </t>
  </si>
  <si>
    <t>Jime Cabral VIRT</t>
  </si>
  <si>
    <t xml:space="preserve">Osvaldo Palacios </t>
  </si>
  <si>
    <t xml:space="preserve">Elias Melgarejo </t>
  </si>
  <si>
    <t xml:space="preserve">Nicole Ortiz </t>
  </si>
  <si>
    <r>
      <rPr>
        <rFont val="Arial"/>
        <color theme="1"/>
      </rPr>
      <t>Enrique</t>
    </r>
    <r>
      <rPr>
        <rFont val="Arial"/>
        <color theme="1"/>
      </rPr>
      <t xml:space="preserve"> , Sofia</t>
    </r>
  </si>
  <si>
    <t>Luana Locatti VIR</t>
  </si>
  <si>
    <t>Leonardo Carreras*</t>
  </si>
  <si>
    <t>Javier Núñez*</t>
  </si>
  <si>
    <t>Kiara Yambay *</t>
  </si>
  <si>
    <t>Mayra Pereira*</t>
  </si>
  <si>
    <t>Belén Quiñónez VIR</t>
  </si>
  <si>
    <t>Aileen Sarubbi *</t>
  </si>
  <si>
    <t>Milagros Arevalos*</t>
  </si>
  <si>
    <t xml:space="preserve">Carlos Salinas VIR </t>
  </si>
  <si>
    <t>Claudia Cano</t>
  </si>
  <si>
    <t>Josue Aiseman</t>
  </si>
  <si>
    <t>Ale Villalba</t>
  </si>
  <si>
    <t>Ara Riveros VIR</t>
  </si>
  <si>
    <t>Nico Zapata</t>
  </si>
  <si>
    <t>Belen Gonzalez</t>
  </si>
  <si>
    <t>belen valinotti</t>
  </si>
  <si>
    <t xml:space="preserve">Belen Valinotti </t>
  </si>
  <si>
    <t>Jime Cabral</t>
  </si>
  <si>
    <t>Nicole Sarubbi VIR</t>
  </si>
  <si>
    <t>Pathi Cabañas</t>
  </si>
  <si>
    <t xml:space="preserve">Adriana Viera </t>
  </si>
  <si>
    <t>Ale Cabrera*</t>
  </si>
  <si>
    <r>
      <t xml:space="preserve"> Enrique</t>
    </r>
    <r>
      <rPr>
        <rFont val="Arial"/>
        <color theme="1"/>
      </rPr>
      <t>, Sofia</t>
    </r>
  </si>
  <si>
    <t>Gustavo Torres VIR</t>
  </si>
  <si>
    <t>Juan Gonzalez*</t>
  </si>
  <si>
    <t>Luis Flores / Nathalia Tellez</t>
  </si>
  <si>
    <t>Carlos Zapattini</t>
  </si>
  <si>
    <t>Sofia Arrúa</t>
  </si>
  <si>
    <t>Cathe Caceres</t>
  </si>
  <si>
    <t>Lilian Melgarejo*</t>
  </si>
  <si>
    <t xml:space="preserve">Sol Valdez </t>
  </si>
  <si>
    <t>Sol Valdez VIR</t>
  </si>
  <si>
    <t>Víctor Dominguez</t>
  </si>
  <si>
    <t xml:space="preserve">Milagros Arevalos </t>
  </si>
  <si>
    <t>Fernando Silva VIR</t>
  </si>
  <si>
    <t>Carlos y Adri</t>
  </si>
  <si>
    <t>Marcos Bar</t>
  </si>
  <si>
    <t>Marcos Ortiz</t>
  </si>
  <si>
    <t xml:space="preserve">Fabián Ferreira </t>
  </si>
  <si>
    <t>José Matto</t>
  </si>
  <si>
    <t>Aaron B.</t>
  </si>
  <si>
    <t>Aaron B</t>
  </si>
  <si>
    <t xml:space="preserve">Edu Samaniego </t>
  </si>
  <si>
    <t>Lau Martinez</t>
  </si>
  <si>
    <t>Natalia Paredes*</t>
  </si>
  <si>
    <t>Eilyn Rubiños VIR</t>
  </si>
  <si>
    <t>Jhamara Salinas*</t>
  </si>
  <si>
    <t>Alan González*</t>
  </si>
  <si>
    <t>Verónica Centurión*</t>
  </si>
  <si>
    <t xml:space="preserve">Vio Maciel </t>
  </si>
  <si>
    <t>Emma Moreno</t>
  </si>
  <si>
    <t>Johanna Rodas VIR</t>
  </si>
  <si>
    <t>Melanie Ramírez</t>
  </si>
  <si>
    <t>Jorge Amarilla VIR</t>
  </si>
  <si>
    <t>Kiara Yambay*</t>
  </si>
  <si>
    <t xml:space="preserve">Abi Cardozo </t>
  </si>
  <si>
    <t>Jime Flores VIR*</t>
  </si>
  <si>
    <t>Francisco Echauri 17hs</t>
  </si>
  <si>
    <t>Victor Arevalo VIR</t>
  </si>
  <si>
    <t>Micaela Amarilla</t>
  </si>
  <si>
    <t>Sebas Ruiz Díaz</t>
  </si>
  <si>
    <t>Lorena Balbuena 18:00</t>
  </si>
  <si>
    <t xml:space="preserve">Cynthia Mendoza </t>
  </si>
  <si>
    <t xml:space="preserve">Mauro López </t>
  </si>
  <si>
    <t xml:space="preserve">Paz Salomón </t>
  </si>
  <si>
    <t xml:space="preserve">Maria Alonso </t>
  </si>
  <si>
    <t xml:space="preserve">Ramón Ferreira </t>
  </si>
  <si>
    <t>Ricardo Ojeda</t>
  </si>
  <si>
    <t>Cami Adorni</t>
  </si>
  <si>
    <t>Mamá de Jime</t>
  </si>
  <si>
    <t xml:space="preserve">Guillermo Lopez </t>
  </si>
  <si>
    <t xml:space="preserve">Guille y su papá </t>
  </si>
  <si>
    <t>Mariela Manchini</t>
  </si>
  <si>
    <t>Audrey Galeano*</t>
  </si>
  <si>
    <t>Alejandra Cabrera*</t>
  </si>
  <si>
    <t>Luis Flores / Nathalia Tellez VIR</t>
  </si>
  <si>
    <t>Verónica Valinotti</t>
  </si>
  <si>
    <t>Giovanna Fracchia</t>
  </si>
  <si>
    <t>Victoria Farina</t>
  </si>
  <si>
    <t xml:space="preserve">Marlene Caballero </t>
  </si>
  <si>
    <t>Camila Ortiz 19hs</t>
  </si>
  <si>
    <t xml:space="preserve">Mirian uchiyamada </t>
  </si>
  <si>
    <t>Marlene Caballero c/ pareja</t>
  </si>
  <si>
    <t>Alex Flores*</t>
  </si>
  <si>
    <t>Audrey Galeano 17 hs</t>
  </si>
  <si>
    <t>Eilyn Rubiños* VIR  18 hs</t>
  </si>
  <si>
    <t>Lara Vera VIR</t>
  </si>
  <si>
    <t>Andrea Oviedo VIR</t>
  </si>
  <si>
    <t>Kiara Yambay VIR</t>
  </si>
  <si>
    <t>Mitha P/ Cesar</t>
  </si>
  <si>
    <t>Marcos Bär</t>
  </si>
  <si>
    <t>Paz Salomon</t>
  </si>
  <si>
    <t xml:space="preserve"> Luz Duarte</t>
  </si>
  <si>
    <t>papás nahi</t>
  </si>
  <si>
    <t xml:space="preserve">Nicole Sarubbi </t>
  </si>
  <si>
    <t xml:space="preserve">Jose Carmona </t>
  </si>
  <si>
    <t>Guillermo Sarubbi*</t>
  </si>
  <si>
    <t>Jime Cabral VIR</t>
  </si>
  <si>
    <t xml:space="preserve">Mario Jara </t>
  </si>
  <si>
    <t>Jime Flores VIR</t>
  </si>
  <si>
    <t>Camila Ortiz*</t>
  </si>
  <si>
    <t>Natasha Iaschombek</t>
  </si>
  <si>
    <t>Thiago Zarza VIR</t>
  </si>
  <si>
    <t>Melanie Ramírez VIR</t>
  </si>
  <si>
    <t>Belén Quiñónez</t>
  </si>
  <si>
    <t>Carlos Orihuela 20:30</t>
  </si>
  <si>
    <t>Yésica Ojeda*</t>
  </si>
  <si>
    <t>Víctor Hugo Almada*</t>
  </si>
  <si>
    <t>Lourdes Martínez 17:30</t>
  </si>
  <si>
    <t>Jimena Leguizamon</t>
  </si>
  <si>
    <t>Eylin Rubiños VIR</t>
  </si>
  <si>
    <t>Guido Corbalan*  18:30</t>
  </si>
  <si>
    <t>Amber Flores 19 hs</t>
  </si>
  <si>
    <t>Maria Gloria Britez VIR</t>
  </si>
  <si>
    <t>Juan Lopez VIR</t>
  </si>
  <si>
    <t>Benjamin Colman</t>
  </si>
  <si>
    <t>Facundo/Mica Amarilla</t>
  </si>
  <si>
    <t>Jovita Robles</t>
  </si>
  <si>
    <t xml:space="preserve">Belen González </t>
  </si>
  <si>
    <t>Osvaldo Palacios Hijo</t>
  </si>
  <si>
    <t>Nahi Trinidad</t>
  </si>
  <si>
    <t>Gissel Segovia*</t>
  </si>
  <si>
    <t>María José Benítez*</t>
  </si>
  <si>
    <t>Osvaldo Palacios*</t>
  </si>
  <si>
    <r>
      <t xml:space="preserve">Luis Flores* / </t>
    </r>
    <r>
      <rPr>
        <rFont val="Arial"/>
        <color theme="1"/>
        <sz val="10.0"/>
      </rPr>
      <t>Nathi Tellez</t>
    </r>
  </si>
  <si>
    <t>Lorena Talavera VIR</t>
  </si>
  <si>
    <t xml:space="preserve">Leslie Ferreira </t>
  </si>
  <si>
    <t>Monica Canessa VIR</t>
  </si>
  <si>
    <t>Aileen Sarubbi VIR</t>
  </si>
  <si>
    <t>Tania Nuñez VIR</t>
  </si>
  <si>
    <t xml:space="preserve">Paloma Calles </t>
  </si>
  <si>
    <t xml:space="preserve">Fede Centurión </t>
  </si>
  <si>
    <t xml:space="preserve">Seba Ruiz Díaz </t>
  </si>
  <si>
    <t xml:space="preserve">Camila Ortiz </t>
  </si>
  <si>
    <t xml:space="preserve">Federico Centurión </t>
  </si>
  <si>
    <t>Francisco Hermosilla</t>
  </si>
  <si>
    <t>Aileen/Guido 20hs</t>
  </si>
  <si>
    <t>Amber Flores</t>
  </si>
  <si>
    <t>Belen Sarubbi VIR</t>
  </si>
  <si>
    <t>Enrique mendoza 17 hs</t>
  </si>
  <si>
    <t>Almendra Droutreleau VIR</t>
  </si>
  <si>
    <t xml:space="preserve">Luis Elizeche </t>
  </si>
  <si>
    <t xml:space="preserve">Naoto Goto </t>
  </si>
  <si>
    <t>Papas de Nahi</t>
  </si>
  <si>
    <t xml:space="preserve">Sol Benitez </t>
  </si>
  <si>
    <t>Juanfer</t>
  </si>
  <si>
    <t>Yani Segovia.</t>
  </si>
  <si>
    <t>Adriana Viera 17:00</t>
  </si>
  <si>
    <t>Padres de Nahiara</t>
  </si>
  <si>
    <t>Nair Cardozo*</t>
  </si>
  <si>
    <t xml:space="preserve">Ricardo Flores </t>
  </si>
  <si>
    <t>Jazmin Riveros</t>
  </si>
  <si>
    <t>Vero Centurion*</t>
  </si>
  <si>
    <t>Karina Benítez VIR</t>
  </si>
  <si>
    <t>Karina Benitez VIR</t>
  </si>
  <si>
    <t>Jazmin Franco VIR</t>
  </si>
  <si>
    <t>Violeta Codas VIR</t>
  </si>
  <si>
    <t>Guido Corbalan *</t>
  </si>
  <si>
    <t xml:space="preserve">Ximena Martínez </t>
  </si>
  <si>
    <t>Vio Maciel VIR</t>
  </si>
  <si>
    <t>Samara Sosa/Dario Baez</t>
  </si>
  <si>
    <t>Javier Caceres</t>
  </si>
  <si>
    <t>Pedro fariña VIR</t>
  </si>
  <si>
    <t>Javier Caceres 18 hs VIR</t>
  </si>
  <si>
    <t>Arianne Perdomo</t>
  </si>
  <si>
    <t xml:space="preserve">Gisela González </t>
  </si>
  <si>
    <t xml:space="preserve"> Marimar Lopez</t>
  </si>
  <si>
    <t xml:space="preserve">Mario Santander </t>
  </si>
  <si>
    <t xml:space="preserve">Mirtha de Palacios </t>
  </si>
  <si>
    <t>Melanie R.</t>
  </si>
  <si>
    <t xml:space="preserve">Fanny Ayala </t>
  </si>
  <si>
    <t>Familia Edu</t>
  </si>
  <si>
    <t>Carmona VIR</t>
  </si>
  <si>
    <t>Jorge Amarilla* VIR</t>
  </si>
  <si>
    <t>Sofia Borja- con padres</t>
  </si>
  <si>
    <t>Elam Hermosilla*</t>
  </si>
  <si>
    <t>Johanna Carreras*</t>
  </si>
  <si>
    <t>Patricia Rodríguez</t>
  </si>
  <si>
    <t>Giovanni Bibolini VIR</t>
  </si>
  <si>
    <t>Veronica Filizzola VIR</t>
  </si>
  <si>
    <t>Damaris Saucedo VIR</t>
  </si>
  <si>
    <t>Audrey Galeano VIR</t>
  </si>
  <si>
    <t>Leticia cabañas VIR</t>
  </si>
  <si>
    <t xml:space="preserve">Jacqueline Paiva </t>
  </si>
  <si>
    <t>Sandra Oviedo* VIR</t>
  </si>
  <si>
    <t>Daisy Garcia 19 hs VIR</t>
  </si>
  <si>
    <t>Jose Palacios</t>
  </si>
  <si>
    <t xml:space="preserve">Belén González </t>
  </si>
  <si>
    <t>Julia Diaz</t>
  </si>
  <si>
    <t xml:space="preserve">Clarisa Hermosilla </t>
  </si>
  <si>
    <t>Clari H</t>
  </si>
  <si>
    <t>Mariela Manchini VIRT</t>
  </si>
  <si>
    <t>Mario S.</t>
  </si>
  <si>
    <t xml:space="preserve">Sandra Manzur </t>
  </si>
  <si>
    <t>Cami Ortiz*</t>
  </si>
  <si>
    <t>Jazmin Coronel</t>
  </si>
  <si>
    <t>Maida Leguizamon*</t>
  </si>
  <si>
    <t>Juan Gonzalez</t>
  </si>
  <si>
    <t xml:space="preserve">Johanna Rodas VIR </t>
  </si>
  <si>
    <t>Tania Manzur VIR</t>
  </si>
  <si>
    <t>Elam hermosilla</t>
  </si>
  <si>
    <t>Sebastián Ruiz Díaz</t>
  </si>
  <si>
    <t>Jorge Pavón</t>
  </si>
  <si>
    <t>Walter Ovelar* VIR</t>
  </si>
  <si>
    <t>Thiago Groselle* (Adol)</t>
  </si>
  <si>
    <t>Carlos/Jackie</t>
  </si>
  <si>
    <t>Giovanni bibolini VIR</t>
  </si>
  <si>
    <t>Ramon Ferreira</t>
  </si>
  <si>
    <t>Jessi Cubas y Carmo</t>
  </si>
  <si>
    <t>Adri Viera</t>
  </si>
  <si>
    <t>Yani Segovia VIRT</t>
  </si>
  <si>
    <t>Vero Vallinotti</t>
  </si>
  <si>
    <t>Luana Locatti* VIR</t>
  </si>
  <si>
    <t>Abuela d Nicole Sarubbi VIR</t>
  </si>
  <si>
    <t>Camila Ortiz VIR</t>
  </si>
  <si>
    <t>Vero Centurión</t>
  </si>
  <si>
    <t>Mario Santander VIR</t>
  </si>
  <si>
    <t>Salma Arce</t>
  </si>
  <si>
    <t xml:space="preserve">Jimena Ortiz </t>
  </si>
  <si>
    <t>Pastor Rojas VIR</t>
  </si>
  <si>
    <t>cielo paredes</t>
  </si>
  <si>
    <t>Víctor Almada*</t>
  </si>
  <si>
    <t>JuanMa Alonso VIR</t>
  </si>
  <si>
    <t>Virginia c/ hijo</t>
  </si>
  <si>
    <t xml:space="preserve">Natalia Bertolazi </t>
  </si>
  <si>
    <t>Adri Quintana VIR</t>
  </si>
  <si>
    <t xml:space="preserve">Bruno perrota </t>
  </si>
  <si>
    <t>Ingrid Palacios VIRT</t>
  </si>
  <si>
    <t xml:space="preserve">Perla Centurión VIR </t>
  </si>
  <si>
    <t>Laura Martinez VIR</t>
  </si>
  <si>
    <t>Nathi Tellez</t>
  </si>
  <si>
    <t>Noelia Hermosilla*</t>
  </si>
  <si>
    <t xml:space="preserve">Mauricio Britez </t>
  </si>
  <si>
    <t xml:space="preserve">Fernanda Talavera </t>
  </si>
  <si>
    <t>Vicky Fariña VIR</t>
  </si>
  <si>
    <t>Sebastián Vázquez  VIR</t>
  </si>
  <si>
    <t xml:space="preserve">Juan Ramírez VIR </t>
  </si>
  <si>
    <t xml:space="preserve">Mathias Franco </t>
  </si>
  <si>
    <t>Vio Codas VIR</t>
  </si>
  <si>
    <t xml:space="preserve">Víctor Domínguez </t>
  </si>
  <si>
    <t>Nati Tellez 15:15  VIR</t>
  </si>
  <si>
    <t>Lujan Amarilla</t>
  </si>
  <si>
    <t xml:space="preserve"> Berni C</t>
  </si>
  <si>
    <t>Fernando Santos</t>
  </si>
  <si>
    <t>Cami Adorno</t>
  </si>
  <si>
    <t>Edu Samaniego</t>
  </si>
  <si>
    <t>Pedro Sanabria</t>
  </si>
  <si>
    <t>Ismael Martinez</t>
  </si>
  <si>
    <t xml:space="preserve">Melanie Ramirez VIR </t>
  </si>
  <si>
    <t>jime Flores</t>
  </si>
  <si>
    <t>Natalia Tellez VIR</t>
  </si>
  <si>
    <t>Natasha Iaschombek VIR</t>
  </si>
  <si>
    <t>Adriana Zacarias* 15:30</t>
  </si>
  <si>
    <t>Naoto Goto* VIR</t>
  </si>
  <si>
    <t>Jime Flores*</t>
  </si>
  <si>
    <t>Jazmin Perez*</t>
  </si>
  <si>
    <t>osvaldo delvalle 16:00 VIR</t>
  </si>
  <si>
    <t>Ale Romero</t>
  </si>
  <si>
    <t>Arturo Perez</t>
  </si>
  <si>
    <t>Berni Caballero</t>
  </si>
  <si>
    <t>Fernando Elizeche</t>
  </si>
  <si>
    <t xml:space="preserve">Nicolás Zapata </t>
  </si>
  <si>
    <t xml:space="preserve">Andrea Flecha </t>
  </si>
  <si>
    <t xml:space="preserve">Aaron Brunstein </t>
  </si>
  <si>
    <t>Cami, Enri, Sofia</t>
  </si>
  <si>
    <t>Luis Flores VIR</t>
  </si>
  <si>
    <t>Luis Flores*</t>
  </si>
  <si>
    <t>Carolina Larroza</t>
  </si>
  <si>
    <t xml:space="preserve">Melanie Ramírez </t>
  </si>
  <si>
    <t>Violelta Codas</t>
  </si>
  <si>
    <t>JoseClaudio</t>
  </si>
  <si>
    <t>Araceli Riveros 16:30</t>
  </si>
  <si>
    <t>Adriana Quintana* VIR</t>
  </si>
  <si>
    <t>Andrea Oviedo*</t>
  </si>
  <si>
    <t>Hijo de Soledad</t>
  </si>
  <si>
    <t>Adri Quintana* 17:45 VIR</t>
  </si>
  <si>
    <t>Fío sosa 18:30</t>
  </si>
  <si>
    <t>Paz Lopez VIR</t>
  </si>
  <si>
    <t>Luciana Specciale 19:30 VIR</t>
  </si>
  <si>
    <t>Enrique Mendoza 17:30</t>
  </si>
  <si>
    <t>Luana/ Arturo</t>
  </si>
  <si>
    <t>Paz Salomón</t>
  </si>
  <si>
    <t xml:space="preserve">Elea Ramirez </t>
  </si>
  <si>
    <t xml:space="preserve">Marco Mendoza </t>
  </si>
  <si>
    <t xml:space="preserve">Hugo López </t>
  </si>
  <si>
    <t>Nahiara</t>
  </si>
  <si>
    <t>Stephania Lopez</t>
  </si>
  <si>
    <t>May Pereira VIRT</t>
  </si>
  <si>
    <t>Jaz Coronel*</t>
  </si>
  <si>
    <t>Violeta Maciel VIR</t>
  </si>
  <si>
    <t>Tania Manzur* VIR</t>
  </si>
  <si>
    <t xml:space="preserve">Nathi Tellez </t>
  </si>
  <si>
    <t>Ferdi Gimenez* VIR</t>
  </si>
  <si>
    <t>Jimena Ortiz*</t>
  </si>
  <si>
    <t>Karina Benítez vir</t>
  </si>
  <si>
    <t>Belén Luthold</t>
  </si>
  <si>
    <t>Seba/Belen</t>
  </si>
  <si>
    <t>Juan Ramírez VIR</t>
  </si>
  <si>
    <t>Giovanni Bibbolini* VIR</t>
  </si>
  <si>
    <t>Adriana/Carlos VIR</t>
  </si>
  <si>
    <t>LUNES 6/10 Aileen/Guido 19hs</t>
  </si>
  <si>
    <t>Alejandro Romero</t>
  </si>
  <si>
    <t>Carlos Salinas* 19:15</t>
  </si>
  <si>
    <t>Claudia Osorio</t>
  </si>
  <si>
    <t>natasha iaschombeck 18:00 VIR</t>
  </si>
  <si>
    <t>Fran Hermosilla 15:15</t>
  </si>
  <si>
    <t>Milagros Arevalos VIR</t>
  </si>
  <si>
    <t xml:space="preserve">Nathalia Serafini </t>
  </si>
  <si>
    <t>Ricardo Flores VIR</t>
  </si>
  <si>
    <t>Fer Cabello y Fanny</t>
  </si>
  <si>
    <t>Mariela Manchini VIR</t>
  </si>
  <si>
    <t>Flia Vero Centurion</t>
  </si>
  <si>
    <t>Hugo Delagracia*</t>
  </si>
  <si>
    <t xml:space="preserve">Alejandra Cabrera </t>
  </si>
  <si>
    <t>Santiago Colman</t>
  </si>
  <si>
    <t>Mathi Franco</t>
  </si>
  <si>
    <t>Juan Martín Alonso* VIR</t>
  </si>
  <si>
    <t>Francisco Hermosilla *</t>
  </si>
  <si>
    <t>Fabiana Florentin*</t>
  </si>
  <si>
    <t>Aileen Sarubbi* VIR</t>
  </si>
  <si>
    <t>Paloma Calles/Nayla Rolón</t>
  </si>
  <si>
    <t>Belen Quiñonez 19:30</t>
  </si>
  <si>
    <t>Jaz Gomez</t>
  </si>
  <si>
    <t xml:space="preserve">Pathi Cabañas </t>
  </si>
  <si>
    <t xml:space="preserve">Bruno Perrota </t>
  </si>
  <si>
    <t xml:space="preserve">Julio Caballero </t>
  </si>
  <si>
    <t>Hermana de Edu Sama*</t>
  </si>
  <si>
    <t>Cami Adorno*</t>
  </si>
  <si>
    <t>Sabri Caballero</t>
  </si>
  <si>
    <t xml:space="preserve">Nathalia Tellez </t>
  </si>
  <si>
    <t>Lorena Talavera/Mario Feltes</t>
  </si>
  <si>
    <t xml:space="preserve">Luis Flores / Nathalia Tellez </t>
  </si>
  <si>
    <t>Belén Quiñonez</t>
  </si>
  <si>
    <t>audrey galeano</t>
  </si>
  <si>
    <t>Milagros Pappaseit VIR</t>
  </si>
  <si>
    <t>Naoto Goto*</t>
  </si>
  <si>
    <t>Víctor Domínguez VIR*</t>
  </si>
  <si>
    <t>Juan Ramírez VIR*</t>
  </si>
  <si>
    <t>Luis Flores* VIR</t>
  </si>
  <si>
    <t>Jesús Franco</t>
  </si>
  <si>
    <t xml:space="preserve">Victor Dominguez </t>
  </si>
  <si>
    <t>Daisy Garcia VIR</t>
  </si>
  <si>
    <t>Jime Flores 17:30</t>
  </si>
  <si>
    <t xml:space="preserve">Maga Pereira </t>
  </si>
  <si>
    <t xml:space="preserve">Fernando Santos </t>
  </si>
  <si>
    <t>Ceci Riveros virtu</t>
  </si>
  <si>
    <t>Fati Ortiz</t>
  </si>
  <si>
    <t xml:space="preserve">Berni Marecos </t>
  </si>
  <si>
    <t>Thiago Zarza vir</t>
  </si>
  <si>
    <t xml:space="preserve">Fede Centurion </t>
  </si>
  <si>
    <t>Leticia Cabañas VIR</t>
  </si>
  <si>
    <t>Victor Dominguez*</t>
  </si>
  <si>
    <t>Kiara Yambay VIR*</t>
  </si>
  <si>
    <t>Marlene Caballero VIR</t>
  </si>
  <si>
    <t>Kiara Yambay* VIR</t>
  </si>
  <si>
    <t>Ezequiel Ramirez</t>
  </si>
  <si>
    <t>Francisco Echauri</t>
  </si>
  <si>
    <t>Paola Ortiz</t>
  </si>
  <si>
    <t xml:space="preserve">Luis Trinidad </t>
  </si>
  <si>
    <t>Marimar López vir</t>
  </si>
  <si>
    <t xml:space="preserve">Osvaldo P. </t>
  </si>
  <si>
    <t>Osvaldo P.</t>
  </si>
  <si>
    <t xml:space="preserve">Yani Segovia </t>
  </si>
  <si>
    <t>Yani Segovia</t>
  </si>
  <si>
    <t>Alfonso Burró*</t>
  </si>
  <si>
    <t>Javier Nuñez*</t>
  </si>
  <si>
    <t>Javier Nuñez</t>
  </si>
  <si>
    <t>Rossanna Martinez VIR</t>
  </si>
  <si>
    <t>Thiago Groselle* 17:30</t>
  </si>
  <si>
    <t>Lourdes Martínez</t>
  </si>
  <si>
    <t>Luisa Ruiz Diaz*</t>
  </si>
  <si>
    <t>Alejandro Romero*</t>
  </si>
  <si>
    <t>Alejandro Romero 17:30</t>
  </si>
  <si>
    <t>Ale Villalba Grecco</t>
  </si>
  <si>
    <t xml:space="preserve">Guido/Aileen 19:30 </t>
  </si>
  <si>
    <t>Jordi Xancó</t>
  </si>
  <si>
    <t>Elena Sachero</t>
  </si>
  <si>
    <t xml:space="preserve"> Melanie Ramirez </t>
  </si>
  <si>
    <t>May Pereira</t>
  </si>
  <si>
    <t>Ricardo Flores VIRT</t>
  </si>
  <si>
    <t>Clari Hermosilla VIRT</t>
  </si>
  <si>
    <t>Mamá de Jime Flores VIR</t>
  </si>
  <si>
    <t>Yani Segovia VIR</t>
  </si>
  <si>
    <t xml:space="preserve">May Pereira </t>
  </si>
  <si>
    <t>Cami Adorno VIR</t>
  </si>
  <si>
    <t>Familia de Edu</t>
  </si>
  <si>
    <t>Alan Gonzalez*</t>
  </si>
  <si>
    <t>Virna Martínez</t>
  </si>
  <si>
    <t>Sabrina Caballero VIR</t>
  </si>
  <si>
    <t>Mario Feltes VIR</t>
  </si>
  <si>
    <t>Belén Quñonez</t>
  </si>
  <si>
    <t>Kiara Yambay*  17 hs</t>
  </si>
  <si>
    <t>Jime F*</t>
  </si>
  <si>
    <t>Vero Valinotti VIR</t>
  </si>
  <si>
    <t>Hijo de Sole*</t>
  </si>
  <si>
    <t>Fiorella Sosa 18hs</t>
  </si>
  <si>
    <t>Ale Villalba Greco</t>
  </si>
  <si>
    <t xml:space="preserve">Jose Palacios </t>
  </si>
  <si>
    <t xml:space="preserve">Laura Moreno </t>
  </si>
  <si>
    <t>Vicente Sanz</t>
  </si>
  <si>
    <t>Angel Zelaya VIRT</t>
  </si>
  <si>
    <t>Sami Sosa</t>
  </si>
  <si>
    <t>Vio Maciel VIRT</t>
  </si>
  <si>
    <t xml:space="preserve">Cami, Enrique, Sofia </t>
  </si>
  <si>
    <t xml:space="preserve">Nicole Sarubbi y familia </t>
  </si>
  <si>
    <t>María Silva VIR</t>
  </si>
  <si>
    <t>Patricia Rodriguez VIR</t>
  </si>
  <si>
    <t>fabiola/ivan VIR</t>
  </si>
  <si>
    <t>Eilyn Rubiños 19hs</t>
  </si>
  <si>
    <t>Mauricio Melgarejo*</t>
  </si>
  <si>
    <t>Ale tanassio 19 hs</t>
  </si>
  <si>
    <t>Juan Ramirez 20:00</t>
  </si>
  <si>
    <t>Eduardo Colman VIR</t>
  </si>
  <si>
    <t>Matias Gallagher 14:45</t>
  </si>
  <si>
    <t>Mabel Drakeford</t>
  </si>
  <si>
    <t>Sadam Medina</t>
  </si>
  <si>
    <t>Maria Jose Osorio</t>
  </si>
  <si>
    <t>Fabian Ferreira</t>
  </si>
  <si>
    <t>Arami Ruiz Diaz</t>
  </si>
  <si>
    <t>Mamá de Nicole O.</t>
  </si>
  <si>
    <t>Mamá de Jime VIRT</t>
  </si>
  <si>
    <t>Camila Gonzalez *</t>
  </si>
  <si>
    <t>Terapia Grupal</t>
  </si>
  <si>
    <t>Adriana Viera VIR</t>
  </si>
  <si>
    <t>Diego Florentin*</t>
  </si>
  <si>
    <t xml:space="preserve">José Matto </t>
  </si>
  <si>
    <t>Richard Falcón VIR</t>
  </si>
  <si>
    <t>Samara Sosa VIR</t>
  </si>
  <si>
    <t>Rossana Martínez VIR</t>
  </si>
  <si>
    <t>Juan Martín Alonso VIR</t>
  </si>
  <si>
    <t>Natalia Téllez/Jime F*</t>
  </si>
  <si>
    <t>Carlos Orihuela VIR</t>
  </si>
  <si>
    <t>Alex Flores/ Amber Flores*</t>
  </si>
  <si>
    <t xml:space="preserve">Micaela Amarilla </t>
  </si>
  <si>
    <t>Amaia Salum</t>
  </si>
  <si>
    <t>Carlos Salinas VIR 09:30</t>
  </si>
  <si>
    <t xml:space="preserve">Mabel Drakeford </t>
  </si>
  <si>
    <t>Alejandra Acosta New</t>
  </si>
  <si>
    <t xml:space="preserve">May Philippini </t>
  </si>
  <si>
    <t>María del Carmen</t>
  </si>
  <si>
    <t>Mel Ramirez</t>
  </si>
  <si>
    <t xml:space="preserve">Verónica Centurion </t>
  </si>
  <si>
    <t>pastor rojas</t>
  </si>
  <si>
    <t>Cecilia Arrúa</t>
  </si>
  <si>
    <t>Ceci Arrua VIR</t>
  </si>
  <si>
    <t>Giselle Caroni</t>
  </si>
  <si>
    <t>reunion cole Jime F.</t>
  </si>
  <si>
    <t>Laura Gomez*</t>
  </si>
  <si>
    <t>Laura Moreno Britez*VIR</t>
  </si>
  <si>
    <t>adri zacarias</t>
  </si>
  <si>
    <t>Jesus Franco</t>
  </si>
  <si>
    <t xml:space="preserve">Juan Ramírez </t>
  </si>
  <si>
    <t>Lucci specciale 18:30</t>
  </si>
  <si>
    <t>Clari Hermosilla</t>
  </si>
  <si>
    <t xml:space="preserve">Samara Sosa </t>
  </si>
  <si>
    <t>Eilyn Rubiños VIRT</t>
  </si>
  <si>
    <t xml:space="preserve">Vero Valinotti </t>
  </si>
  <si>
    <t>Lau Martínez</t>
  </si>
  <si>
    <t xml:space="preserve">Luis Flores </t>
  </si>
  <si>
    <t>Verónica Valinotti*</t>
  </si>
  <si>
    <t>Verónica Filizzola VIR</t>
  </si>
  <si>
    <t xml:space="preserve">Paloma Codas VIR </t>
  </si>
  <si>
    <t>Matías Balbuena*</t>
  </si>
  <si>
    <t>Belen Quiñonez VIR</t>
  </si>
  <si>
    <t>Eze Ramirez 17:30</t>
  </si>
  <si>
    <t>Mica Amarilla</t>
  </si>
  <si>
    <t>Jime Cabral VIRT.</t>
  </si>
  <si>
    <t xml:space="preserve">Juanfer y su papá </t>
  </si>
  <si>
    <t xml:space="preserve">Juanfer </t>
  </si>
  <si>
    <t>Melanie Ramirez VIR</t>
  </si>
  <si>
    <t>Patricia Rodriguez*</t>
  </si>
  <si>
    <t>Josias Almeida*</t>
  </si>
  <si>
    <t>Ana Campos</t>
  </si>
  <si>
    <t>Naoto Goto VIR</t>
  </si>
  <si>
    <t>Andrea Oviedo* VÍR</t>
  </si>
  <si>
    <t>Amber Flores 18:30</t>
  </si>
  <si>
    <t>LUNES 9 SANDRA OVIEDO VIR 11:30</t>
  </si>
  <si>
    <t>mama de Javier</t>
  </si>
  <si>
    <t>Cesar Palacios</t>
  </si>
  <si>
    <t>Dahiana Rojas</t>
  </si>
  <si>
    <t>esposa bruno</t>
  </si>
  <si>
    <t xml:space="preserve">belen Valinotti </t>
  </si>
  <si>
    <t>Lau Martinez VIRT</t>
  </si>
  <si>
    <t xml:space="preserve">Abuelos de Vio Maciel </t>
  </si>
  <si>
    <t>Ale Cabrera</t>
  </si>
  <si>
    <t>Milena Bogado*</t>
  </si>
  <si>
    <t>Belén Valinotti*</t>
  </si>
  <si>
    <t>ricardo flores</t>
  </si>
  <si>
    <t>Thiago</t>
  </si>
  <si>
    <t>Paloma Codas* VIR</t>
  </si>
  <si>
    <t>Francisco Hermosilla 19:30</t>
  </si>
  <si>
    <t>Jime flores</t>
  </si>
  <si>
    <t xml:space="preserve">Milena Ojeda virtual </t>
  </si>
  <si>
    <t xml:space="preserve">Lujan Cardona </t>
  </si>
  <si>
    <t xml:space="preserve">Mauro y esposa </t>
  </si>
  <si>
    <t>Paola Ortiz VIRT</t>
  </si>
  <si>
    <t>Natalia Paredes *</t>
  </si>
  <si>
    <t>Maristela López VIR</t>
  </si>
  <si>
    <t>Lucia Diarte VIR</t>
  </si>
  <si>
    <t>Chirley Stumpfs *</t>
  </si>
  <si>
    <t xml:space="preserve">Naomi Ibarra </t>
  </si>
  <si>
    <t>Renato Caroni - Jacquie</t>
  </si>
  <si>
    <t xml:space="preserve">Fede Centurión  </t>
  </si>
  <si>
    <t>Adri/carlos VIR</t>
  </si>
  <si>
    <t>Seba Ruiz Díaz VIR</t>
  </si>
  <si>
    <t>María Paz López VIR</t>
  </si>
  <si>
    <t xml:space="preserve">Marimar Lopez </t>
  </si>
  <si>
    <t xml:space="preserve">Paz Salomon </t>
  </si>
  <si>
    <t>Claudia Orrego</t>
  </si>
  <si>
    <t>Josefina Villate VIRT</t>
  </si>
  <si>
    <t>Yani Segovia VIRT.</t>
  </si>
  <si>
    <t>Pedro Sarabia</t>
  </si>
  <si>
    <t>Melanie Ramires VIR</t>
  </si>
  <si>
    <t xml:space="preserve">Eduardo Samaniego </t>
  </si>
  <si>
    <t>Elam Hermosilla/Cielo Paredes</t>
  </si>
  <si>
    <t>Alma Acevedo</t>
  </si>
  <si>
    <t>Belen Lutherold</t>
  </si>
  <si>
    <t>Myrian Uchi c/ hijo</t>
  </si>
  <si>
    <t>Ailen Sarubbi*</t>
  </si>
  <si>
    <t>Mathias Franco/Padres</t>
  </si>
  <si>
    <t>Adriana Zacarias</t>
  </si>
  <si>
    <t>Mathias Franco 17:30</t>
  </si>
  <si>
    <t>Ma de NicoleO</t>
  </si>
  <si>
    <t>Marimar Lopez VIRT.</t>
  </si>
  <si>
    <t xml:space="preserve">Sofia Borja </t>
  </si>
  <si>
    <t>Luis Yasunaga</t>
  </si>
  <si>
    <t>Aileen Sarubbi*</t>
  </si>
  <si>
    <t>Fernando Vázquez *</t>
  </si>
  <si>
    <t>Araceli Riveros VIR</t>
  </si>
  <si>
    <t xml:space="preserve">osvaldo delvalle* </t>
  </si>
  <si>
    <t>Giovanni Bibolinni VIR</t>
  </si>
  <si>
    <t>Eze Ramirez  17:30</t>
  </si>
  <si>
    <t>Javier Caceres 18:30 VIR</t>
  </si>
  <si>
    <t>Romina Martínez</t>
  </si>
  <si>
    <t xml:space="preserve">Juli Díaz </t>
  </si>
  <si>
    <t xml:space="preserve">Marimar López </t>
  </si>
  <si>
    <t>Osvaldo J Palacios</t>
  </si>
  <si>
    <t>Paz Amarilla</t>
  </si>
  <si>
    <t>Maybelinne Filippini</t>
  </si>
  <si>
    <t>Agustín Espinola</t>
  </si>
  <si>
    <t>Belen Samaniego VIR*</t>
  </si>
  <si>
    <t xml:space="preserve">Sabri Caballero </t>
  </si>
  <si>
    <t xml:space="preserve">Nathi Téllez </t>
  </si>
  <si>
    <t>Araceli Da Costa* VIR</t>
  </si>
  <si>
    <t>Sol Gill VIR</t>
  </si>
  <si>
    <t>Samara Sosa*</t>
  </si>
  <si>
    <t>Rubén Mendoza</t>
  </si>
  <si>
    <t>Marita Britez</t>
  </si>
  <si>
    <t>Victoria Farina VIR</t>
  </si>
  <si>
    <t>Marlene Caballero VIR 17:00</t>
  </si>
  <si>
    <t>Natalia Tellez* VIR</t>
  </si>
  <si>
    <t>Leslie Ferreira *</t>
  </si>
  <si>
    <t xml:space="preserve">Víctor Almada </t>
  </si>
  <si>
    <t>Ale Tanasio</t>
  </si>
  <si>
    <t xml:space="preserve">Carlos Orihuela VIR </t>
  </si>
  <si>
    <t>Luciana Specciale VIR</t>
  </si>
  <si>
    <t>Fer silva VIR</t>
  </si>
  <si>
    <t>Arami Ruiz</t>
  </si>
  <si>
    <t>Ivonne Ortiz VIRT</t>
  </si>
  <si>
    <t>Yanina Segovia VIRT</t>
  </si>
  <si>
    <t xml:space="preserve">Jime Flores </t>
  </si>
  <si>
    <t>Patricia Rodríguez*</t>
  </si>
  <si>
    <t xml:space="preserve">Alma Acevedo </t>
  </si>
  <si>
    <t xml:space="preserve">Audrey Galeano </t>
  </si>
  <si>
    <t xml:space="preserve">Felix Barreto </t>
  </si>
  <si>
    <t>Fabiola Martínez</t>
  </si>
  <si>
    <t>Enrique Mendoza *</t>
  </si>
  <si>
    <t>Almendra Doutreleau VIR</t>
  </si>
  <si>
    <t>Aileen/Guido</t>
  </si>
  <si>
    <t>Milagros Arevalos* 17:00</t>
  </si>
  <si>
    <t>Jordi Xancó VIR</t>
  </si>
  <si>
    <t>Paloma Callesc/ pareja</t>
  </si>
  <si>
    <t>Clarisa Hermosilla virtual</t>
  </si>
  <si>
    <t>Natalia Téllez</t>
  </si>
  <si>
    <t>Nati Tellez</t>
  </si>
  <si>
    <t>Jaz Coronel *</t>
  </si>
  <si>
    <t>Laura Martínez</t>
  </si>
  <si>
    <t>Marcelino</t>
  </si>
  <si>
    <t>Eligia Gomez</t>
  </si>
  <si>
    <t>Belen Qui y Sebas</t>
  </si>
  <si>
    <t>Belén Quiñónez 12:30</t>
  </si>
  <si>
    <t>Cami Ortiz VIR</t>
  </si>
  <si>
    <t>Guido Corbalan*</t>
  </si>
  <si>
    <t>Eilyn Rubiños VIR 18:00</t>
  </si>
  <si>
    <t>Victor Arevalo</t>
  </si>
  <si>
    <t>Gloria Britez VIR</t>
  </si>
  <si>
    <t xml:space="preserve"> Lujan Amarilla</t>
  </si>
  <si>
    <t>Hugo Depps</t>
  </si>
  <si>
    <t xml:space="preserve">Alejandra Acosta </t>
  </si>
  <si>
    <t>Camila Gonzalez*</t>
  </si>
  <si>
    <t>Cami, Enrique, Sofia</t>
  </si>
  <si>
    <t>Cami, Enrique</t>
  </si>
  <si>
    <t>Tania Manzur VIR*</t>
  </si>
  <si>
    <t>Nathalia Tellez VIR</t>
  </si>
  <si>
    <t>Ivan Lovera/Fabiola Martinez</t>
  </si>
  <si>
    <t>Naomi Ibarra 14:15</t>
  </si>
  <si>
    <t xml:space="preserve">Félix Barreto </t>
  </si>
  <si>
    <t>Abigail Cardozo</t>
  </si>
  <si>
    <t>Luis Miranda* 19:00</t>
  </si>
  <si>
    <t xml:space="preserve">Maria Gloria Britez18hs </t>
  </si>
  <si>
    <t>Francisco Echauri 16:30</t>
  </si>
  <si>
    <t>Melanie Ramirez VIRT</t>
  </si>
  <si>
    <t>Eduardo Samaniego VIR</t>
  </si>
  <si>
    <t>Rossana Portillo*</t>
  </si>
  <si>
    <t>Leisy Zorrilla VIR</t>
  </si>
  <si>
    <t>Ricky Valinotti</t>
  </si>
  <si>
    <t>Fede Centurion 15:15</t>
  </si>
  <si>
    <t>Victor Arevalo*</t>
  </si>
  <si>
    <t>Almendra Doutreleau* VIR</t>
  </si>
  <si>
    <t>Cristal Ferreira 17:30</t>
  </si>
  <si>
    <t>Ivonne Ortiz virtu</t>
  </si>
  <si>
    <t>Guilllermo Lopez</t>
  </si>
  <si>
    <t>Edu Rojas</t>
  </si>
  <si>
    <t>Nathi Tellez*</t>
  </si>
  <si>
    <t>Giovanni Bibolini* VIR</t>
  </si>
  <si>
    <t>Adri/Carlos</t>
  </si>
  <si>
    <t>Adri/Carlos VIR</t>
  </si>
  <si>
    <t>Carlos Ferreira 18:30</t>
  </si>
  <si>
    <t>Mirtha, Osvaldo y Vale</t>
  </si>
  <si>
    <t>Marimar López virtu</t>
  </si>
  <si>
    <t>JuanFer Eli.</t>
  </si>
  <si>
    <t xml:space="preserve">Marcelo Ramírez </t>
  </si>
  <si>
    <t xml:space="preserve">Cesar Benitez </t>
  </si>
  <si>
    <t>Gustavo Torres* VIR</t>
  </si>
  <si>
    <t>Veronica Centurion*</t>
  </si>
  <si>
    <t>Eunice Cardozo*</t>
  </si>
  <si>
    <t>Ferdi Giménez</t>
  </si>
  <si>
    <t>Ana Mallada</t>
  </si>
  <si>
    <t>Paloma calles</t>
  </si>
  <si>
    <t>Marlene Caballero 17hs VIR</t>
  </si>
  <si>
    <t>Adriana Zacarias*</t>
  </si>
  <si>
    <t>Fernando Vazquez*</t>
  </si>
  <si>
    <t>hijo de Soledad</t>
  </si>
  <si>
    <t>Miguel seux</t>
  </si>
  <si>
    <t xml:space="preserve">david delorme/ruth </t>
  </si>
  <si>
    <t>Milagros Arevalos 19:30</t>
  </si>
  <si>
    <t>Mirtha P/ Cesar</t>
  </si>
  <si>
    <t xml:space="preserve">Lujan Amarilla </t>
  </si>
  <si>
    <t>May Pereira virtu</t>
  </si>
  <si>
    <t>JuanFer</t>
  </si>
  <si>
    <t xml:space="preserve">Benjamin Van Wincle </t>
  </si>
  <si>
    <t>Camila Arias*</t>
  </si>
  <si>
    <t>Araceli Riveros 17hs</t>
  </si>
  <si>
    <t>Leslie Ferreira 18:30</t>
  </si>
  <si>
    <t>Manuel Yambay*</t>
  </si>
  <si>
    <t>Jazmin Gómez</t>
  </si>
  <si>
    <t>Benja Colman 16:30</t>
  </si>
  <si>
    <t>Marimar Lopez virtu</t>
  </si>
  <si>
    <t>Pao Ortiz VIRT</t>
  </si>
  <si>
    <t>Familia Edu*</t>
  </si>
  <si>
    <t>Laura Martinez*</t>
  </si>
  <si>
    <t>Mathi franco</t>
  </si>
  <si>
    <t>Alex Flores/Amber 19:30</t>
  </si>
  <si>
    <t>Adri Zacarías*</t>
  </si>
  <si>
    <t>Facundo Alvarez 16:00</t>
  </si>
  <si>
    <t>Carlos Salinas VIR 17:30</t>
  </si>
  <si>
    <t>Belén González</t>
  </si>
  <si>
    <t>Clari Hermosilla (Virt</t>
  </si>
  <si>
    <t>Jose Carmona</t>
  </si>
  <si>
    <t>Padres de Vero Valinotti</t>
  </si>
  <si>
    <t>Gustavo Torres*</t>
  </si>
  <si>
    <t>Sol Valdez-padres</t>
  </si>
  <si>
    <t>JoseClaudio González</t>
  </si>
  <si>
    <t>Juan Martin VIR*</t>
  </si>
  <si>
    <t>Carlos/Adri VIR</t>
  </si>
  <si>
    <t>Lourdes Alegre 17:00</t>
  </si>
  <si>
    <t>Pedro Fariña VIR</t>
  </si>
  <si>
    <t>Carmen Mendoza 15:15 VIRTUAL</t>
  </si>
  <si>
    <t xml:space="preserve"> Jimena Cabral</t>
  </si>
  <si>
    <t>Ivonne O VIRT</t>
  </si>
  <si>
    <t>Reunion Edgar Historia</t>
  </si>
  <si>
    <t>Mariela Pereira</t>
  </si>
  <si>
    <t>Melanie Ramirez*</t>
  </si>
  <si>
    <t>Fatima Cabañas*/Walter Gonzalez VIR</t>
  </si>
  <si>
    <t>Ale Tanassio</t>
  </si>
  <si>
    <t>Osvaldo Delvalle*</t>
  </si>
  <si>
    <t>reu cole de Jime VIR</t>
  </si>
  <si>
    <t>Claudia Osorio*</t>
  </si>
  <si>
    <t>Fiorella Aveiro VIR  18:00</t>
  </si>
  <si>
    <t xml:space="preserve">Mayra Pereira </t>
  </si>
  <si>
    <t>Mayra P</t>
  </si>
  <si>
    <t xml:space="preserve">Eduardo Rojas </t>
  </si>
  <si>
    <t>Luana Locatti*</t>
  </si>
  <si>
    <t>Mijal Bogado*</t>
  </si>
  <si>
    <t>Noelia Hermosilla/Esteban Ortega</t>
  </si>
  <si>
    <t>Juan Talavera VIR</t>
  </si>
  <si>
    <t>Marimar López</t>
  </si>
  <si>
    <t>Juan Martin VIR</t>
  </si>
  <si>
    <t>Myrian Uchiyamada VIR</t>
  </si>
  <si>
    <t>Miguel Seux*</t>
  </si>
  <si>
    <t>LUNES 19/ENE Juan Ramírez 19hs VIR</t>
  </si>
  <si>
    <t>Osmar Patiño 15:30</t>
  </si>
  <si>
    <t>Adri Quintana VIR 17:30</t>
  </si>
  <si>
    <t xml:space="preserve">Isaac </t>
  </si>
  <si>
    <t>Stephi Lopez</t>
  </si>
  <si>
    <t>Mari López VIRT</t>
  </si>
  <si>
    <t>Lujan Riquelme VIRT</t>
  </si>
  <si>
    <t xml:space="preserve">Fati Ortiz </t>
  </si>
  <si>
    <t>Arsiane Peralta*</t>
  </si>
  <si>
    <t>Kiara Yambay*  17 hs VIR</t>
  </si>
  <si>
    <t>Carlos Orihuela*</t>
  </si>
  <si>
    <t xml:space="preserve">Lourdes Martínez/Ximena Martínez </t>
  </si>
  <si>
    <t>Natalia Bertolazi 16:30</t>
  </si>
  <si>
    <t>Eilyn Ramirez</t>
  </si>
  <si>
    <t>Ele Ramirez</t>
  </si>
  <si>
    <t>Marco Mendoza</t>
  </si>
  <si>
    <t xml:space="preserve">Lau Martinez </t>
  </si>
  <si>
    <t xml:space="preserve">Carlos Elizeche </t>
  </si>
  <si>
    <t xml:space="preserve">Violeta Maciel </t>
  </si>
  <si>
    <t>Esposa de Elam</t>
  </si>
  <si>
    <t>José Matto VIR</t>
  </si>
  <si>
    <t>Rossana Martinez VIR</t>
  </si>
  <si>
    <t>Adriana/Carlos</t>
  </si>
  <si>
    <t>Laura Gomez* VIR</t>
  </si>
  <si>
    <t>Violeta Codas VIR*</t>
  </si>
  <si>
    <t>Marlene Caballero 18:30</t>
  </si>
  <si>
    <t>Daisy Garcia VIR 19 hs</t>
  </si>
  <si>
    <t xml:space="preserve">Hugo Lopez </t>
  </si>
  <si>
    <t xml:space="preserve">Padres de Julio </t>
  </si>
  <si>
    <t xml:space="preserve"> Vio Maciel</t>
  </si>
  <si>
    <t>Mario Feltes/Lorena Talavera VIR</t>
  </si>
  <si>
    <t>Esteban Ortega / Noelia Hermosilla</t>
  </si>
  <si>
    <t>Sofia Arrua VIR</t>
  </si>
  <si>
    <t>Camila Duarte/ Pareja VIR</t>
  </si>
  <si>
    <t>Natasha Iaschombeck VIR 17:30</t>
  </si>
  <si>
    <t>Javier Caceres 19:30</t>
  </si>
  <si>
    <t xml:space="preserve">Natasha Iaschombek </t>
  </si>
  <si>
    <t>Belen/Seba</t>
  </si>
  <si>
    <t>Fatima Cabañas*</t>
  </si>
  <si>
    <t>Bianca Bazán</t>
  </si>
  <si>
    <t>Samara sosa virtual</t>
  </si>
  <si>
    <t>Carlos Salinas* VIR</t>
  </si>
  <si>
    <t>Nahomi Román 20:30</t>
  </si>
  <si>
    <t>Ana De Brix 17:30</t>
  </si>
  <si>
    <t>Camila Adorni</t>
  </si>
  <si>
    <t>Nicole Sarubbi (19)</t>
  </si>
  <si>
    <t>Ricardo Flores VIRT.</t>
  </si>
  <si>
    <t>Tania Nuñez vir</t>
  </si>
  <si>
    <t>Sofía Arrua</t>
  </si>
  <si>
    <t>Yesi Ojeda*</t>
  </si>
  <si>
    <t>Sebastián Vázquez VIR</t>
  </si>
  <si>
    <t>Milagros/osvaldo</t>
  </si>
  <si>
    <t>Victor Dominguez VIR</t>
  </si>
  <si>
    <t>Adri Quintana VIR*</t>
  </si>
  <si>
    <t>Natalia Téllez VIR</t>
  </si>
  <si>
    <t>Mirtha de Palacios</t>
  </si>
  <si>
    <t>Jose Matto VIRT</t>
  </si>
  <si>
    <t>Luján Riquelme VIRT</t>
  </si>
  <si>
    <t>Mel Ramirez VIR</t>
  </si>
  <si>
    <t xml:space="preserve">Enrique Mendoza </t>
  </si>
  <si>
    <t>Santiago Franchi</t>
  </si>
  <si>
    <t>Seba Ruiz Díaz</t>
  </si>
  <si>
    <t>Fede Centurion 11:20</t>
  </si>
  <si>
    <t xml:space="preserve">Ale Tanasio </t>
  </si>
  <si>
    <t>Cristina Caballero*</t>
  </si>
  <si>
    <t>Osvaldo/Milagros*</t>
  </si>
  <si>
    <t>Guido/Aileen</t>
  </si>
  <si>
    <t>Ramón Ferreira</t>
  </si>
  <si>
    <t>Violeta Maciel VIRT</t>
  </si>
  <si>
    <t>Leti Cabañas VIR</t>
  </si>
  <si>
    <t>Audrey Galeano  17hs</t>
  </si>
  <si>
    <t>Fabiola/Ivan</t>
  </si>
  <si>
    <t>Soledad Vazquez VIR</t>
  </si>
  <si>
    <t xml:space="preserve">Francisco Hermosilla </t>
  </si>
  <si>
    <t xml:space="preserve">Virginia/con su hijo </t>
  </si>
  <si>
    <t>Kiara Yambay presencial</t>
  </si>
  <si>
    <t>Giovanni Bilbolini* VIR</t>
  </si>
  <si>
    <t>Eilyn Rubiños*</t>
  </si>
  <si>
    <t>Philippe Clemotte 16:30</t>
  </si>
  <si>
    <t>Profe Jime Flores*</t>
  </si>
  <si>
    <t xml:space="preserve">Aileen/Guido </t>
  </si>
  <si>
    <t>kiara yambay*</t>
  </si>
  <si>
    <t>Luis Flores / Nathi Tellez</t>
  </si>
  <si>
    <t>Jorge Armoa VIR</t>
  </si>
  <si>
    <t>Thiago Groselle* (Adol)17:30</t>
  </si>
  <si>
    <t>Jime F</t>
  </si>
  <si>
    <t>Almendra Doutreleau VIR*</t>
  </si>
  <si>
    <t>Carmen Mendoza* VIR</t>
  </si>
  <si>
    <t xml:space="preserve">Papá de Jime </t>
  </si>
  <si>
    <t xml:space="preserve">Sebastian Ruiz Díaz </t>
  </si>
  <si>
    <t>Jimena Leguizamon 18:30</t>
  </si>
  <si>
    <t>Christian Cubas*</t>
  </si>
  <si>
    <t>David Delorme*</t>
  </si>
  <si>
    <t>Vero Valinotti*</t>
  </si>
  <si>
    <t>Carmen Mendoza VIR</t>
  </si>
  <si>
    <t xml:space="preserve"> Melanie Ramirez</t>
  </si>
  <si>
    <t>Laura M</t>
  </si>
  <si>
    <t xml:space="preserve">Guillermo López </t>
  </si>
  <si>
    <t>Eunice Cardozo VIR*</t>
  </si>
  <si>
    <t xml:space="preserve">Elam Hermosilla </t>
  </si>
  <si>
    <t xml:space="preserve">Samara sosa </t>
  </si>
  <si>
    <t>Fatima Ortiz 20hs</t>
  </si>
  <si>
    <t>Carlos Salinas*</t>
  </si>
  <si>
    <t>Víctor Arévalo*</t>
  </si>
  <si>
    <t>Belén Sarubbi VIR</t>
  </si>
  <si>
    <t>Isaac P</t>
  </si>
  <si>
    <t xml:space="preserve">Agustin Espinola </t>
  </si>
  <si>
    <t>Victoria Espinola*</t>
  </si>
  <si>
    <t>Yvonne Ortiz</t>
  </si>
  <si>
    <t>Richard Falcon VIR</t>
  </si>
  <si>
    <t>Samara Sosa 17hs</t>
  </si>
  <si>
    <t>Lourdes Martinez*</t>
  </si>
  <si>
    <t xml:space="preserve"> Samara Sosa</t>
  </si>
  <si>
    <t>Maria Gloria Britez VIR 18:00</t>
  </si>
  <si>
    <t>Enrique mendoza 17:30</t>
  </si>
  <si>
    <t xml:space="preserve">Melquiades Alonso </t>
  </si>
  <si>
    <t xml:space="preserve">Jose Gauto </t>
  </si>
  <si>
    <t>Fatima Cabañas*/Walter Gonzalez</t>
  </si>
  <si>
    <t>Víctor Hugo Almada*vir</t>
  </si>
  <si>
    <t>Guido Corbalan* 18 hs</t>
  </si>
  <si>
    <t>Osvaldo Delvalle VIR</t>
  </si>
  <si>
    <t>Carmen Mendoza*</t>
  </si>
  <si>
    <t>Amber Flores 19:15</t>
  </si>
  <si>
    <t xml:space="preserve">Luis Palacios </t>
  </si>
  <si>
    <t>Elam Hermosilla* / Cielo Paredes*</t>
  </si>
  <si>
    <t>Carlos Orihuela* 19hs VIR</t>
  </si>
  <si>
    <t>Fede Centurión   VIR</t>
  </si>
  <si>
    <t xml:space="preserve">Mamá de Vio </t>
  </si>
  <si>
    <t>Jimena Flores VIR</t>
  </si>
  <si>
    <t xml:space="preserve">Belén Valinotti </t>
  </si>
  <si>
    <t>Padres de Ivan</t>
  </si>
  <si>
    <t xml:space="preserve">Fabiola Martínez </t>
  </si>
  <si>
    <t>Juan Martin* VIR</t>
  </si>
  <si>
    <t>Belén Quiñones VIR</t>
  </si>
  <si>
    <t>Natasha Iaschombeck* VIR</t>
  </si>
  <si>
    <t>Seba Ruiz Diaz 12:30</t>
  </si>
  <si>
    <t>Fiorella Sosa 18 hs</t>
  </si>
  <si>
    <t>Andrea Oviedo* VIR</t>
  </si>
  <si>
    <t>Aileen Sarubbi/ Guido</t>
  </si>
  <si>
    <t>Jime Leguizamon 17:30</t>
  </si>
  <si>
    <t xml:space="preserve">Mari Lopez VIR. </t>
  </si>
  <si>
    <t xml:space="preserve">Hijo de Soledad </t>
  </si>
  <si>
    <t>osvaldo Delvalle*</t>
  </si>
  <si>
    <t>Darío Báez* VIR</t>
  </si>
  <si>
    <t>Carmona</t>
  </si>
  <si>
    <t>Ivonne Ortiz VIR</t>
  </si>
  <si>
    <t>Marlene Caballero 17 h. VIR</t>
  </si>
  <si>
    <t>Giovanni bibbolini VIR</t>
  </si>
  <si>
    <t xml:space="preserve">Luis/Jime F. </t>
  </si>
  <si>
    <t>carlos salinas VIIR</t>
  </si>
  <si>
    <t>Ale Villalba VIR</t>
  </si>
  <si>
    <t>Pedro Fariña</t>
  </si>
  <si>
    <t xml:space="preserve">fanny </t>
  </si>
  <si>
    <t>Mario Feltes/Lorena*</t>
  </si>
  <si>
    <t>Lourdes Martinez 17:30</t>
  </si>
  <si>
    <t>Juan Ramírez  VIR</t>
  </si>
  <si>
    <t>Marle Caballero  VIR</t>
  </si>
  <si>
    <t>Ana Fariña Reu VIR</t>
  </si>
  <si>
    <t>laura moreno britez*</t>
  </si>
  <si>
    <t>Fio Aveiro VIR 18:00</t>
  </si>
  <si>
    <t>Guillermo Sarubbi *</t>
  </si>
  <si>
    <t>Jaz Coronel</t>
  </si>
  <si>
    <t>Eduardo Samaniego VIR*</t>
  </si>
  <si>
    <t>Luis Moreno</t>
  </si>
  <si>
    <t>Marlene Caballero VIR  17hs</t>
  </si>
  <si>
    <t>Lourdes Martínez  VIR</t>
  </si>
  <si>
    <t>Alex Flores/ Amber Flores</t>
  </si>
  <si>
    <t>Belen Sarubbi VIR 19:00</t>
  </si>
  <si>
    <t>Bruno perrota</t>
  </si>
  <si>
    <t>Abu de Nicole (Helga)</t>
  </si>
  <si>
    <t>Julio Caballero</t>
  </si>
  <si>
    <t>Cami Gonzalez*</t>
  </si>
  <si>
    <t>Jhamara Salinas* VIR</t>
  </si>
  <si>
    <t>Javier Núñez* VIR</t>
  </si>
  <si>
    <t>Pauli Josue Núñez</t>
  </si>
  <si>
    <t>Juan Ramírez</t>
  </si>
  <si>
    <t>Myriam Uchiyamada</t>
  </si>
  <si>
    <t>Paloma Calles 20:00</t>
  </si>
  <si>
    <t>Majo Osorio</t>
  </si>
  <si>
    <t>Lau Martínez VIR</t>
  </si>
  <si>
    <t>Nair Cardozo VIR</t>
  </si>
  <si>
    <t>Marimar Lopez*</t>
  </si>
  <si>
    <t>Leisy Zorrilla VIR*</t>
  </si>
  <si>
    <t xml:space="preserve">Carlos Orihuela </t>
  </si>
  <si>
    <t>Leslie Ferreira*</t>
  </si>
  <si>
    <t>Estefanía Saccarello VIR*</t>
  </si>
  <si>
    <t>Carlos Salinas* VIR 17hs</t>
  </si>
  <si>
    <t xml:space="preserve">Amaia Salum </t>
  </si>
  <si>
    <t>Mateo Rojas</t>
  </si>
  <si>
    <t>Lujan Riquelme VIR</t>
  </si>
  <si>
    <t>Sol Gill</t>
  </si>
  <si>
    <t>José Matto*</t>
  </si>
  <si>
    <t>Sol Valdez 17hs</t>
  </si>
  <si>
    <t xml:space="preserve">Chirley Stumpfs* </t>
  </si>
  <si>
    <t>Ruth Lugo</t>
  </si>
  <si>
    <t>Mirtha De Palacios</t>
  </si>
  <si>
    <t xml:space="preserve">Cristina Cabrera videollamada </t>
  </si>
  <si>
    <t>María del Carmen A.</t>
  </si>
  <si>
    <t>Guillermo Sarubbi VIR</t>
  </si>
  <si>
    <t>Araceli Da Costa*</t>
  </si>
  <si>
    <t>martin levit</t>
  </si>
  <si>
    <t>Tania Núñez VIR</t>
  </si>
  <si>
    <t>Jime Flores Vir*</t>
  </si>
  <si>
    <t>Belen Sarubbi 18:30 VIR</t>
  </si>
  <si>
    <t>Nicole ortiz</t>
  </si>
  <si>
    <t>Walter Ovelar*</t>
  </si>
  <si>
    <t>Francisco Echauri*</t>
  </si>
  <si>
    <t>Hijo de Sole</t>
  </si>
  <si>
    <t>Melanie R. VIRT</t>
  </si>
  <si>
    <t>Natalia Bogarin*</t>
  </si>
  <si>
    <t xml:space="preserve">Sofía Borja </t>
  </si>
  <si>
    <t>Philippe</t>
  </si>
  <si>
    <t>Micaela Amarilla VIR</t>
  </si>
  <si>
    <t xml:space="preserve">Jose Matto </t>
  </si>
  <si>
    <t>Benjamin Van Wincle</t>
  </si>
  <si>
    <t>Nicole Ortiz-Cole</t>
  </si>
  <si>
    <t>Aileen Sarubi/Pareja</t>
  </si>
  <si>
    <t>Ana de Brix</t>
  </si>
  <si>
    <t>Elea Ramirez</t>
  </si>
  <si>
    <t>Eilyn Rubiños virtual</t>
  </si>
  <si>
    <t>Mel Ramirez Vir</t>
  </si>
  <si>
    <t>fabiola/ivan</t>
  </si>
  <si>
    <t xml:space="preserve">Victoria Coronel* </t>
  </si>
  <si>
    <t>Mathi Franco/ familia</t>
  </si>
  <si>
    <t>Amber Flores*</t>
  </si>
  <si>
    <t>Sol Benitez</t>
  </si>
  <si>
    <t>Adri Viera 17:00</t>
  </si>
  <si>
    <t>Nicole sarubbi</t>
  </si>
  <si>
    <t>Julio Vazquez</t>
  </si>
  <si>
    <t xml:space="preserve">Guido Corbalan* </t>
  </si>
  <si>
    <t>Andrea  Oviedo VIR</t>
  </si>
  <si>
    <t xml:space="preserve">Nati Tellez </t>
  </si>
  <si>
    <t>Guada Figueredo VIR</t>
  </si>
  <si>
    <t>papá de joha</t>
  </si>
  <si>
    <t xml:space="preserve">Belén Quiñónez </t>
  </si>
  <si>
    <t>Sole Vazquez</t>
  </si>
  <si>
    <t>Natalia Tellez VIR 15:15</t>
  </si>
  <si>
    <t>Mathias Franco 14:30</t>
  </si>
  <si>
    <t>Renato Caroni/ Carlos Z</t>
  </si>
  <si>
    <t>Jime Flores 16 hs</t>
  </si>
  <si>
    <t>Ale Acosta</t>
  </si>
  <si>
    <t>Seba/Belen Qui</t>
  </si>
  <si>
    <t>Félix Barreto 16:00</t>
  </si>
  <si>
    <t xml:space="preserve">hijo de Soledad </t>
  </si>
  <si>
    <t>Milagros Arevalos VIR*</t>
  </si>
  <si>
    <t>Mathias Franco 17:00</t>
  </si>
  <si>
    <t>Fer santos</t>
  </si>
  <si>
    <t>Guille Sarubbi *</t>
  </si>
  <si>
    <t xml:space="preserve">Jimena Leguizamon </t>
  </si>
  <si>
    <t>Fabi Florentin*</t>
  </si>
  <si>
    <t>Adolfo Mendieta</t>
  </si>
  <si>
    <t>Belen Quiñonez 18:00</t>
  </si>
  <si>
    <t>Lucciana Specciale 19 hs</t>
  </si>
  <si>
    <t>Jime C.</t>
  </si>
  <si>
    <t>Marimar Lopez VIR</t>
  </si>
  <si>
    <t>Carlos Orihuela  VIR</t>
  </si>
  <si>
    <t>Marcelo Galeano*</t>
  </si>
  <si>
    <t xml:space="preserve">Adri/Carlos VIR </t>
  </si>
  <si>
    <t xml:space="preserve">Fabi Florentin* </t>
  </si>
  <si>
    <t>Milagros Arevalos VIR 14:00</t>
  </si>
  <si>
    <t>Luciana Speciale 19:30</t>
  </si>
  <si>
    <t>Elias M.</t>
  </si>
  <si>
    <t>Jime Ortiz</t>
  </si>
  <si>
    <t>Sebas Ruiz Diaz 15:00</t>
  </si>
  <si>
    <t>Jime Flores 16:00</t>
  </si>
  <si>
    <t>- Sandra Oviedo VIR</t>
  </si>
  <si>
    <t>Camila Adorno*</t>
  </si>
  <si>
    <t xml:space="preserve">Philippe </t>
  </si>
  <si>
    <t>Eze Ramirez 17:00</t>
  </si>
  <si>
    <t xml:space="preserve">Melanie R. </t>
  </si>
  <si>
    <t>Cami Adorni VIRT</t>
  </si>
  <si>
    <t>Laura Martínez VIR</t>
  </si>
  <si>
    <t xml:space="preserve">Violeta Codas </t>
  </si>
  <si>
    <t xml:space="preserve">Sandra Oviedo </t>
  </si>
  <si>
    <t xml:space="preserve">Juan Ramirez VIR </t>
  </si>
  <si>
    <t xml:space="preserve">Edu Rojas </t>
  </si>
  <si>
    <t>Alejandro Sarubbi</t>
  </si>
  <si>
    <t xml:space="preserve">Jaz Coronel </t>
  </si>
  <si>
    <t>María Silva VIR / Jorge Amarilla VIR</t>
  </si>
  <si>
    <t>Lourdes Marinoni</t>
  </si>
  <si>
    <t>David Delorme* 20 hs</t>
  </si>
  <si>
    <t>Belen Valinotti 17:00</t>
  </si>
  <si>
    <t>Luis E.</t>
  </si>
  <si>
    <t>Naomi Ibarra VIR</t>
  </si>
  <si>
    <t>Juan Martin*</t>
  </si>
  <si>
    <t>Almendra Droutreleau*</t>
  </si>
  <si>
    <t>Belen Sarubbi 17:30 VIR</t>
  </si>
  <si>
    <t>JuanFer E.</t>
  </si>
  <si>
    <t xml:space="preserve">Mirtha P. y esposo </t>
  </si>
  <si>
    <t>Angel Zelaya VIR</t>
  </si>
  <si>
    <t xml:space="preserve">Jorge Amarilla </t>
  </si>
  <si>
    <t>Lourdes Martinez 17h</t>
  </si>
  <si>
    <t>Natalia Téllez*</t>
  </si>
  <si>
    <t>Virginia Aiseman VIR</t>
  </si>
  <si>
    <t>Eilyn R.</t>
  </si>
  <si>
    <t xml:space="preserve">Cami Adorni </t>
  </si>
  <si>
    <t>Elías Melgarejo</t>
  </si>
  <si>
    <t>Juan Ramírez 19:30</t>
  </si>
  <si>
    <t>Javier Cáceres/ Pareja</t>
  </si>
  <si>
    <t>Santiago Colman 20:30</t>
  </si>
  <si>
    <t>Jordi Xanco VIR</t>
  </si>
  <si>
    <t>Perla Centurión</t>
  </si>
  <si>
    <t>Mathias Franco C/ padres</t>
  </si>
  <si>
    <t>Francisco Hermosilla*</t>
  </si>
  <si>
    <t>Profesora Thiago Groselle*</t>
  </si>
  <si>
    <t xml:space="preserve">Jose Matto VIRT </t>
  </si>
  <si>
    <t>Sandra Oviedo*</t>
  </si>
  <si>
    <t>Carlos salinas VIR</t>
  </si>
  <si>
    <t>Lu Riquelme VIR</t>
  </si>
  <si>
    <t>Eilyn R. VIRT</t>
  </si>
  <si>
    <t>María Silva</t>
  </si>
  <si>
    <t xml:space="preserve">Maria del Carmen </t>
  </si>
  <si>
    <t xml:space="preserve">Lourdes Martinez </t>
  </si>
  <si>
    <t>Mari Lopez VIRT</t>
  </si>
  <si>
    <t>Jorge amarilla VIR</t>
  </si>
  <si>
    <t xml:space="preserve">Ricardo Flores VIRT </t>
  </si>
  <si>
    <t>Nathi/Luis</t>
  </si>
  <si>
    <t>Natalia Téllez *</t>
  </si>
  <si>
    <t>Jacqueline Paiva / Carlos Zapattini</t>
  </si>
  <si>
    <t xml:space="preserve">Jime Ortiz </t>
  </si>
  <si>
    <t xml:space="preserve">Sami Sosa </t>
  </si>
  <si>
    <t xml:space="preserve">seba/belen </t>
  </si>
  <si>
    <t>Rebe González*</t>
  </si>
  <si>
    <t xml:space="preserve">Mariela Pereira </t>
  </si>
  <si>
    <t>Víctor Almada *</t>
  </si>
  <si>
    <t xml:space="preserve">Pedro Sarabia </t>
  </si>
  <si>
    <t>Cami y Enrique</t>
  </si>
  <si>
    <t>Sandra Oviedo *</t>
  </si>
  <si>
    <t xml:space="preserve">Mirtha Palacios </t>
  </si>
  <si>
    <t>hijo de Soledad *</t>
  </si>
  <si>
    <t>Julio Vázquez *</t>
  </si>
  <si>
    <t>General 2025</t>
  </si>
  <si>
    <t>Fabiola/Iván VIR</t>
  </si>
  <si>
    <t>Guido Corbalan*VIR</t>
  </si>
  <si>
    <t>General 2024</t>
  </si>
  <si>
    <t>General 2023</t>
  </si>
  <si>
    <t>General 2022</t>
  </si>
  <si>
    <t>General 2026</t>
  </si>
  <si>
    <t>Primera Semana del mes</t>
  </si>
  <si>
    <t>Segunda Semana del mes</t>
  </si>
  <si>
    <t>Tercera Semana del mes</t>
  </si>
  <si>
    <t>Cuarta Semana del mes</t>
  </si>
  <si>
    <t>Quinta Semana del mes</t>
  </si>
  <si>
    <t>Sabado 17-01</t>
  </si>
  <si>
    <t>Violeta Codas presencial</t>
  </si>
  <si>
    <t>Facundo Álvarez</t>
  </si>
  <si>
    <t>KIARA YAMBAY VIR</t>
  </si>
  <si>
    <t>adri zacarias 17:00</t>
  </si>
  <si>
    <t>Eilyn Rubiños* VIR 18:30</t>
  </si>
  <si>
    <t>Ale tanassio 18:30</t>
  </si>
  <si>
    <t>ENSEÑA PSICOLOGIA</t>
  </si>
  <si>
    <t>se rinde psicologia</t>
  </si>
  <si>
    <t>Se rinde filosofia</t>
  </si>
  <si>
    <t>miercoles 08/04</t>
  </si>
  <si>
    <t>semana santa</t>
  </si>
  <si>
    <t>miercoles 22/04</t>
  </si>
  <si>
    <t xml:space="preserve">12hs </t>
  </si>
  <si>
    <t>reunion con Ale Villalba</t>
  </si>
  <si>
    <t>15:20 traumatologo. Artigas</t>
  </si>
  <si>
    <t>feriado</t>
  </si>
  <si>
    <t>NO ATENDERA</t>
  </si>
  <si>
    <t>LUNES 8</t>
  </si>
  <si>
    <t>17;30</t>
  </si>
  <si>
    <t>17:30 hs</t>
  </si>
  <si>
    <t>18:30 hs</t>
  </si>
  <si>
    <t>miercoles 29/07</t>
  </si>
  <si>
    <t>miercoles 12/08</t>
  </si>
  <si>
    <t>17hs</t>
  </si>
  <si>
    <t>miercoles 16/09</t>
  </si>
  <si>
    <t>miercoles 23/09</t>
  </si>
  <si>
    <t>miercoles 23/10</t>
  </si>
  <si>
    <t>miercoles 14/10</t>
  </si>
  <si>
    <t>miercoles 21/10</t>
  </si>
  <si>
    <t>sabado 25/10</t>
  </si>
  <si>
    <t>miercoles 28/10</t>
  </si>
  <si>
    <t>Thiago Groselle*</t>
  </si>
  <si>
    <t>Palo Codas</t>
  </si>
  <si>
    <t>sabado 15/03</t>
  </si>
  <si>
    <t>19:00hs</t>
  </si>
  <si>
    <t>OBS: SEMANA SANTA</t>
  </si>
  <si>
    <t>miercoles 02/04</t>
  </si>
  <si>
    <t>miercoles 09/04</t>
  </si>
  <si>
    <t>miercoles 16/04</t>
  </si>
  <si>
    <t>ABRIL</t>
  </si>
  <si>
    <t>miercoles 23/04</t>
  </si>
  <si>
    <t>miercoles 30/04</t>
  </si>
  <si>
    <t>almuerzo</t>
  </si>
  <si>
    <t>JUEVES SANTO</t>
  </si>
  <si>
    <t>VIERNES SANTO</t>
  </si>
  <si>
    <t>17:00hs</t>
  </si>
  <si>
    <t>espera</t>
  </si>
  <si>
    <t>sabado 24/05</t>
  </si>
  <si>
    <t>sabado 31/05</t>
  </si>
  <si>
    <t>Cumple de Milva</t>
  </si>
  <si>
    <t>JUEVES 1 DE MAYO</t>
  </si>
  <si>
    <t>FERIADO</t>
  </si>
  <si>
    <t xml:space="preserve">Cumple de las mamás </t>
  </si>
  <si>
    <t>Mmm</t>
  </si>
  <si>
    <t>sabado 07/06</t>
  </si>
  <si>
    <t>sabado 14/06</t>
  </si>
  <si>
    <t>sabado 28/06</t>
  </si>
  <si>
    <t>Fabiola/Ivan VIR</t>
  </si>
  <si>
    <t>sabado 05/07</t>
  </si>
  <si>
    <t>miercoles 30/07</t>
  </si>
  <si>
    <t>Giselle/Jose Franco 19hs</t>
  </si>
  <si>
    <t>Chirley Stumpfs* 20:30</t>
  </si>
  <si>
    <t>sabado 09/08</t>
  </si>
  <si>
    <t>martes 12/08</t>
  </si>
  <si>
    <t>miércoles 13/08</t>
  </si>
  <si>
    <t>jueves 14/08</t>
  </si>
  <si>
    <t>viernes 15/08</t>
  </si>
  <si>
    <t>sabado 16/06</t>
  </si>
  <si>
    <t>sabado 23/08</t>
  </si>
  <si>
    <t>Laura Britos</t>
  </si>
  <si>
    <t>Podes almorzar 🙂</t>
  </si>
  <si>
    <t>sabado 13/09</t>
  </si>
  <si>
    <t>miercoles 17/09</t>
  </si>
  <si>
    <t>miercoles 24/09</t>
  </si>
  <si>
    <t>Reunión - Meli Cuenca</t>
  </si>
  <si>
    <t xml:space="preserve">Jacqui Paiva </t>
  </si>
  <si>
    <t>Lilian/Thiago</t>
  </si>
  <si>
    <t xml:space="preserve">Karina Benitez </t>
  </si>
  <si>
    <t xml:space="preserve">Fernando Vázquez </t>
  </si>
  <si>
    <t>Camila Duarte VIR</t>
  </si>
  <si>
    <t>miercoles 15/10</t>
  </si>
  <si>
    <t>miercoles 22/10</t>
  </si>
  <si>
    <t>miercoles 29/10</t>
  </si>
  <si>
    <t>VIAJE</t>
  </si>
  <si>
    <t>08:30 Dermatologa Lourdes bolla</t>
  </si>
  <si>
    <t>Matias Balbuena*</t>
  </si>
  <si>
    <t>Charla Real State</t>
  </si>
  <si>
    <t>Charla Filial Caacupe</t>
  </si>
  <si>
    <t>sabado 22/11</t>
  </si>
  <si>
    <t>Pedro Fariña*</t>
  </si>
  <si>
    <t>Violeta Codas* VIR</t>
  </si>
  <si>
    <t>Fabi Florentin* 17:00</t>
  </si>
  <si>
    <t>Fiorella Sosa 18:00</t>
  </si>
  <si>
    <t>Sabado 13/12</t>
  </si>
  <si>
    <t>Dermatologa 08:30</t>
  </si>
  <si>
    <t>SPACE EAS</t>
  </si>
  <si>
    <t>adri/carlos</t>
  </si>
  <si>
    <t>listo</t>
  </si>
  <si>
    <r>
      <rPr>
        <rFont val="Arial"/>
        <strike/>
        <color theme="1"/>
        <sz val="10.0"/>
      </rPr>
      <t>Jazmin Riveros*</t>
    </r>
    <r>
      <rPr>
        <rFont val="Arial"/>
        <color theme="1"/>
        <sz val="10.0"/>
      </rPr>
      <t xml:space="preserve"> Laura Martínez</t>
    </r>
  </si>
  <si>
    <t>Vanessa Ziehe*</t>
  </si>
  <si>
    <t>Jazmin Riveros*</t>
  </si>
  <si>
    <t>Edu Samaniego VIR</t>
  </si>
  <si>
    <r>
      <rPr>
        <rFont val="Arial"/>
        <strike/>
        <color theme="1"/>
        <sz val="10.0"/>
      </rPr>
      <t>Melanie Ramírez</t>
    </r>
    <r>
      <rPr>
        <rFont val="Arial"/>
        <color theme="1"/>
        <sz val="10.0"/>
      </rPr>
      <t xml:space="preserve"> Edu Samaniego</t>
    </r>
  </si>
  <si>
    <t>Flia Verónica Centurión</t>
  </si>
  <si>
    <t>Luis Flores* / Nathi Tellez</t>
  </si>
  <si>
    <r>
      <t xml:space="preserve">Luis Flores* / </t>
    </r>
    <r>
      <rPr>
        <rFont val="Arial"/>
        <color theme="1"/>
        <sz val="10.0"/>
      </rPr>
      <t>Nathi Tellez</t>
    </r>
  </si>
  <si>
    <t xml:space="preserve"> Alfonso Burró</t>
  </si>
  <si>
    <t xml:space="preserve"> </t>
  </si>
  <si>
    <t xml:space="preserve">Lorena Talavera/Mario Feltes VIR </t>
  </si>
  <si>
    <t>Emerson  Iaschombek</t>
  </si>
  <si>
    <t>Luz Ortigoza VIR</t>
  </si>
  <si>
    <t xml:space="preserve">fede centurion </t>
  </si>
  <si>
    <t>Thursday 07/01</t>
  </si>
  <si>
    <t>virtu Clari H</t>
  </si>
  <si>
    <t xml:space="preserve">virtual Ramón Ferreira </t>
  </si>
  <si>
    <t xml:space="preserve">virtu Eilyn Rubiños </t>
  </si>
  <si>
    <t>Eilyn VIRT</t>
  </si>
  <si>
    <t>Miercoles 29/03</t>
  </si>
  <si>
    <t xml:space="preserve"> -</t>
  </si>
  <si>
    <t xml:space="preserve">Semana </t>
  </si>
  <si>
    <t>Santa</t>
  </si>
  <si>
    <t>Jimena Ortiz 17:00</t>
  </si>
  <si>
    <t>ENTREVISTAS ÑK</t>
  </si>
  <si>
    <t>ENTREVISTACAST</t>
  </si>
  <si>
    <t>Profe Egdar VIR</t>
  </si>
  <si>
    <t>Yani Segovia (07/07)</t>
  </si>
  <si>
    <t>MAJO CASTE VIRT</t>
  </si>
  <si>
    <t>COLE NICOLE ORTIZ</t>
  </si>
  <si>
    <t>Cami, Enrique 13:30</t>
  </si>
  <si>
    <t>Omar Franco VIR*</t>
  </si>
  <si>
    <t xml:space="preserve">No se atiende miércoles </t>
  </si>
  <si>
    <t>Sol Gill mamá de Aileen</t>
  </si>
  <si>
    <t xml:space="preserve">Carmona </t>
  </si>
  <si>
    <r>
      <rPr>
        <rFont val="Arial"/>
        <color theme="1"/>
        <sz val="10.0"/>
      </rPr>
      <t>Enrique</t>
    </r>
    <r>
      <rPr>
        <rFont val="Arial"/>
        <color theme="1"/>
        <sz val="10.0"/>
      </rPr>
      <t xml:space="preserve"> , Sofia</t>
    </r>
  </si>
  <si>
    <r>
      <t xml:space="preserve"> Enrique, </t>
    </r>
    <r>
      <rPr>
        <rFont val="Arial"/>
        <color theme="1"/>
        <sz val="10.0"/>
      </rPr>
      <t>Sofia</t>
    </r>
  </si>
  <si>
    <t>Mario Jara*</t>
  </si>
  <si>
    <t>Jime Flores;</t>
  </si>
  <si>
    <r>
      <rPr>
        <rFont val="Arial"/>
        <strike/>
        <color theme="1"/>
        <sz val="10.0"/>
      </rPr>
      <t>Adri Viera</t>
    </r>
    <r>
      <rPr>
        <rFont val="Arial"/>
        <color theme="1"/>
        <sz val="10.0"/>
      </rPr>
      <t>; Rossana Portillo</t>
    </r>
  </si>
  <si>
    <t>13:30 Arturo Perez</t>
  </si>
  <si>
    <t>14:30 Luana/ Arturo</t>
  </si>
  <si>
    <t>Berni</t>
  </si>
  <si>
    <t>Ricardo</t>
  </si>
  <si>
    <t xml:space="preserve">vt Clarisa Hermosilla </t>
  </si>
  <si>
    <t xml:space="preserve">Santiago Ruiz </t>
  </si>
  <si>
    <t>Silvana Modica(media consulta)</t>
  </si>
  <si>
    <t xml:space="preserve">Belén Sánchez </t>
  </si>
  <si>
    <t xml:space="preserve">Silvana Modica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</si>
</sst>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dd dd/mm"/>
    <numFmt numFmtId="165" formatCode="dd/mm"/>
    <numFmt numFmtId="166" formatCode="dd/mm/yyyy"/>
    <numFmt numFmtId="167" formatCode="d/m/yy"/>
    <numFmt numFmtId="168" formatCode="d/m"/>
    <numFmt numFmtId="169" formatCode="d/m/yyyy"/>
    <numFmt numFmtId="170" formatCode="&quot;$&quot;#,##0.00"/>
    <numFmt numFmtId="171" formatCode="dddd d/m"/>
    <numFmt numFmtId="172" formatCode="dddd dd/mm/yyyy"/>
  </numFmts>
  <fonts count="3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0.0"/>
      <color theme="1"/>
      <name val="Arial"/>
    </font>
    <font>
      <i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strike/>
      <color theme="1"/>
      <name val="Arial"/>
      <scheme val="minor"/>
    </font>
    <font>
      <b/>
      <sz val="10.0"/>
      <color theme="1"/>
      <name val="Arial"/>
    </font>
    <font>
      <strike/>
      <color theme="1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</font>
    <font>
      <b/>
      <color rgb="FF000000"/>
      <name val="Arial"/>
    </font>
    <font>
      <color theme="1"/>
      <name val="Lexend"/>
    </font>
    <font>
      <b/>
      <sz val="11.0"/>
      <color theme="1"/>
      <name val="Arial"/>
      <scheme val="minor"/>
    </font>
    <font>
      <b/>
      <color theme="1"/>
      <name val="Georgia"/>
    </font>
    <font>
      <b/>
      <sz val="9.0"/>
      <color theme="1"/>
      <name val="Arial"/>
    </font>
    <font>
      <sz val="10.0"/>
      <color rgb="FF1F1F1F"/>
      <name val="Arial"/>
    </font>
    <font/>
    <font>
      <i/>
      <color theme="1"/>
      <name val="Arial"/>
      <scheme val="minor"/>
    </font>
    <font>
      <i/>
      <strike/>
      <color theme="1"/>
      <name val="Arial"/>
    </font>
    <font>
      <i/>
      <strike/>
      <color theme="1"/>
      <name val="Arial"/>
      <scheme val="minor"/>
    </font>
    <font>
      <color rgb="FF000000"/>
      <name val="Arial"/>
    </font>
    <font>
      <b/>
      <i/>
      <color theme="1"/>
      <name val="Arial"/>
    </font>
    <font>
      <b/>
      <strike/>
      <color theme="1"/>
      <name val="Arial"/>
    </font>
    <font>
      <strike/>
      <sz val="10.0"/>
      <color theme="1"/>
      <name val="Arial"/>
    </font>
    <font>
      <i/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strike/>
      <color rgb="FF000000"/>
      <name val="Arial"/>
    </font>
    <font>
      <b/>
      <sz val="12.0"/>
      <color theme="1"/>
      <name val="Arial"/>
      <scheme val="minor"/>
    </font>
    <font>
      <color theme="1"/>
      <name val="Roboto"/>
    </font>
    <font>
      <color rgb="FF000000"/>
      <name val="Roboto"/>
    </font>
    <font>
      <color rgb="FFFF0000"/>
      <name val="Arial"/>
      <scheme val="minor"/>
    </font>
    <font>
      <color theme="4"/>
      <name val="Arial"/>
      <scheme val="minor"/>
    </font>
    <font>
      <strike/>
      <color rgb="FF000000"/>
      <name val="Roboto"/>
    </font>
    <font>
      <b/>
      <sz val="12.0"/>
      <color theme="1"/>
      <name val="Arial"/>
    </font>
    <font>
      <b/>
      <sz val="11.0"/>
      <color rgb="FF000000"/>
      <name val="Times New Roman"/>
    </font>
  </fonts>
  <fills count="43">
    <fill>
      <patternFill patternType="none"/>
    </fill>
    <fill>
      <patternFill patternType="lightGray"/>
    </fill>
    <fill>
      <patternFill patternType="solid">
        <fgColor rgb="FF63C5CD"/>
        <bgColor rgb="FF63C5C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46BDC6"/>
        <bgColor rgb="FF46BDC6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85BA88"/>
        <bgColor rgb="FF85BA88"/>
      </patternFill>
    </fill>
    <fill>
      <patternFill patternType="solid">
        <fgColor rgb="FF999999"/>
        <bgColor rgb="FF9999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1" fillId="2" fontId="2" numFmtId="164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3" fontId="4" numFmtId="0" xfId="0" applyAlignment="1" applyBorder="1" applyFill="1" applyFont="1">
      <alignment horizontal="center" shrinkToFit="0" vertical="bottom" wrapText="1"/>
    </xf>
    <xf borderId="1" fillId="4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Border="1" applyFont="1"/>
    <xf borderId="1" fillId="0" fontId="8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4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readingOrder="0" vertical="center"/>
    </xf>
    <xf borderId="1" fillId="6" fontId="5" numFmtId="0" xfId="0" applyBorder="1" applyFont="1"/>
    <xf borderId="0" fillId="7" fontId="3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center"/>
    </xf>
    <xf borderId="0" fillId="4" fontId="3" numFmtId="0" xfId="0" applyAlignment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vertical="bottom"/>
    </xf>
    <xf borderId="1" fillId="3" fontId="1" numFmtId="0" xfId="0" applyAlignment="1" applyBorder="1" applyFont="1">
      <alignment horizontal="center" readingOrder="0" shrinkToFit="0" vertical="bottom" wrapText="1"/>
    </xf>
    <xf borderId="0" fillId="8" fontId="3" numFmtId="0" xfId="0" applyAlignment="1" applyFill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9" fontId="3" numFmtId="0" xfId="0" applyAlignment="1" applyBorder="1" applyFill="1" applyFont="1">
      <alignment horizontal="center" vertical="center"/>
    </xf>
    <xf borderId="0" fillId="0" fontId="5" numFmtId="0" xfId="0" applyAlignment="1" applyFont="1">
      <alignment readingOrder="0"/>
    </xf>
    <xf borderId="1" fillId="6" fontId="1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0" fillId="0" fontId="1" numFmtId="0" xfId="0" applyAlignment="1" applyFont="1">
      <alignment vertical="bottom"/>
    </xf>
    <xf borderId="1" fillId="5" fontId="3" numFmtId="0" xfId="0" applyAlignment="1" applyBorder="1" applyFont="1">
      <alignment horizontal="center" readingOrder="0" vertical="center"/>
    </xf>
    <xf borderId="0" fillId="4" fontId="5" numFmtId="0" xfId="0" applyAlignment="1" applyFont="1">
      <alignment readingOrder="0"/>
    </xf>
    <xf borderId="1" fillId="10" fontId="2" numFmtId="164" xfId="0" applyAlignment="1" applyBorder="1" applyFill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1" fillId="8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bottom"/>
    </xf>
    <xf borderId="1" fillId="5" fontId="2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vertical="bottom"/>
    </xf>
    <xf borderId="0" fillId="5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0" fillId="10" fontId="2" numFmtId="164" xfId="0" applyAlignment="1" applyFont="1" applyNumberFormat="1">
      <alignment horizontal="center" readingOrder="0" vertical="bottom"/>
    </xf>
    <xf borderId="0" fillId="10" fontId="5" numFmtId="0" xfId="0" applyAlignment="1" applyFont="1">
      <alignment readingOrder="0"/>
    </xf>
    <xf borderId="2" fillId="0" fontId="1" numFmtId="0" xfId="0" applyAlignment="1" applyBorder="1" applyFont="1">
      <alignment horizontal="right" vertical="bottom"/>
    </xf>
    <xf borderId="0" fillId="3" fontId="5" numFmtId="0" xfId="0" applyFont="1"/>
    <xf borderId="1" fillId="0" fontId="1" numFmtId="0" xfId="0" applyAlignment="1" applyBorder="1" applyFont="1">
      <alignment horizontal="center" shrinkToFit="0" vertical="bottom" wrapText="1"/>
    </xf>
    <xf borderId="0" fillId="3" fontId="5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readingOrder="0" vertical="bottom"/>
    </xf>
    <xf borderId="2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0" fillId="0" fontId="8" numFmtId="0" xfId="0" applyAlignment="1" applyFont="1">
      <alignment vertical="center"/>
    </xf>
    <xf borderId="2" fillId="0" fontId="1" numFmtId="0" xfId="0" applyAlignment="1" applyBorder="1" applyFont="1">
      <alignment horizontal="right" readingOrder="0" vertical="bottom"/>
    </xf>
    <xf borderId="1" fillId="3" fontId="5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horizontal="center" vertical="bottom"/>
    </xf>
    <xf borderId="2" fillId="0" fontId="1" numFmtId="20" xfId="0" applyAlignment="1" applyBorder="1" applyFont="1" applyNumberFormat="1">
      <alignment horizontal="right" readingOrder="0" vertical="bottom"/>
    </xf>
    <xf borderId="1" fillId="9" fontId="4" numFmtId="0" xfId="0" applyAlignment="1" applyBorder="1" applyFont="1">
      <alignment horizontal="center" readingOrder="0" vertical="bottom"/>
    </xf>
    <xf borderId="0" fillId="5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vertical="center"/>
    </xf>
    <xf borderId="0" fillId="5" fontId="3" numFmtId="0" xfId="0" applyFont="1"/>
    <xf borderId="0" fillId="5" fontId="6" numFmtId="0" xfId="0" applyAlignment="1" applyFont="1">
      <alignment horizontal="center" readingOrder="0" vertical="center"/>
    </xf>
    <xf borderId="0" fillId="5" fontId="5" numFmtId="0" xfId="0" applyFont="1"/>
    <xf borderId="0" fillId="5" fontId="8" numFmtId="0" xfId="0" applyAlignment="1" applyFont="1">
      <alignment horizontal="center" readingOrder="0" vertical="center"/>
    </xf>
    <xf borderId="0" fillId="5" fontId="3" numFmtId="0" xfId="0" applyAlignment="1" applyFont="1">
      <alignment horizontal="center" shrinkToFit="0" vertical="center" wrapText="1"/>
    </xf>
    <xf borderId="0" fillId="5" fontId="3" numFmtId="0" xfId="0" applyAlignment="1" applyFont="1">
      <alignment horizontal="center" vertical="center"/>
    </xf>
    <xf borderId="0" fillId="5" fontId="2" numFmtId="0" xfId="0" applyAlignment="1" applyFont="1">
      <alignment horizontal="center" vertical="bottom"/>
    </xf>
    <xf borderId="0" fillId="5" fontId="3" numFmtId="0" xfId="0" applyAlignment="1" applyFont="1">
      <alignment horizontal="center" readingOrder="0" vertical="center"/>
    </xf>
    <xf borderId="0" fillId="5" fontId="5" numFmtId="0" xfId="0" applyAlignment="1" applyFont="1">
      <alignment horizontal="center" readingOrder="0"/>
    </xf>
    <xf borderId="0" fillId="5" fontId="3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readingOrder="0" vertical="bottom"/>
    </xf>
    <xf borderId="0" fillId="5" fontId="1" numFmtId="0" xfId="0" applyAlignment="1" applyFont="1">
      <alignment horizontal="center" readingOrder="0" vertical="bottom"/>
    </xf>
    <xf borderId="0" fillId="5" fontId="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0" fillId="0" fontId="10" numFmtId="0" xfId="0" applyFont="1"/>
    <xf borderId="0" fillId="0" fontId="10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vertical="bottom"/>
    </xf>
    <xf borderId="1" fillId="4" fontId="2" numFmtId="164" xfId="0" applyAlignment="1" applyBorder="1" applyFont="1" applyNumberFormat="1">
      <alignment horizontal="center" readingOrder="0" vertical="bottom"/>
    </xf>
    <xf borderId="0" fillId="0" fontId="11" numFmtId="165" xfId="0" applyAlignment="1" applyFont="1" applyNumberFormat="1">
      <alignment horizontal="center" readingOrder="0"/>
    </xf>
    <xf borderId="1" fillId="11" fontId="12" numFmtId="164" xfId="0" applyAlignment="1" applyBorder="1" applyFill="1" applyFont="1" applyNumberFormat="1">
      <alignment horizontal="center" readingOrder="0" vertical="bottom"/>
    </xf>
    <xf borderId="1" fillId="12" fontId="12" numFmtId="164" xfId="0" applyAlignment="1" applyBorder="1" applyFill="1" applyFont="1" applyNumberFormat="1">
      <alignment horizontal="center" readingOrder="0" vertical="bottom"/>
    </xf>
    <xf borderId="1" fillId="4" fontId="13" numFmtId="164" xfId="0" applyAlignment="1" applyBorder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1" fillId="3" fontId="1" numFmtId="164" xfId="0" applyAlignment="1" applyBorder="1" applyFont="1" applyNumberFormat="1">
      <alignment vertical="bottom"/>
    </xf>
    <xf borderId="0" fillId="0" fontId="2" numFmtId="0" xfId="0" applyAlignment="1" applyFont="1">
      <alignment horizontal="center" vertical="bottom"/>
    </xf>
    <xf borderId="1" fillId="3" fontId="14" numFmtId="0" xfId="0" applyAlignment="1" applyBorder="1" applyFont="1">
      <alignment horizontal="center" shrinkToFit="0" vertical="bottom" wrapText="1"/>
    </xf>
    <xf borderId="1" fillId="3" fontId="1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1" fillId="5" fontId="14" numFmtId="0" xfId="0" applyAlignment="1" applyBorder="1" applyFont="1">
      <alignment horizontal="center" vertical="bottom"/>
    </xf>
    <xf borderId="1" fillId="5" fontId="14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vertical="bottom"/>
    </xf>
    <xf borderId="0" fillId="0" fontId="2" numFmtId="0" xfId="0" applyAlignment="1" applyFont="1">
      <alignment horizontal="center" readingOrder="0" vertical="bottom"/>
    </xf>
    <xf borderId="2" fillId="0" fontId="2" numFmtId="20" xfId="0" applyAlignment="1" applyBorder="1" applyFont="1" applyNumberFormat="1">
      <alignment horizontal="center" vertical="bottom"/>
    </xf>
    <xf borderId="2" fillId="0" fontId="2" numFmtId="20" xfId="0" applyAlignment="1" applyBorder="1" applyFont="1" applyNumberFormat="1">
      <alignment horizontal="center" readingOrder="0" vertical="bottom"/>
    </xf>
    <xf borderId="0" fillId="0" fontId="2" numFmtId="20" xfId="0" applyAlignment="1" applyFont="1" applyNumberFormat="1">
      <alignment horizontal="center" vertical="bottom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0" xfId="0" applyFont="1"/>
    <xf borderId="0" fillId="0" fontId="11" numFmtId="0" xfId="0" applyAlignment="1" applyFont="1">
      <alignment horizontal="center" shrinkToFit="0" vertical="center" wrapText="1"/>
    </xf>
    <xf borderId="0" fillId="0" fontId="11" numFmtId="165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13" fontId="16" numFmtId="0" xfId="0" applyAlignment="1" applyFill="1" applyFont="1">
      <alignment horizontal="center" vertical="bottom"/>
    </xf>
    <xf borderId="1" fillId="14" fontId="2" numFmtId="0" xfId="0" applyAlignment="1" applyBorder="1" applyFill="1" applyFont="1">
      <alignment horizontal="center" vertical="bottom"/>
    </xf>
    <xf borderId="1" fillId="14" fontId="17" numFmtId="0" xfId="0" applyAlignment="1" applyBorder="1" applyFont="1">
      <alignment horizontal="center" vertical="bottom"/>
    </xf>
    <xf borderId="1" fillId="14" fontId="17" numFmtId="0" xfId="0" applyAlignment="1" applyBorder="1" applyFont="1">
      <alignment horizontal="center" readingOrder="0" vertical="bottom"/>
    </xf>
    <xf borderId="1" fillId="14" fontId="2" numFmtId="0" xfId="0" applyAlignment="1" applyBorder="1" applyFont="1">
      <alignment readingOrder="0" vertical="bottom"/>
    </xf>
    <xf borderId="0" fillId="14" fontId="1" numFmtId="0" xfId="0" applyAlignment="1" applyFont="1">
      <alignment horizontal="center" vertical="bottom"/>
    </xf>
    <xf borderId="3" fillId="0" fontId="3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0" fillId="14" fontId="1" numFmtId="0" xfId="0" applyAlignment="1" applyFont="1">
      <alignment horizontal="center" readingOrder="0" vertical="bottom"/>
    </xf>
    <xf borderId="1" fillId="0" fontId="5" numFmtId="0" xfId="0" applyAlignment="1" applyBorder="1" applyFont="1">
      <alignment readingOrder="0"/>
    </xf>
    <xf borderId="1" fillId="15" fontId="8" numFmtId="0" xfId="0" applyAlignment="1" applyBorder="1" applyFill="1" applyFont="1">
      <alignment horizontal="center" vertical="bottom"/>
    </xf>
    <xf borderId="4" fillId="15" fontId="8" numFmtId="0" xfId="0" applyAlignment="1" applyBorder="1" applyFont="1">
      <alignment horizontal="center" readingOrder="0" vertical="bottom"/>
    </xf>
    <xf borderId="4" fillId="15" fontId="8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3" fillId="0" fontId="3" numFmtId="166" xfId="0" applyAlignment="1" applyBorder="1" applyFont="1" applyNumberFormat="1">
      <alignment horizontal="center" readingOrder="0" vertical="bottom"/>
    </xf>
    <xf borderId="3" fillId="0" fontId="3" numFmtId="167" xfId="0" applyAlignment="1" applyBorder="1" applyFont="1" applyNumberForma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5" fillId="5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3" fillId="0" fontId="3" numFmtId="165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5" fillId="5" fontId="1" numFmtId="0" xfId="0" applyAlignment="1" applyBorder="1" applyFont="1">
      <alignment horizontal="center" vertical="bottom"/>
    </xf>
    <xf borderId="5" fillId="5" fontId="18" numFmtId="0" xfId="0" applyAlignment="1" applyBorder="1" applyFont="1">
      <alignment horizontal="center" vertical="bottom"/>
    </xf>
    <xf borderId="5" fillId="5" fontId="18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3" fillId="0" fontId="3" numFmtId="168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5" fillId="5" fontId="1" numFmtId="0" xfId="0" applyAlignment="1" applyBorder="1" applyFont="1">
      <alignment horizontal="center"/>
    </xf>
    <xf borderId="5" fillId="5" fontId="1" numFmtId="0" xfId="0" applyAlignment="1" applyBorder="1" applyFont="1">
      <alignment horizontal="center" shrinkToFit="0" vertical="bottom" wrapText="1"/>
    </xf>
    <xf borderId="3" fillId="5" fontId="18" numFmtId="0" xfId="0" applyAlignment="1" applyBorder="1" applyFont="1">
      <alignment horizontal="center" vertical="bottom"/>
    </xf>
    <xf borderId="3" fillId="0" fontId="3" numFmtId="169" xfId="0" applyAlignment="1" applyBorder="1" applyFont="1" applyNumberFormat="1">
      <alignment horizontal="center" readingOrder="0" vertical="bottom"/>
    </xf>
    <xf borderId="3" fillId="5" fontId="1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6" fillId="15" fontId="2" numFmtId="0" xfId="0" applyAlignment="1" applyBorder="1" applyFont="1">
      <alignment horizontal="center" vertical="bottom"/>
    </xf>
    <xf borderId="7" fillId="0" fontId="19" numFmtId="0" xfId="0" applyBorder="1" applyFont="1"/>
    <xf borderId="4" fillId="0" fontId="19" numFmtId="0" xfId="0" applyBorder="1" applyFont="1"/>
    <xf borderId="2" fillId="0" fontId="1" numFmtId="0" xfId="0" applyAlignment="1" applyBorder="1" applyFont="1">
      <alignment vertical="bottom"/>
    </xf>
    <xf borderId="7" fillId="15" fontId="2" numFmtId="0" xfId="0" applyAlignment="1" applyBorder="1" applyFont="1">
      <alignment horizontal="center" vertical="bottom"/>
    </xf>
    <xf borderId="7" fillId="15" fontId="2" numFmtId="0" xfId="0" applyAlignment="1" applyBorder="1" applyFont="1">
      <alignment horizontal="center" readingOrder="0" vertical="bottom"/>
    </xf>
    <xf borderId="0" fillId="16" fontId="1" numFmtId="0" xfId="0" applyAlignment="1" applyFill="1" applyFont="1">
      <alignment vertical="bottom"/>
    </xf>
    <xf borderId="7" fillId="17" fontId="2" numFmtId="0" xfId="0" applyAlignment="1" applyBorder="1" applyFill="1" applyFont="1">
      <alignment horizontal="center" readingOrder="0" vertical="bottom"/>
    </xf>
    <xf borderId="7" fillId="18" fontId="2" numFmtId="0" xfId="0" applyAlignment="1" applyBorder="1" applyFill="1" applyFont="1">
      <alignment horizontal="center" readingOrder="0" vertical="bottom"/>
    </xf>
    <xf borderId="5" fillId="15" fontId="2" numFmtId="0" xfId="0" applyAlignment="1" applyBorder="1" applyFont="1">
      <alignment horizontal="center" vertical="bottom"/>
    </xf>
    <xf borderId="3" fillId="15" fontId="2" numFmtId="0" xfId="0" applyAlignment="1" applyBorder="1" applyFont="1">
      <alignment horizontal="center" vertical="bottom"/>
    </xf>
    <xf borderId="2" fillId="15" fontId="2" numFmtId="0" xfId="0" applyAlignment="1" applyBorder="1" applyFont="1">
      <alignment horizontal="center" vertical="bottom"/>
    </xf>
    <xf borderId="3" fillId="17" fontId="2" numFmtId="0" xfId="0" applyAlignment="1" applyBorder="1" applyFont="1">
      <alignment horizontal="center" vertical="bottom"/>
    </xf>
    <xf borderId="2" fillId="17" fontId="2" numFmtId="0" xfId="0" applyAlignment="1" applyBorder="1" applyFont="1">
      <alignment horizontal="center" vertical="bottom"/>
    </xf>
    <xf borderId="3" fillId="18" fontId="2" numFmtId="0" xfId="0" applyAlignment="1" applyBorder="1" applyFont="1">
      <alignment horizontal="center" vertical="bottom"/>
    </xf>
    <xf borderId="2" fillId="18" fontId="2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shrinkToFit="0" vertical="bottom" wrapText="0"/>
    </xf>
    <xf borderId="5" fillId="5" fontId="1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3" fillId="5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/>
    </xf>
    <xf borderId="1" fillId="5" fontId="1" numFmtId="0" xfId="0" applyAlignment="1" applyBorder="1" applyFont="1">
      <alignment vertical="bottom"/>
    </xf>
    <xf borderId="1" fillId="19" fontId="5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center" shrinkToFit="0" vertical="bottom" wrapText="1"/>
    </xf>
    <xf borderId="1" fillId="5" fontId="4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4" fillId="5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shrinkToFit="0" vertical="bottom" wrapText="1"/>
    </xf>
    <xf borderId="3" fillId="5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/>
    </xf>
    <xf borderId="0" fillId="5" fontId="1" numFmtId="0" xfId="0" applyAlignment="1" applyFont="1">
      <alignment horizontal="center" vertical="bottom"/>
    </xf>
    <xf borderId="3" fillId="0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shrinkToFit="0" wrapText="1"/>
    </xf>
    <xf borderId="1" fillId="5" fontId="3" numFmtId="0" xfId="0" applyAlignment="1" applyBorder="1" applyFont="1">
      <alignment horizontal="center" readingOrder="0" vertical="bottom"/>
    </xf>
    <xf borderId="5" fillId="5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horizontal="center" readingOrder="0" shrinkToFit="0" vertical="bottom" wrapText="1"/>
    </xf>
    <xf borderId="3" fillId="5" fontId="1" numFmtId="0" xfId="0" applyAlignment="1" applyBorder="1" applyFont="1">
      <alignment horizontal="center" readingOrder="0" vertical="bottom"/>
    </xf>
    <xf borderId="0" fillId="16" fontId="3" numFmtId="0" xfId="0" applyAlignment="1" applyFont="1">
      <alignment horizontal="center" readingOrder="0"/>
    </xf>
    <xf borderId="1" fillId="5" fontId="3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horizontal="center" readingOrder="0"/>
    </xf>
    <xf borderId="0" fillId="16" fontId="3" numFmtId="0" xfId="0" applyAlignment="1" applyFont="1">
      <alignment horizontal="center" readingOrder="0" vertical="bottom"/>
    </xf>
    <xf borderId="1" fillId="20" fontId="1" numFmtId="0" xfId="0" applyAlignment="1" applyBorder="1" applyFill="1" applyFont="1">
      <alignment horizontal="center" readingOrder="0" shrinkToFit="0" vertical="bottom" wrapText="1"/>
    </xf>
    <xf borderId="0" fillId="5" fontId="3" numFmtId="0" xfId="0" applyAlignment="1" applyFon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0" fillId="5" fontId="3" numFmtId="0" xfId="0" applyAlignment="1" applyFont="1">
      <alignment horizontal="center" readingOrder="0"/>
    </xf>
    <xf borderId="1" fillId="5" fontId="4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shrinkToFit="0" vertical="bottom" wrapText="0"/>
    </xf>
    <xf borderId="0" fillId="16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readingOrder="0" vertical="bottom"/>
    </xf>
    <xf borderId="3" fillId="5" fontId="1" numFmtId="0" xfId="0" applyAlignment="1" applyBorder="1" applyFont="1">
      <alignment horizontal="center" readingOrder="0" shrinkToFit="0" wrapText="1"/>
    </xf>
    <xf borderId="1" fillId="5" fontId="9" numFmtId="170" xfId="0" applyAlignment="1" applyBorder="1" applyFont="1" applyNumberFormat="1">
      <alignment horizontal="center" readingOrder="0" vertical="bottom"/>
    </xf>
    <xf borderId="5" fillId="5" fontId="1" numFmtId="0" xfId="0" applyAlignment="1" applyBorder="1" applyFont="1">
      <alignment horizontal="center"/>
    </xf>
    <xf borderId="3" fillId="5" fontId="1" numFmtId="0" xfId="0" applyAlignment="1" applyBorder="1" applyFont="1">
      <alignment horizontal="center" readingOrder="0" shrinkToFit="0" vertical="bottom" wrapText="1"/>
    </xf>
    <xf borderId="1" fillId="5" fontId="1" numFmtId="170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readingOrder="0" vertical="bottom"/>
    </xf>
    <xf borderId="0" fillId="16" fontId="1" numFmtId="0" xfId="0" applyAlignment="1" applyFont="1">
      <alignment horizontal="center" readingOrder="0" vertical="bottom"/>
    </xf>
    <xf borderId="0" fillId="0" fontId="5" numFmtId="170" xfId="0" applyAlignment="1" applyFont="1" applyNumberFormat="1">
      <alignment horizontal="center" readingOrder="0"/>
    </xf>
    <xf borderId="1" fillId="19" fontId="1" numFmtId="0" xfId="0" applyAlignment="1" applyBorder="1" applyFont="1">
      <alignment horizontal="center" readingOrder="0" vertical="bottom"/>
    </xf>
    <xf borderId="0" fillId="16" fontId="1" numFmtId="0" xfId="0" applyAlignment="1" applyFont="1">
      <alignment horizontal="center" shrinkToFit="0" vertical="bottom" wrapText="1"/>
    </xf>
    <xf borderId="1" fillId="5" fontId="1" numFmtId="0" xfId="0" applyAlignment="1" applyBorder="1" applyFont="1">
      <alignment horizontal="center" readingOrder="0" vertical="bottom"/>
    </xf>
    <xf borderId="0" fillId="21" fontId="5" numFmtId="0" xfId="0" applyAlignment="1" applyFill="1" applyFont="1">
      <alignment horizontal="center" readingOrder="0"/>
    </xf>
    <xf borderId="0" fillId="16" fontId="1" numFmtId="0" xfId="0" applyAlignment="1" applyFont="1">
      <alignment horizontal="center" vertical="bottom"/>
    </xf>
    <xf borderId="1" fillId="22" fontId="5" numFmtId="0" xfId="0" applyAlignment="1" applyBorder="1" applyFill="1" applyFont="1">
      <alignment horizontal="center" readingOrder="0"/>
    </xf>
    <xf borderId="3" fillId="5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shrinkToFit="0" vertical="bottom" wrapText="0"/>
    </xf>
    <xf borderId="3" fillId="5" fontId="1" numFmtId="0" xfId="0" applyAlignment="1" applyBorder="1" applyFont="1">
      <alignment horizontal="center" shrinkToFit="0" vertical="bottom" wrapText="0"/>
    </xf>
    <xf borderId="1" fillId="22" fontId="1" numFmtId="0" xfId="0" applyAlignment="1" applyBorder="1" applyFont="1">
      <alignment horizontal="center" readingOrder="0" shrinkToFit="0" vertical="bottom" wrapText="1"/>
    </xf>
    <xf borderId="6" fillId="5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9" fillId="5" fontId="1" numFmtId="0" xfId="0" applyAlignment="1" applyBorder="1" applyFont="1">
      <alignment horizontal="center" shrinkToFit="0" vertical="bottom" wrapText="0"/>
    </xf>
    <xf borderId="3" fillId="5" fontId="1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readingOrder="0" vertical="bottom"/>
    </xf>
    <xf borderId="1" fillId="0" fontId="9" numFmtId="0" xfId="0" applyAlignment="1" applyBorder="1" applyFont="1">
      <alignment horizontal="center" vertical="bottom"/>
    </xf>
    <xf borderId="5" fillId="5" fontId="1" numFmtId="0" xfId="0" applyAlignment="1" applyBorder="1" applyFont="1">
      <alignment horizontal="center" readingOrder="0" shrinkToFit="0" vertical="bottom" wrapText="1"/>
    </xf>
    <xf borderId="1" fillId="3" fontId="9" numFmtId="0" xfId="0" applyAlignment="1" applyBorder="1" applyFont="1">
      <alignment horizontal="center" readingOrder="0" shrinkToFit="0" vertical="bottom" wrapText="1"/>
    </xf>
    <xf borderId="1" fillId="0" fontId="20" numFmtId="0" xfId="0" applyAlignment="1" applyBorder="1" applyFont="1">
      <alignment horizontal="center" readingOrder="0"/>
    </xf>
    <xf borderId="0" fillId="0" fontId="1" numFmtId="0" xfId="0" applyAlignment="1" applyFont="1">
      <alignment readingOrder="0" vertical="bottom"/>
    </xf>
    <xf borderId="6" fillId="0" fontId="1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 vertical="bottom"/>
    </xf>
    <xf borderId="3" fillId="0" fontId="1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horizontal="center" vertical="bottom"/>
    </xf>
    <xf borderId="1" fillId="5" fontId="9" numFmtId="0" xfId="0" applyAlignment="1" applyBorder="1" applyFont="1">
      <alignment horizontal="center" readingOrder="0" vertical="bottom"/>
    </xf>
    <xf borderId="9" fillId="5" fontId="1" numFmtId="0" xfId="0" applyAlignment="1" applyBorder="1" applyFont="1">
      <alignment horizontal="center" shrinkToFit="0" wrapText="0"/>
    </xf>
    <xf borderId="1" fillId="5" fontId="21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1" fillId="5" fontId="2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shrinkToFit="0" vertical="bottom" wrapText="1"/>
    </xf>
    <xf borderId="0" fillId="0" fontId="22" numFmtId="0" xfId="0" applyAlignment="1" applyFont="1">
      <alignment horizontal="center" readingOrder="0"/>
    </xf>
    <xf borderId="6" fillId="5" fontId="1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vertical="bottom"/>
    </xf>
    <xf borderId="1" fillId="5" fontId="21" numFmtId="0" xfId="0" applyAlignment="1" applyBorder="1" applyFont="1">
      <alignment horizontal="center" readingOrder="0" shrinkToFit="0" vertical="bottom" wrapText="1"/>
    </xf>
    <xf borderId="1" fillId="5" fontId="4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1" fillId="5" fontId="9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readingOrder="0"/>
    </xf>
    <xf borderId="10" fillId="5" fontId="1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vertical="bottom"/>
    </xf>
    <xf borderId="8" fillId="15" fontId="2" numFmtId="0" xfId="0" applyAlignment="1" applyBorder="1" applyFont="1">
      <alignment horizontal="center" readingOrder="0" vertical="bottom"/>
    </xf>
    <xf borderId="8" fillId="0" fontId="19" numFmtId="0" xfId="0" applyBorder="1" applyFont="1"/>
    <xf borderId="3" fillId="0" fontId="19" numFmtId="0" xfId="0" applyBorder="1" applyFont="1"/>
    <xf borderId="3" fillId="5" fontId="3" numFmtId="0" xfId="0" applyAlignment="1" applyBorder="1" applyFont="1">
      <alignment horizontal="center" vertical="bottom"/>
    </xf>
    <xf borderId="8" fillId="23" fontId="2" numFmtId="0" xfId="0" applyAlignment="1" applyBorder="1" applyFill="1" applyFont="1">
      <alignment horizontal="center" vertical="bottom"/>
    </xf>
    <xf borderId="8" fillId="15" fontId="2" numFmtId="0" xfId="0" applyAlignment="1" applyBorder="1" applyFont="1">
      <alignment horizontal="center" vertical="bottom"/>
    </xf>
    <xf borderId="9" fillId="15" fontId="2" numFmtId="0" xfId="0" applyAlignment="1" applyBorder="1" applyFont="1">
      <alignment horizontal="center" vertical="bottom"/>
    </xf>
    <xf borderId="9" fillId="23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16" fontId="5" numFmtId="0" xfId="0" applyFont="1"/>
    <xf borderId="1" fillId="24" fontId="2" numFmtId="164" xfId="0" applyAlignment="1" applyBorder="1" applyFill="1" applyFont="1" applyNumberFormat="1">
      <alignment horizontal="center" readingOrder="0" vertical="top"/>
    </xf>
    <xf borderId="1" fillId="24" fontId="2" numFmtId="0" xfId="0" applyAlignment="1" applyBorder="1" applyFont="1">
      <alignment horizontal="center" readingOrder="0" vertical="top"/>
    </xf>
    <xf borderId="2" fillId="0" fontId="1" numFmtId="164" xfId="0" applyAlignment="1" applyBorder="1" applyFont="1" applyNumberFormat="1">
      <alignment vertical="bottom"/>
    </xf>
    <xf borderId="2" fillId="0" fontId="1" numFmtId="0" xfId="0" applyAlignment="1" applyBorder="1" applyFont="1">
      <alignment horizontal="center" vertical="bottom"/>
    </xf>
    <xf borderId="3" fillId="6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6" fontId="1" numFmtId="0" xfId="0" applyAlignment="1" applyBorder="1" applyFont="1">
      <alignment horizontal="center" vertical="bottom"/>
    </xf>
    <xf borderId="2" fillId="0" fontId="1" numFmtId="20" xfId="0" applyAlignment="1" applyBorder="1" applyFont="1" applyNumberFormat="1">
      <alignment horizontal="center" readingOrder="0" vertical="bottom"/>
    </xf>
    <xf borderId="1" fillId="25" fontId="2" numFmtId="164" xfId="0" applyAlignment="1" applyBorder="1" applyFill="1" applyFont="1" applyNumberFormat="1">
      <alignment horizontal="center" readingOrder="0" vertical="top"/>
    </xf>
    <xf borderId="3" fillId="3" fontId="1" numFmtId="0" xfId="0" applyAlignment="1" applyBorder="1" applyFont="1">
      <alignment horizontal="center" shrinkToFit="0" vertical="bottom" wrapText="1"/>
    </xf>
    <xf borderId="0" fillId="7" fontId="5" numFmtId="0" xfId="0" applyAlignment="1" applyFont="1">
      <alignment horizontal="center" readingOrder="0"/>
    </xf>
    <xf borderId="1" fillId="9" fontId="5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shrinkToFit="0" vertical="bottom" wrapText="1"/>
    </xf>
    <xf borderId="3" fillId="4" fontId="1" numFmtId="0" xfId="0" applyAlignment="1" applyBorder="1" applyFont="1">
      <alignment horizontal="center" readingOrder="0" shrinkToFit="0" vertical="bottom" wrapText="1"/>
    </xf>
    <xf borderId="1" fillId="7" fontId="1" numFmtId="0" xfId="0" applyAlignment="1" applyBorder="1" applyFont="1">
      <alignment horizontal="center" readingOrder="0" vertical="bottom"/>
    </xf>
    <xf borderId="1" fillId="5" fontId="2" numFmtId="0" xfId="0" applyAlignment="1" applyBorder="1" applyFont="1">
      <alignment horizontal="center" readingOrder="0" shrinkToFit="0" vertical="bottom" wrapText="1"/>
    </xf>
    <xf borderId="1" fillId="4" fontId="23" numFmtId="0" xfId="0" applyAlignment="1" applyBorder="1" applyFont="1">
      <alignment horizontal="center" readingOrder="0" shrinkToFit="0" vertical="bottom" wrapText="1"/>
    </xf>
    <xf borderId="3" fillId="3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7" fontId="1" numFmtId="0" xfId="0" applyAlignment="1" applyBorder="1" applyFont="1">
      <alignment horizontal="center" shrinkToFit="0" vertical="bottom" wrapText="1"/>
    </xf>
    <xf borderId="0" fillId="4" fontId="1" numFmtId="0" xfId="0" applyAlignment="1" applyFont="1">
      <alignment horizontal="center" vertical="bottom"/>
    </xf>
    <xf borderId="3" fillId="3" fontId="4" numFmtId="0" xfId="0" applyAlignment="1" applyBorder="1" applyFont="1">
      <alignment horizontal="center" readingOrder="0" shrinkToFit="0" vertical="bottom" wrapText="1"/>
    </xf>
    <xf borderId="0" fillId="7" fontId="1" numFmtId="0" xfId="0" applyAlignment="1" applyFont="1">
      <alignment horizontal="center" readingOrder="0" vertical="bottom"/>
    </xf>
    <xf borderId="1" fillId="26" fontId="9" numFmtId="0" xfId="0" applyAlignment="1" applyBorder="1" applyFill="1" applyFont="1">
      <alignment horizontal="center" readingOrder="0" vertical="bottom"/>
    </xf>
    <xf borderId="1" fillId="3" fontId="4" numFmtId="0" xfId="0" applyAlignment="1" applyBorder="1" applyFont="1">
      <alignment horizontal="center" readingOrder="0" shrinkToFit="0" vertical="bottom" wrapText="1"/>
    </xf>
    <xf borderId="1" fillId="4" fontId="9" numFmtId="0" xfId="0" applyAlignment="1" applyBorder="1" applyFont="1">
      <alignment horizontal="center" readingOrder="0" vertical="bottom"/>
    </xf>
    <xf borderId="3" fillId="7" fontId="1" numFmtId="0" xfId="0" applyAlignment="1" applyBorder="1" applyFont="1">
      <alignment horizontal="center" readingOrder="0" vertical="bottom"/>
    </xf>
    <xf borderId="1" fillId="27" fontId="2" numFmtId="164" xfId="0" applyAlignment="1" applyBorder="1" applyFill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readingOrder="0" shrinkToFit="0" vertical="bottom" wrapText="1"/>
    </xf>
    <xf borderId="0" fillId="5" fontId="2" numFmtId="20" xfId="0" applyAlignment="1" applyFont="1" applyNumberForma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1" fillId="28" fontId="2" numFmtId="164" xfId="0" applyAlignment="1" applyBorder="1" applyFill="1" applyFont="1" applyNumberFormat="1">
      <alignment horizontal="center" readingOrder="0" vertical="bottom"/>
    </xf>
    <xf borderId="1" fillId="28" fontId="2" numFmtId="0" xfId="0" applyAlignment="1" applyBorder="1" applyFont="1">
      <alignment horizontal="center" readingOrder="0" vertical="bottom"/>
    </xf>
    <xf borderId="0" fillId="3" fontId="10" numFmtId="0" xfId="0" applyAlignment="1" applyFont="1">
      <alignment readingOrder="0"/>
    </xf>
    <xf borderId="3" fillId="5" fontId="9" numFmtId="0" xfId="0" applyAlignment="1" applyBorder="1" applyFont="1">
      <alignment horizontal="center" readingOrder="0" shrinkToFit="0" vertical="bottom" wrapText="1"/>
    </xf>
    <xf borderId="0" fillId="4" fontId="1" numFmtId="0" xfId="0" applyAlignment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 readingOrder="0" shrinkToFit="0" vertical="bottom" wrapText="1"/>
    </xf>
    <xf borderId="1" fillId="4" fontId="9" numFmtId="0" xfId="0" applyAlignment="1" applyBorder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0" fillId="6" fontId="5" numFmtId="0" xfId="0" applyFont="1"/>
    <xf borderId="1" fillId="29" fontId="2" numFmtId="164" xfId="0" applyAlignment="1" applyBorder="1" applyFill="1" applyFont="1" applyNumberFormat="1">
      <alignment horizontal="center" readingOrder="0" vertical="bottom"/>
    </xf>
    <xf borderId="0" fillId="29" fontId="10" numFmtId="164" xfId="0" applyAlignment="1" applyFont="1" applyNumberFormat="1">
      <alignment horizontal="center" readingOrder="0"/>
    </xf>
    <xf borderId="1" fillId="30" fontId="2" numFmtId="164" xfId="0" applyAlignment="1" applyBorder="1" applyFill="1" applyFont="1" applyNumberFormat="1">
      <alignment horizontal="center" readingOrder="0" vertical="top"/>
    </xf>
    <xf borderId="0" fillId="0" fontId="1" numFmtId="164" xfId="0" applyAlignment="1" applyFont="1" applyNumberFormat="1">
      <alignment horizontal="center" vertical="bottom"/>
    </xf>
    <xf borderId="1" fillId="4" fontId="9" numFmtId="0" xfId="0" applyAlignment="1" applyBorder="1" applyFont="1">
      <alignment horizontal="center" readingOrder="0" shrinkToFit="0" vertical="bottom" wrapText="1"/>
    </xf>
    <xf borderId="0" fillId="4" fontId="9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/>
    </xf>
    <xf borderId="1" fillId="3" fontId="2" numFmtId="0" xfId="0" applyAlignment="1" applyBorder="1" applyFont="1">
      <alignment horizontal="center" readingOrder="0" vertical="bottom"/>
    </xf>
    <xf borderId="0" fillId="0" fontId="2" numFmtId="20" xfId="0" applyAlignment="1" applyFont="1" applyNumberForma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horizontal="center" readingOrder="0" vertical="bottom"/>
    </xf>
    <xf borderId="1" fillId="21" fontId="1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readingOrder="0"/>
    </xf>
    <xf borderId="0" fillId="31" fontId="5" numFmtId="0" xfId="0" applyFill="1" applyFont="1"/>
    <xf borderId="1" fillId="10" fontId="2" numFmtId="0" xfId="0" applyAlignment="1" applyBorder="1" applyFont="1">
      <alignment horizontal="center" readingOrder="0" vertical="bottom"/>
    </xf>
    <xf borderId="1" fillId="32" fontId="2" numFmtId="164" xfId="0" applyAlignment="1" applyBorder="1" applyFill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32" fontId="2" numFmtId="164" xfId="0" applyAlignment="1" applyFont="1" applyNumberFormat="1">
      <alignment horizontal="center" readingOrder="0" vertical="bottom"/>
    </xf>
    <xf borderId="0" fillId="32" fontId="2" numFmtId="0" xfId="0" applyAlignment="1" applyFont="1">
      <alignment horizontal="center" readingOrder="0" vertical="bottom"/>
    </xf>
    <xf borderId="1" fillId="7" fontId="1" numFmtId="0" xfId="0" applyAlignment="1" applyBorder="1" applyFont="1">
      <alignment horizontal="center" readingOrder="0" shrinkToFit="0" vertical="bottom" wrapText="1"/>
    </xf>
    <xf borderId="1" fillId="8" fontId="1" numFmtId="0" xfId="0" applyAlignment="1" applyBorder="1" applyFont="1">
      <alignment horizontal="center" readingOrder="0" shrinkToFit="0" vertical="bottom" wrapText="1"/>
    </xf>
    <xf borderId="0" fillId="9" fontId="5" numFmtId="0" xfId="0" applyAlignment="1" applyFont="1">
      <alignment horizontal="center" readingOrder="0"/>
    </xf>
    <xf borderId="0" fillId="6" fontId="20" numFmtId="0" xfId="0" applyAlignment="1" applyFont="1">
      <alignment readingOrder="0"/>
    </xf>
    <xf borderId="1" fillId="33" fontId="2" numFmtId="164" xfId="0" applyAlignment="1" applyBorder="1" applyFill="1" applyFont="1" applyNumberFormat="1">
      <alignment horizontal="center" readingOrder="0" vertical="bottom"/>
    </xf>
    <xf borderId="1" fillId="33" fontId="2" numFmtId="0" xfId="0" applyAlignment="1" applyBorder="1" applyFont="1">
      <alignment horizontal="center" readingOrder="0" vertical="bottom"/>
    </xf>
    <xf borderId="1" fillId="22" fontId="1" numFmtId="0" xfId="0" applyAlignment="1" applyBorder="1" applyFont="1">
      <alignment horizontal="center" shrinkToFit="0" vertical="bottom" wrapText="1"/>
    </xf>
    <xf borderId="1" fillId="5" fontId="4" numFmtId="0" xfId="0" applyAlignment="1" applyBorder="1" applyFont="1">
      <alignment vertical="bottom"/>
    </xf>
    <xf borderId="1" fillId="22" fontId="2" numFmtId="0" xfId="0" applyAlignment="1" applyBorder="1" applyFont="1">
      <alignment horizontal="center" readingOrder="0" shrinkToFit="0" vertical="bottom" wrapText="1"/>
    </xf>
    <xf borderId="1" fillId="19" fontId="2" numFmtId="164" xfId="0" applyAlignment="1" applyBorder="1" applyFont="1" applyNumberFormat="1">
      <alignment horizontal="center" readingOrder="0" vertical="bottom"/>
    </xf>
    <xf borderId="1" fillId="19" fontId="2" numFmtId="0" xfId="0" applyAlignment="1" applyBorder="1" applyFont="1">
      <alignment horizontal="center" readingOrder="0" vertical="bottom"/>
    </xf>
    <xf borderId="1" fillId="33" fontId="1" numFmtId="0" xfId="0" applyAlignment="1" applyBorder="1" applyFont="1">
      <alignment horizontal="center" readingOrder="0" vertical="bottom"/>
    </xf>
    <xf borderId="0" fillId="8" fontId="5" numFmtId="0" xfId="0" applyFont="1"/>
    <xf borderId="1" fillId="33" fontId="1" numFmtId="0" xfId="0" applyAlignment="1" applyBorder="1" applyFont="1">
      <alignment horizontal="center" vertical="bottom"/>
    </xf>
    <xf borderId="0" fillId="22" fontId="5" numFmtId="0" xfId="0" applyAlignment="1" applyFont="1">
      <alignment horizontal="center"/>
    </xf>
    <xf borderId="0" fillId="22" fontId="5" numFmtId="0" xfId="0" applyAlignment="1" applyFont="1">
      <alignment horizontal="center" readingOrder="0"/>
    </xf>
    <xf borderId="1" fillId="8" fontId="1" numFmtId="0" xfId="0" applyAlignment="1" applyBorder="1" applyFont="1">
      <alignment horizontal="center" readingOrder="0" vertical="bottom"/>
    </xf>
    <xf borderId="0" fillId="8" fontId="20" numFmtId="0" xfId="0" applyAlignment="1" applyFont="1">
      <alignment horizontal="center" readingOrder="0"/>
    </xf>
    <xf borderId="1" fillId="17" fontId="2" numFmtId="164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34" fontId="2" numFmtId="164" xfId="0" applyAlignment="1" applyBorder="1" applyFill="1" applyFont="1" applyNumberFormat="1">
      <alignment horizontal="center" readingOrder="0" vertical="bottom"/>
    </xf>
    <xf borderId="1" fillId="24" fontId="2" numFmtId="164" xfId="0" applyAlignment="1" applyBorder="1" applyFont="1" applyNumberFormat="1">
      <alignment horizontal="center" vertical="top"/>
    </xf>
    <xf borderId="3" fillId="3" fontId="1" numFmtId="0" xfId="0" applyAlignment="1" applyBorder="1" applyFont="1">
      <alignment horizontal="center" shrinkToFit="0" vertical="bottom" wrapText="1"/>
    </xf>
    <xf borderId="3" fillId="5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vertical="bottom"/>
    </xf>
    <xf borderId="1" fillId="25" fontId="2" numFmtId="164" xfId="0" applyAlignment="1" applyBorder="1" applyFont="1" applyNumberFormat="1">
      <alignment horizontal="center" vertical="top"/>
    </xf>
    <xf borderId="3" fillId="5" fontId="4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vertical="bottom"/>
    </xf>
    <xf borderId="3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27" fontId="2" numFmtId="164" xfId="0" applyAlignment="1" applyBorder="1" applyFont="1" applyNumberFormat="1">
      <alignment horizontal="center" vertical="bottom"/>
    </xf>
    <xf borderId="1" fillId="27" fontId="2" numFmtId="0" xfId="0" applyAlignment="1" applyBorder="1" applyFont="1">
      <alignment horizontal="center" readingOrder="0" vertical="bottom"/>
    </xf>
    <xf borderId="1" fillId="5" fontId="5" numFmtId="0" xfId="0" applyBorder="1" applyFont="1"/>
    <xf borderId="1" fillId="5" fontId="4" numFmtId="0" xfId="0" applyAlignment="1" applyBorder="1" applyFont="1">
      <alignment vertical="bottom"/>
    </xf>
    <xf borderId="1" fillId="5" fontId="24" numFmtId="0" xfId="0" applyAlignment="1" applyBorder="1" applyFont="1">
      <alignment horizontal="center" shrinkToFit="0" vertical="bottom" wrapText="1"/>
    </xf>
    <xf borderId="0" fillId="35" fontId="2" numFmtId="20" xfId="0" applyAlignment="1" applyFill="1" applyFont="1" applyNumberFormat="1">
      <alignment horizontal="center" readingOrder="0" vertical="bottom"/>
    </xf>
    <xf borderId="0" fillId="34" fontId="3" numFmtId="0" xfId="0" applyAlignment="1" applyFont="1">
      <alignment horizontal="center" readingOrder="0"/>
    </xf>
    <xf borderId="1" fillId="20" fontId="2" numFmtId="0" xfId="0" applyAlignment="1" applyBorder="1" applyFont="1">
      <alignment horizontal="center" readingOrder="0" vertical="bottom"/>
    </xf>
    <xf borderId="1" fillId="20" fontId="2" numFmtId="164" xfId="0" applyAlignment="1" applyBorder="1" applyFont="1" applyNumberFormat="1">
      <alignment horizontal="center" readingOrder="0" vertical="bottom"/>
    </xf>
    <xf borderId="0" fillId="5" fontId="10" numFmtId="0" xfId="0" applyAlignment="1" applyFont="1">
      <alignment horizontal="center" readingOrder="0"/>
    </xf>
    <xf borderId="1" fillId="0" fontId="20" numFmtId="0" xfId="0" applyAlignment="1" applyBorder="1" applyFont="1">
      <alignment readingOrder="0"/>
    </xf>
    <xf borderId="1" fillId="30" fontId="2" numFmtId="164" xfId="0" applyAlignment="1" applyBorder="1" applyFont="1" applyNumberFormat="1">
      <alignment horizontal="center" vertical="top"/>
    </xf>
    <xf borderId="1" fillId="30" fontId="2" numFmtId="0" xfId="0" applyAlignment="1" applyBorder="1" applyFont="1">
      <alignment horizontal="center" readingOrder="0" vertical="top"/>
    </xf>
    <xf borderId="1" fillId="6" fontId="4" numFmtId="0" xfId="0" applyAlignment="1" applyBorder="1" applyFont="1">
      <alignment horizontal="center" readingOrder="0" shrinkToFit="0" vertical="bottom" wrapText="1"/>
    </xf>
    <xf borderId="1" fillId="31" fontId="1" numFmtId="0" xfId="0" applyAlignment="1" applyBorder="1" applyFont="1">
      <alignment horizontal="center" readingOrder="0" vertical="bottom"/>
    </xf>
    <xf borderId="1" fillId="6" fontId="2" numFmtId="0" xfId="0" applyAlignment="1" applyBorder="1" applyFont="1">
      <alignment horizontal="center" readingOrder="0" shrinkToFit="0" vertical="bottom" wrapText="1"/>
    </xf>
    <xf borderId="2" fillId="0" fontId="1" numFmtId="20" xfId="0" applyAlignment="1" applyBorder="1" applyFont="1" applyNumberFormat="1">
      <alignment readingOrder="0" vertical="bottom"/>
    </xf>
    <xf borderId="1" fillId="3" fontId="5" numFmtId="0" xfId="0" applyAlignment="1" applyBorder="1" applyFont="1">
      <alignment readingOrder="0"/>
    </xf>
    <xf borderId="1" fillId="2" fontId="2" numFmtId="164" xfId="0" applyAlignment="1" applyBorder="1" applyFont="1" applyNumberFormat="1">
      <alignment horizontal="center" vertical="bottom"/>
    </xf>
    <xf borderId="1" fillId="2" fontId="2" numFmtId="164" xfId="0" applyAlignment="1" applyBorder="1" applyFont="1" applyNumberForma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bottom"/>
    </xf>
    <xf borderId="1" fillId="10" fontId="2" numFmtId="164" xfId="0" applyAlignment="1" applyBorder="1" applyFont="1" applyNumberFormat="1">
      <alignment horizontal="center" vertical="bottom"/>
    </xf>
    <xf borderId="1" fillId="10" fontId="2" numFmtId="164" xfId="0" applyAlignment="1" applyBorder="1" applyFont="1" applyNumberFormat="1">
      <alignment horizontal="center" readingOrder="0" vertical="top"/>
    </xf>
    <xf borderId="1" fillId="10" fontId="2" numFmtId="0" xfId="0" applyAlignment="1" applyBorder="1" applyFont="1">
      <alignment horizontal="center" readingOrder="0" vertical="top"/>
    </xf>
    <xf borderId="1" fillId="10" fontId="25" numFmtId="164" xfId="0" applyAlignment="1" applyBorder="1" applyFont="1" applyNumberFormat="1">
      <alignment horizontal="center" readingOrder="0" vertical="bottom"/>
    </xf>
    <xf borderId="1" fillId="32" fontId="2" numFmtId="164" xfId="0" applyAlignment="1" applyBorder="1" applyFont="1" applyNumberFormat="1">
      <alignment horizontal="center" vertical="bottom"/>
    </xf>
    <xf borderId="1" fillId="32" fontId="2" numFmtId="0" xfId="0" applyAlignment="1" applyBorder="1" applyFont="1">
      <alignment horizontal="center" readingOrder="0" vertical="bottom"/>
    </xf>
    <xf borderId="0" fillId="32" fontId="10" numFmtId="164" xfId="0" applyAlignment="1" applyFont="1" applyNumberFormat="1">
      <alignment horizontal="center" readingOrder="0"/>
    </xf>
    <xf borderId="1" fillId="31" fontId="1" numFmtId="0" xfId="0" applyAlignment="1" applyBorder="1" applyFont="1">
      <alignment horizontal="center" vertical="bottom"/>
    </xf>
    <xf borderId="0" fillId="0" fontId="5" numFmtId="0" xfId="0" applyFont="1"/>
    <xf borderId="1" fillId="33" fontId="2" numFmtId="164" xfId="0" applyAlignment="1" applyBorder="1" applyFont="1" applyNumberFormat="1">
      <alignment horizontal="center" vertical="bottom"/>
    </xf>
    <xf borderId="0" fillId="9" fontId="5" numFmtId="0" xfId="0" applyFont="1"/>
    <xf borderId="1" fillId="19" fontId="2" numFmtId="164" xfId="0" applyAlignment="1" applyBorder="1" applyFont="1" applyNumberFormat="1">
      <alignment horizontal="center" vertical="bottom"/>
    </xf>
    <xf borderId="1" fillId="17" fontId="2" numFmtId="164" xfId="0" applyAlignment="1" applyBorder="1" applyFont="1" applyNumberFormat="1">
      <alignment horizontal="center" vertical="bottom"/>
    </xf>
    <xf borderId="1" fillId="17" fontId="2" numFmtId="0" xfId="0" applyAlignment="1" applyBorder="1" applyFont="1">
      <alignment horizontal="center" readingOrder="0" vertical="bottom"/>
    </xf>
    <xf borderId="0" fillId="6" fontId="5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 shrinkToFit="0" vertical="bottom" wrapText="1"/>
    </xf>
    <xf borderId="6" fillId="3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6" fillId="5" fontId="1" numFmtId="0" xfId="0" applyAlignment="1" applyBorder="1" applyFont="1">
      <alignment horizontal="center" readingOrder="0" vertical="bottom"/>
    </xf>
    <xf borderId="0" fillId="0" fontId="5" numFmtId="20" xfId="0" applyAlignment="1" applyFont="1" applyNumberFormat="1">
      <alignment readingOrder="0"/>
    </xf>
    <xf borderId="0" fillId="0" fontId="2" numFmtId="164" xfId="0" applyAlignment="1" applyFont="1" applyNumberFormat="1">
      <alignment horizontal="center" vertical="bottom"/>
    </xf>
    <xf borderId="1" fillId="34" fontId="2" numFmtId="164" xfId="0" applyAlignment="1" applyBorder="1" applyFont="1" applyNumberFormat="1">
      <alignment horizontal="center" vertical="bottom"/>
    </xf>
    <xf borderId="1" fillId="34" fontId="2" numFmtId="171" xfId="0" applyAlignment="1" applyBorder="1" applyFont="1" applyNumberFormat="1">
      <alignment horizontal="center" readingOrder="0" vertical="bottom"/>
    </xf>
    <xf borderId="5" fillId="34" fontId="2" numFmtId="164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readingOrder="0" vertical="bottom"/>
    </xf>
    <xf borderId="0" fillId="0" fontId="5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0" fontId="8" numFmtId="0" xfId="0" applyFont="1"/>
    <xf borderId="1" fillId="36" fontId="8" numFmtId="164" xfId="0" applyAlignment="1" applyBorder="1" applyFill="1" applyFont="1" applyNumberFormat="1">
      <alignment horizontal="center" readingOrder="0" vertical="top"/>
    </xf>
    <xf borderId="1" fillId="0" fontId="26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 readingOrder="0"/>
    </xf>
    <xf borderId="3" fillId="0" fontId="26" numFmtId="0" xfId="0" applyAlignment="1" applyBorder="1" applyFont="1">
      <alignment horizontal="center" readingOrder="0" vertical="bottom"/>
    </xf>
    <xf borderId="1" fillId="25" fontId="8" numFmtId="164" xfId="0" applyAlignment="1" applyBorder="1" applyFont="1" applyNumberFormat="1">
      <alignment horizontal="center" readingOrder="0" vertical="top"/>
    </xf>
    <xf borderId="1" fillId="24" fontId="8" numFmtId="164" xfId="0" applyAlignment="1" applyBorder="1" applyFont="1" applyNumberFormat="1">
      <alignment horizontal="center" readingOrder="0" vertical="top"/>
    </xf>
    <xf borderId="1" fillId="0" fontId="8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 vertical="center"/>
    </xf>
    <xf borderId="1" fillId="22" fontId="3" numFmtId="0" xfId="0" applyAlignment="1" applyBorder="1" applyFont="1">
      <alignment horizontal="center" readingOrder="0"/>
    </xf>
    <xf borderId="1" fillId="27" fontId="8" numFmtId="164" xfId="0" applyAlignment="1" applyBorder="1" applyFont="1" applyNumberFormat="1">
      <alignment horizontal="center" readingOrder="0"/>
    </xf>
    <xf borderId="1" fillId="37" fontId="8" numFmtId="164" xfId="0" applyAlignment="1" applyBorder="1" applyFill="1" applyFont="1" applyNumberFormat="1">
      <alignment horizontal="center" readingOrder="0"/>
    </xf>
    <xf borderId="4" fillId="5" fontId="1" numFmtId="0" xfId="0" applyAlignment="1" applyBorder="1" applyFont="1">
      <alignment horizontal="center" shrinkToFit="0" wrapText="1"/>
    </xf>
    <xf borderId="1" fillId="5" fontId="26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readingOrder="0"/>
    </xf>
    <xf borderId="4" fillId="0" fontId="26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/>
    </xf>
    <xf borderId="1" fillId="30" fontId="8" numFmtId="164" xfId="0" applyAlignment="1" applyBorder="1" applyFont="1" applyNumberFormat="1">
      <alignment horizontal="center" readingOrder="0" vertical="top"/>
    </xf>
    <xf borderId="1" fillId="30" fontId="8" numFmtId="164" xfId="0" applyAlignment="1" applyBorder="1" applyFont="1" applyNumberFormat="1">
      <alignment horizontal="center" readingOrder="0"/>
    </xf>
    <xf borderId="1" fillId="5" fontId="1" numFmtId="0" xfId="0" applyAlignment="1" applyBorder="1" applyFont="1">
      <alignment horizontal="center" readingOrder="0" shrinkToFit="0" wrapText="0"/>
    </xf>
    <xf borderId="1" fillId="5" fontId="26" numFmtId="0" xfId="0" applyAlignment="1" applyBorder="1" applyFont="1">
      <alignment horizontal="center" readingOrder="0" shrinkToFit="0" vertical="center" wrapText="1"/>
    </xf>
    <xf borderId="1" fillId="2" fontId="8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shrinkToFit="0" vertical="bottom" wrapText="0"/>
    </xf>
    <xf borderId="5" fillId="5" fontId="1" numFmtId="0" xfId="0" applyAlignment="1" applyBorder="1" applyFont="1">
      <alignment horizontal="center" shrinkToFit="0" vertical="bottom" wrapText="1"/>
    </xf>
    <xf borderId="3" fillId="5" fontId="1" numFmtId="0" xfId="0" applyAlignment="1" applyBorder="1" applyFont="1">
      <alignment horizontal="center"/>
    </xf>
    <xf borderId="1" fillId="10" fontId="8" numFmtId="164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readingOrder="0" vertical="bottom"/>
    </xf>
    <xf borderId="1" fillId="32" fontId="8" numFmtId="164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shrinkToFit="0" vertical="bottom" wrapText="0"/>
    </xf>
    <xf borderId="0" fillId="0" fontId="27" numFmtId="0" xfId="0" applyAlignment="1" applyFont="1">
      <alignment horizontal="center"/>
    </xf>
    <xf borderId="1" fillId="0" fontId="9" numFmtId="0" xfId="0" applyAlignment="1" applyBorder="1" applyFont="1">
      <alignment horizontal="center" shrinkToFit="0" vertical="bottom" wrapText="0"/>
    </xf>
    <xf borderId="1" fillId="33" fontId="8" numFmtId="164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 vertical="bottom"/>
    </xf>
    <xf borderId="5" fillId="5" fontId="2" numFmtId="0" xfId="0" applyAlignment="1" applyBorder="1" applyFont="1">
      <alignment horizontal="center" readingOrder="0" shrinkToFit="0" vertical="bottom" wrapText="1"/>
    </xf>
    <xf borderId="10" fillId="5" fontId="1" numFmtId="0" xfId="0" applyAlignment="1" applyBorder="1" applyFont="1">
      <alignment horizontal="center" readingOrder="0" shrinkToFit="0" vertical="bottom" wrapText="1"/>
    </xf>
    <xf borderId="1" fillId="5" fontId="1" numFmtId="0" xfId="0" applyAlignment="1" applyBorder="1" applyFont="1">
      <alignment horizontal="center" readingOrder="0" shrinkToFit="0" vertical="bottom" wrapText="1"/>
    </xf>
    <xf borderId="1" fillId="19" fontId="8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vertical="bottom"/>
    </xf>
    <xf borderId="1" fillId="5" fontId="26" numFmtId="0" xfId="0" applyAlignment="1" applyBorder="1" applyFont="1">
      <alignment horizontal="center" readingOrder="0" vertical="bottom"/>
    </xf>
    <xf borderId="3" fillId="5" fontId="9" numFmtId="0" xfId="0" applyAlignment="1" applyBorder="1" applyFont="1">
      <alignment horizontal="center" readingOrder="0" vertical="bottom"/>
    </xf>
    <xf borderId="1" fillId="17" fontId="8" numFmtId="164" xfId="0" applyAlignment="1" applyBorder="1" applyFont="1" applyNumberFormat="1">
      <alignment horizontal="center" readingOrder="0"/>
    </xf>
    <xf borderId="1" fillId="5" fontId="8" numFmtId="0" xfId="0" applyAlignment="1" applyBorder="1" applyFont="1">
      <alignment horizontal="center" readingOrder="0"/>
    </xf>
    <xf borderId="5" fillId="5" fontId="9" numFmtId="0" xfId="0" applyAlignment="1" applyBorder="1" applyFont="1">
      <alignment horizontal="center" readingOrder="0" vertical="bottom"/>
    </xf>
    <xf borderId="1" fillId="34" fontId="8" numFmtId="164" xfId="0" applyAlignment="1" applyBorder="1" applyFont="1" applyNumberFormat="1">
      <alignment horizontal="center" readingOrder="0"/>
    </xf>
    <xf borderId="1" fillId="6" fontId="3" numFmtId="0" xfId="0" applyBorder="1" applyFont="1"/>
    <xf borderId="4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3" fillId="6" fontId="3" numFmtId="0" xfId="0" applyAlignment="1" applyBorder="1" applyFont="1">
      <alignment vertical="bottom"/>
    </xf>
    <xf borderId="3" fillId="5" fontId="8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ont="1">
      <alignment horizontal="center" readingOrder="0" shrinkToFit="0" vertical="bottom" wrapText="1"/>
    </xf>
    <xf borderId="1" fillId="38" fontId="8" numFmtId="164" xfId="0" applyAlignment="1" applyBorder="1" applyFill="1" applyFont="1" applyNumberFormat="1">
      <alignment horizontal="center" readingOrder="0" vertical="top"/>
    </xf>
    <xf borderId="0" fillId="0" fontId="28" numFmtId="0" xfId="0" applyAlignment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4" fillId="5" fontId="28" numFmtId="0" xfId="0" applyAlignment="1" applyBorder="1" applyFont="1">
      <alignment horizontal="center" readingOrder="0"/>
    </xf>
    <xf borderId="1" fillId="7" fontId="8" numFmtId="164" xfId="0" applyAlignment="1" applyBorder="1" applyFont="1" applyNumberFormat="1">
      <alignment horizontal="center" readingOrder="0"/>
    </xf>
    <xf borderId="1" fillId="7" fontId="8" numFmtId="164" xfId="0" applyAlignment="1" applyBorder="1" applyFont="1" applyNumberFormat="1">
      <alignment readingOrder="0"/>
    </xf>
    <xf borderId="1" fillId="39" fontId="3" numFmtId="0" xfId="0" applyAlignment="1" applyBorder="1" applyFill="1" applyFont="1">
      <alignment horizontal="center" readingOrder="0"/>
    </xf>
    <xf borderId="1" fillId="5" fontId="28" numFmtId="0" xfId="0" applyAlignment="1" applyBorder="1" applyFont="1">
      <alignment horizontal="center" readingOrder="0"/>
    </xf>
    <xf borderId="0" fillId="5" fontId="28" numFmtId="0" xfId="0" applyAlignment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10" fillId="29" fontId="8" numFmtId="164" xfId="0" applyAlignment="1" applyBorder="1" applyFont="1" applyNumberFormat="1">
      <alignment horizontal="center" readingOrder="0" vertical="top"/>
    </xf>
    <xf borderId="1" fillId="29" fontId="8" numFmtId="164" xfId="0" applyAlignment="1" applyBorder="1" applyFont="1" applyNumberFormat="1">
      <alignment horizontal="center" readingOrder="0"/>
    </xf>
    <xf borderId="1" fillId="29" fontId="8" numFmtId="0" xfId="0" applyAlignment="1" applyBorder="1" applyFont="1">
      <alignment horizontal="center" readingOrder="0" vertical="top"/>
    </xf>
    <xf borderId="4" fillId="0" fontId="8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1" fillId="38" fontId="8" numFmtId="164" xfId="0" applyAlignment="1" applyBorder="1" applyFont="1" applyNumberFormat="1">
      <alignment horizontal="center" readingOrder="0"/>
    </xf>
    <xf borderId="1" fillId="38" fontId="8" numFmtId="164" xfId="0" applyAlignment="1" applyBorder="1" applyFont="1" applyNumberFormat="1">
      <alignment horizontal="center" readingOrder="0" vertical="bottom"/>
    </xf>
    <xf borderId="1" fillId="38" fontId="29" numFmtId="164" xfId="0" applyAlignment="1" applyBorder="1" applyFont="1" applyNumberFormat="1">
      <alignment horizontal="center" readingOrder="0"/>
    </xf>
    <xf borderId="1" fillId="33" fontId="8" numFmtId="164" xfId="0" applyAlignment="1" applyBorder="1" applyFont="1" applyNumberFormat="1">
      <alignment horizontal="center" readingOrder="0" vertical="bottom"/>
    </xf>
    <xf borderId="1" fillId="33" fontId="29" numFmtId="164" xfId="0" applyAlignment="1" applyBorder="1" applyFont="1" applyNumberFormat="1">
      <alignment horizontal="center" readingOrder="0"/>
    </xf>
    <xf borderId="1" fillId="40" fontId="8" numFmtId="164" xfId="0" applyAlignment="1" applyBorder="1" applyFill="1" applyFont="1" applyNumberFormat="1">
      <alignment horizontal="center" readingOrder="0"/>
    </xf>
    <xf borderId="1" fillId="40" fontId="8" numFmtId="164" xfId="0" applyAlignment="1" applyBorder="1" applyFont="1" applyNumberFormat="1">
      <alignment horizontal="center" vertical="bottom"/>
    </xf>
    <xf borderId="1" fillId="40" fontId="8" numFmtId="165" xfId="0" applyAlignment="1" applyBorder="1" applyFont="1" applyNumberFormat="1">
      <alignment horizontal="center" readingOrder="0"/>
    </xf>
    <xf borderId="1" fillId="40" fontId="8" numFmtId="164" xfId="0" applyAlignment="1" applyBorder="1" applyFont="1" applyNumberFormat="1">
      <alignment horizontal="center" readingOrder="0" vertical="bottom"/>
    </xf>
    <xf borderId="1" fillId="40" fontId="29" numFmtId="164" xfId="0" applyAlignment="1" applyBorder="1" applyFont="1" applyNumberFormat="1">
      <alignment horizontal="center" readingOrder="0"/>
    </xf>
    <xf borderId="1" fillId="41" fontId="8" numFmtId="172" xfId="0" applyAlignment="1" applyBorder="1" applyFill="1" applyFont="1" applyNumberFormat="1">
      <alignment horizontal="center" readingOrder="0"/>
    </xf>
    <xf borderId="1" fillId="41" fontId="8" numFmtId="164" xfId="0" applyAlignment="1" applyBorder="1" applyFont="1" applyNumberFormat="1">
      <alignment horizontal="center" readingOrder="0"/>
    </xf>
    <xf borderId="1" fillId="13" fontId="8" numFmtId="164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vertical="bottom"/>
    </xf>
    <xf borderId="1" fillId="40" fontId="3" numFmtId="0" xfId="0" applyAlignment="1" applyBorder="1" applyFont="1">
      <alignment horizontal="center" readingOrder="0"/>
    </xf>
    <xf borderId="1" fillId="32" fontId="8" numFmtId="164" xfId="0" applyAlignment="1" applyBorder="1" applyFont="1" applyNumberFormat="1">
      <alignment horizontal="center" readingOrder="0" vertical="bottom"/>
    </xf>
    <xf borderId="4" fillId="32" fontId="8" numFmtId="164" xfId="0" applyAlignment="1" applyBorder="1" applyFont="1" applyNumberFormat="1">
      <alignment horizontal="center" readingOrder="0" vertical="bottom"/>
    </xf>
    <xf borderId="1" fillId="32" fontId="8" numFmtId="172" xfId="0" applyAlignment="1" applyBorder="1" applyFont="1" applyNumberFormat="1">
      <alignment horizontal="center" readingOrder="0"/>
    </xf>
    <xf borderId="1" fillId="38" fontId="3" numFmtId="0" xfId="0" applyAlignment="1" applyBorder="1" applyFont="1">
      <alignment horizontal="center" readingOrder="0" vertical="bottom"/>
    </xf>
    <xf borderId="1" fillId="38" fontId="3" numFmtId="0" xfId="0" applyAlignment="1" applyBorder="1" applyFont="1">
      <alignment horizontal="center" readingOrder="0"/>
    </xf>
    <xf borderId="1" fillId="42" fontId="8" numFmtId="172" xfId="0" applyAlignment="1" applyBorder="1" applyFill="1" applyFont="1" applyNumberFormat="1">
      <alignment horizontal="center" readingOrder="0"/>
    </xf>
    <xf borderId="1" fillId="42" fontId="8" numFmtId="164" xfId="0" applyAlignment="1" applyBorder="1" applyFont="1" applyNumberFormat="1">
      <alignment horizontal="center" readingOrder="0" vertical="bottom"/>
    </xf>
    <xf borderId="0" fillId="0" fontId="3" numFmtId="172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4" fillId="19" fontId="8" numFmtId="172" xfId="0" applyAlignment="1" applyBorder="1" applyFont="1" applyNumberFormat="1">
      <alignment horizontal="center" readingOrder="0" vertical="bottom"/>
    </xf>
    <xf borderId="4" fillId="19" fontId="8" numFmtId="164" xfId="0" applyAlignment="1" applyBorder="1" applyFont="1" applyNumberFormat="1">
      <alignment horizontal="center" readingOrder="0" vertical="bottom"/>
    </xf>
    <xf borderId="4" fillId="17" fontId="8" numFmtId="164" xfId="0" applyAlignment="1" applyBorder="1" applyFont="1" applyNumberFormat="1">
      <alignment horizontal="center" readingOrder="0" vertical="bottom"/>
    </xf>
    <xf borderId="1" fillId="17" fontId="8" numFmtId="164" xfId="0" applyAlignment="1" applyBorder="1" applyFont="1" applyNumberForma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30" numFmtId="0" xfId="0" applyAlignment="1" applyFont="1">
      <alignment horizontal="center" readingOrder="0"/>
    </xf>
    <xf borderId="3" fillId="0" fontId="26" numFmtId="0" xfId="0" applyAlignment="1" applyBorder="1" applyFont="1">
      <alignment horizontal="center" vertical="bottom"/>
    </xf>
    <xf borderId="4" fillId="34" fontId="8" numFmtId="164" xfId="0" applyAlignment="1" applyBorder="1" applyFont="1" applyNumberFormat="1">
      <alignment horizontal="center" readingOrder="0" vertical="bottom"/>
    </xf>
    <xf borderId="0" fillId="0" fontId="31" numFmtId="0" xfId="0" applyFont="1"/>
    <xf borderId="0" fillId="0" fontId="31" numFmtId="0" xfId="0" applyAlignment="1" applyFont="1">
      <alignment readingOrder="0"/>
    </xf>
    <xf borderId="0" fillId="0" fontId="15" numFmtId="164" xfId="0" applyAlignment="1" applyFont="1" applyNumberFormat="1">
      <alignment horizontal="center" readingOrder="0" vertical="top"/>
    </xf>
    <xf borderId="1" fillId="33" fontId="15" numFmtId="164" xfId="0" applyAlignment="1" applyBorder="1" applyFont="1" applyNumberFormat="1">
      <alignment horizontal="center" readingOrder="0" vertical="top"/>
    </xf>
    <xf borderId="0" fillId="22" fontId="15" numFmtId="164" xfId="0" applyAlignment="1" applyFont="1" applyNumberFormat="1">
      <alignment horizontal="center" readingOrder="0" vertical="top"/>
    </xf>
    <xf borderId="1" fillId="22" fontId="32" numFmtId="0" xfId="0" applyAlignment="1" applyBorder="1" applyFont="1">
      <alignment horizontal="center" readingOrder="0"/>
    </xf>
    <xf borderId="0" fillId="22" fontId="32" numFmtId="0" xfId="0" applyAlignment="1" applyFont="1">
      <alignment horizontal="center" readingOrder="0"/>
    </xf>
    <xf borderId="1" fillId="22" fontId="1" numFmtId="0" xfId="0" applyAlignment="1" applyBorder="1" applyFont="1">
      <alignment horizontal="center" vertical="top"/>
    </xf>
    <xf borderId="4" fillId="22" fontId="1" numFmtId="0" xfId="0" applyAlignment="1" applyBorder="1" applyFont="1">
      <alignment horizontal="center" vertical="top"/>
    </xf>
    <xf borderId="0" fillId="22" fontId="1" numFmtId="0" xfId="0" applyAlignment="1" applyFont="1">
      <alignment horizontal="center" vertical="top"/>
    </xf>
    <xf borderId="5" fillId="22" fontId="1" numFmtId="0" xfId="0" applyAlignment="1" applyBorder="1" applyFont="1">
      <alignment horizontal="center" vertical="top"/>
    </xf>
    <xf borderId="3" fillId="22" fontId="1" numFmtId="0" xfId="0" applyAlignment="1" applyBorder="1" applyFont="1">
      <alignment horizontal="center" vertical="top"/>
    </xf>
    <xf borderId="1" fillId="19" fontId="15" numFmtId="164" xfId="0" applyAlignment="1" applyBorder="1" applyFont="1" applyNumberFormat="1">
      <alignment horizontal="center" readingOrder="0" vertical="top"/>
    </xf>
    <xf borderId="1" fillId="5" fontId="3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22" fontId="1" numFmtId="0" xfId="0" applyAlignment="1" applyBorder="1" applyFont="1">
      <alignment horizontal="center" readingOrder="0" vertical="top"/>
    </xf>
    <xf borderId="1" fillId="22" fontId="5" numFmtId="0" xfId="0" applyAlignment="1" applyBorder="1" applyFont="1">
      <alignment horizontal="center"/>
    </xf>
    <xf borderId="1" fillId="22" fontId="5" numFmtId="0" xfId="0" applyAlignment="1" applyBorder="1" applyFont="1">
      <alignment horizontal="center" readingOrder="0"/>
    </xf>
    <xf borderId="1" fillId="22" fontId="34" numFmtId="0" xfId="0" applyAlignment="1" applyBorder="1" applyFont="1">
      <alignment horizontal="center" readingOrder="0"/>
    </xf>
    <xf borderId="1" fillId="22" fontId="34" numFmtId="0" xfId="0" applyAlignment="1" applyBorder="1" applyFont="1">
      <alignment horizontal="center"/>
    </xf>
    <xf borderId="0" fillId="22" fontId="5" numFmtId="0" xfId="0" applyFont="1"/>
    <xf borderId="1" fillId="10" fontId="15" numFmtId="164" xfId="0" applyAlignment="1" applyBorder="1" applyFont="1" applyNumberFormat="1">
      <alignment horizontal="center" readingOrder="0" vertical="top"/>
    </xf>
    <xf borderId="1" fillId="10" fontId="15" numFmtId="169" xfId="0" applyAlignment="1" applyBorder="1" applyFont="1" applyNumberFormat="1">
      <alignment horizontal="center" readingOrder="0" vertical="top"/>
    </xf>
    <xf borderId="1" fillId="0" fontId="35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top"/>
    </xf>
    <xf borderId="1" fillId="5" fontId="1" numFmtId="0" xfId="0" applyAlignment="1" applyBorder="1" applyFont="1">
      <alignment horizontal="center" vertical="top"/>
    </xf>
    <xf borderId="4" fillId="22" fontId="1" numFmtId="0" xfId="0" applyAlignment="1" applyBorder="1" applyFont="1">
      <alignment horizontal="center" readingOrder="0" vertical="top"/>
    </xf>
    <xf borderId="1" fillId="22" fontId="9" numFmtId="0" xfId="0" applyAlignment="1" applyBorder="1" applyFont="1">
      <alignment horizontal="center" readingOrder="0" vertical="top"/>
    </xf>
    <xf borderId="5" fillId="22" fontId="1" numFmtId="0" xfId="0" applyAlignment="1" applyBorder="1" applyFont="1">
      <alignment horizontal="center" readingOrder="0" vertical="top"/>
    </xf>
    <xf borderId="5" fillId="22" fontId="9" numFmtId="0" xfId="0" applyAlignment="1" applyBorder="1" applyFont="1">
      <alignment horizontal="center" readingOrder="0" vertical="top"/>
    </xf>
    <xf borderId="1" fillId="22" fontId="5" numFmtId="0" xfId="0" applyAlignment="1" applyBorder="1" applyFont="1">
      <alignment horizontal="center" readingOrder="0"/>
    </xf>
    <xf borderId="5" fillId="5" fontId="1" numFmtId="0" xfId="0" applyAlignment="1" applyBorder="1" applyFont="1">
      <alignment horizontal="center" vertical="top"/>
    </xf>
    <xf borderId="4" fillId="0" fontId="5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5" fontId="36" numFmtId="0" xfId="0" applyAlignment="1" applyFont="1">
      <alignment horizontal="center" readingOrder="0"/>
    </xf>
    <xf borderId="1" fillId="5" fontId="33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/>
    </xf>
    <xf borderId="1" fillId="0" fontId="5" numFmtId="0" xfId="0" applyBorder="1" applyFont="1"/>
    <xf borderId="1" fillId="8" fontId="15" numFmtId="164" xfId="0" applyAlignment="1" applyBorder="1" applyFont="1" applyNumberFormat="1">
      <alignment horizontal="center" readingOrder="0" vertical="top"/>
    </xf>
    <xf borderId="0" fillId="0" fontId="1" numFmtId="0" xfId="0" applyAlignment="1" applyFont="1">
      <alignment horizontal="center" vertical="top"/>
    </xf>
    <xf borderId="1" fillId="22" fontId="7" numFmtId="0" xfId="0" applyAlignment="1" applyBorder="1" applyFont="1">
      <alignment horizontal="center" readingOrder="0"/>
    </xf>
    <xf borderId="0" fillId="0" fontId="1" numFmtId="0" xfId="0" applyAlignment="1" applyFont="1">
      <alignment horizontal="center" vertical="top"/>
    </xf>
    <xf borderId="2" fillId="22" fontId="1" numFmtId="0" xfId="0" applyAlignment="1" applyBorder="1" applyFont="1">
      <alignment horizontal="center" readingOrder="0" vertical="top"/>
    </xf>
    <xf borderId="6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0" fillId="5" fontId="33" numFmtId="0" xfId="0" applyAlignment="1" applyFont="1">
      <alignment horizontal="center" readingOrder="0"/>
    </xf>
    <xf borderId="6" fillId="5" fontId="33" numFmtId="0" xfId="0" applyAlignment="1" applyBorder="1" applyFont="1">
      <alignment horizontal="center" readingOrder="0"/>
    </xf>
    <xf borderId="1" fillId="15" fontId="15" numFmtId="164" xfId="0" applyAlignment="1" applyBorder="1" applyFont="1" applyNumberFormat="1">
      <alignment horizontal="center" readingOrder="0" vertical="top"/>
    </xf>
    <xf borderId="10" fillId="15" fontId="15" numFmtId="164" xfId="0" applyAlignment="1" applyBorder="1" applyFont="1" applyNumberFormat="1">
      <alignment horizontal="center" readingOrder="0" vertical="top"/>
    </xf>
    <xf borderId="1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4" fillId="29" fontId="8" numFmtId="164" xfId="0" applyAlignment="1" applyBorder="1" applyFont="1" applyNumberFormat="1">
      <alignment horizontal="center" vertical="bottom"/>
    </xf>
    <xf borderId="1" fillId="32" fontId="29" numFmtId="164" xfId="0" applyAlignment="1" applyBorder="1" applyFont="1" applyNumberFormat="1">
      <alignment horizontal="center" readingOrder="0"/>
    </xf>
    <xf borderId="1" fillId="17" fontId="29" numFmtId="164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horizontal="center" vertical="bottom"/>
    </xf>
    <xf borderId="0" fillId="0" fontId="37" numFmtId="0" xfId="0" applyAlignment="1" applyFont="1">
      <alignment horizontal="center" readingOrder="0"/>
    </xf>
    <xf borderId="1" fillId="28" fontId="38" numFmtId="164" xfId="0" applyAlignment="1" applyBorder="1" applyFont="1" applyNumberFormat="1">
      <alignment horizontal="center" readingOrder="0"/>
    </xf>
    <xf borderId="1" fillId="34" fontId="38" numFmtId="164" xfId="0" applyAlignment="1" applyBorder="1" applyFont="1" applyNumberFormat="1">
      <alignment horizontal="center" readingOrder="0"/>
    </xf>
    <xf borderId="1" fillId="4" fontId="38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vertical="bottom"/>
    </xf>
    <xf borderId="1" fillId="13" fontId="38" numFmtId="164" xfId="0" applyAlignment="1" applyBorder="1" applyFont="1" applyNumberFormat="1">
      <alignment horizontal="center" readingOrder="0"/>
    </xf>
    <xf borderId="1" fillId="32" fontId="38" numFmtId="164" xfId="0" applyAlignment="1" applyBorder="1" applyFont="1" applyNumberFormat="1">
      <alignment horizontal="center" readingOrder="0"/>
    </xf>
    <xf borderId="1" fillId="8" fontId="38" numFmtId="164" xfId="0" applyAlignment="1" applyBorder="1" applyFont="1" applyNumberFormat="1">
      <alignment horizontal="center" readingOrder="0"/>
    </xf>
    <xf borderId="1" fillId="19" fontId="38" numFmtId="164" xfId="0" applyAlignment="1" applyBorder="1" applyFont="1" applyNumberFormat="1">
      <alignment horizontal="center" readingOrder="0"/>
    </xf>
    <xf borderId="1" fillId="33" fontId="38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tonella Espínola Palmerola" id="{c670e327-3022-4fd9-ab5a-6764c79e5adf}" providerId="google-sheets"/>
  <x18tc:person displayName="Jean Clemotte Llanes" id="{39b53794-2b0d-40a4-89c1-ebc9dc7e8a04}" providerId="google-sheets"/>
  <x18tc:person displayName="Ara Kim" id="{c4d371b6-f441-4c19-a5ae-07bd2c95694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1-10T15:02:21.00" personId="{39b53794-2b0d-40a4-89c1-ebc9dc7e8a04}" id="{05cc4533-7c78-4f1d-8f4b-8a92d495338c}" done="1">
    <x18tc:text xml:space="preserve">proponer turno de las 8</x18tc:text>
  </x18tc:threadedComment>
  <x18tc:threadedComment ref="A1" dT="2023-02-15T14:59:16.00" personId="{c4d371b6-f441-4c19-a5ae-07bd2c95694d}" id="{57aaed30-db8b-4409-a077-8382c6032223}" done="0">
    <x18tc:text xml:space="preserve">Segun disponibiidad</x18tc:text>
  </x18tc:threadedComment>
  <x18tc:threadedComment ref="A1" dT="2023-02-15T14:50:46.00" personId="{c4d371b6-f441-4c19-a5ae-07bd2c95694d}" id="{203930e8-565c-4369-a79a-23b6251712b2}" done="0">
    <x18tc:text xml:space="preserve">Ella solicita agendamientos</x18tc:text>
  </x18tc:threadedComment>
  <x18tc:threadedComment ref="A1" dT="2023-11-10T15:02:36.00" personId="{39b53794-2b0d-40a4-89c1-ebc9dc7e8a04}" id="{c28da913-fcb1-4a0d-8503-035313c47a6e}" done="1">
    <x18tc:text xml:space="preserve">proponer turno de las 8</x18tc:text>
  </x18tc:threadedComment>
  <x18tc:threadedComment ref="A1" dT="2023-02-06T11:41:52.00" personId="{39b53794-2b0d-40a4-89c1-ebc9dc7e8a04}" id="{2d92b4b1-d329-464b-812d-4c28a63075c0}" done="0">
    <x18tc:text xml:space="preserve">Menor de edad
Mamá: Cristhi Santos</x18tc:text>
  </x18tc:threadedComment>
  <x18tc:threadedComment ref="A1" dT="2023-02-06T11:42:15.00" personId="{39b53794-2b0d-40a4-89c1-ebc9dc7e8a04}" id="{86ba4669-ae6c-40ec-9d7b-b178702fd493}" done="0">
    <x18tc:text xml:space="preserve">Menor de edad</x18tc:text>
  </x18tc:threadedComment>
  <x18tc:threadedComment ref="A1" dT="2023-02-15T14:58:44.00" personId="{c4d371b6-f441-4c19-a5ae-07bd2c95694d}" id="{aa8f4bcc-069d-4f43-a630-937d5fea61e5}" done="0">
    <x18tc:text xml:space="preserve">Ubicar en un lugar fijo SEMANAL</x18tc:text>
  </x18tc:threadedComment>
  <x18tc:threadedComment ref="A1" dT="2023-11-10T15:11:51.00" personId="{39b53794-2b0d-40a4-89c1-ebc9dc7e8a04}" id="{8a6ca596-8729-4286-b973-c63f6e1fed85}" done="0">
    <x18tc:text xml:space="preserve">adolescente/adulto
carmona/jean</x18tc:text>
  </x18tc:threadedComment>
  <x18tc:threadedComment ref="A1" dT="2023-02-06T11:37:27.00" personId="{39b53794-2b0d-40a4-89c1-ebc9dc7e8a04}" id="{5f4f7115-edf8-48e8-b146-4d481d1b1c04}" done="0">
    <x18tc:text xml:space="preserve">Menor de edad. Padres:
Sol Gill
Ale Sarubbi</x18tc:text>
  </x18tc:threadedComment>
  <x18tc:threadedComment ref="A1" dT="2025-02-07T00:36:53.00" personId="{39b53794-2b0d-40a4-89c1-ebc9dc7e8a04}" id="{9f0a47e2-311f-429d-86b5-778b0cbe053f}" done="1">
    <x18tc:text xml:space="preserve">Lista de espera: Samara sin una de ellas no confirma. Si no se libera, avisarme</x18tc:text>
  </x18tc:threadedComment>
  <x18tc:threadedComment ref="A1" dT="2024-01-16T21:54:38.00" personId="{c670e327-3022-4fd9-ab5a-6764c79e5adf}" id="{4a72f8cf-a6f3-421a-a336-9542954a3747}" done="1">
    <x18tc:text xml:space="preserve">con padres</x18tc:text>
  </x18tc:threadedComment>
  <x18tc:threadedComment ref="A1" dT="2023-02-06T11:42:31.00" personId="{39b53794-2b0d-40a4-89c1-ebc9dc7e8a04}" id="{df4eb141-6285-4d65-8b03-17461e6aa343}" done="0">
    <x18tc:text xml:space="preserve">Menor de edad</x18tc:text>
  </x18tc:threadedComment>
  <x18tc:threadedComment ref="A1" dT="2023-02-15T14:51:05.00" personId="{c4d371b6-f441-4c19-a5ae-07bd2c95694d}" id="{d2edb348-eb3d-46cf-aff7-034597a95abf}" done="0">
    <x18tc:text xml:space="preserve">Primera consulta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24" dT="2024-09-26T15:17:09.00" personId="{c670e327-3022-4fd9-ab5a-6764c79e5adf}" id="{b5a64f27-2f13-4aac-8890-4f045a290b38}" done="0">
    <x18tc:text xml:space="preserve">Alta anterior 18/12/23</x18tc:text>
  </x18tc:threadedComment>
  <x18tc:threadedComment ref="H9" dT="2024-09-26T14:59:59.00" personId="{c670e327-3022-4fd9-ab5a-6764c79e5adf}" id="{44535b96-9477-437e-8787-d2c6249ecc56}" done="0">
    <x18tc:text xml:space="preserve">Alta anterior 05/02/2024</x18tc:text>
  </x18tc:threadedComment>
  <x18tc:threadedComment ref="H10" dT="2024-09-26T15:19:02.00" personId="{c670e327-3022-4fd9-ab5a-6764c79e5adf}" id="{5727ca80-e3b0-4f51-bf07-6b01a1ca2939}" done="0">
    <x18tc:text xml:space="preserve">Alta anterior 9/7/24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24" dT="2024-02-16T12:20:25.00" personId="{c670e327-3022-4fd9-ab5a-6764c79e5adf}" id="{db480518-b2c4-4e5f-8666-eaf31d38efbf}" done="0">
    <x18tc:text xml:space="preserve">factura</x18tc:text>
  </x18tc:threadedComment>
  <x18tc:threadedComment ref="H24" dT="2024-02-09T22:30:35.00" personId="{c670e327-3022-4fd9-ab5a-6764c79e5adf}" id="{0d3a6c92-54c8-4d05-9a29-bb8ab787f9eb}" done="0">
    <x18tc:text xml:space="preserve">aca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2" dT="2023-11-30T17:37:53.00" personId="{c670e327-3022-4fd9-ab5a-6764c79e5adf}" id="{d125a1a2-a452-4275-a493-bac173266777}" done="0">
    <x18tc:text xml:space="preserve">factura incluida en noviembre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24.88"/>
    <col customWidth="1" min="4" max="4" width="20.75"/>
    <col customWidth="1" min="5" max="5" width="27.0"/>
    <col customWidth="1" min="6" max="6" width="25.13"/>
    <col customWidth="1" min="7" max="7" width="21.5"/>
    <col customWidth="1" min="8" max="8" width="18.13"/>
    <col customWidth="1" min="9" max="9" width="22.25"/>
    <col customWidth="1" min="10" max="10" width="6.88"/>
    <col customWidth="1" min="11" max="11" width="20.63"/>
    <col customWidth="1" min="12" max="12" width="24.75"/>
    <col customWidth="1" min="13" max="13" width="20.63"/>
    <col customWidth="1" min="14" max="15" width="22.38"/>
    <col customWidth="1" min="16" max="16" width="24.88"/>
    <col customWidth="1" min="17" max="17" width="5.75"/>
    <col customWidth="1" min="18" max="18" width="17.13"/>
    <col customWidth="1" min="19" max="19" width="7.25"/>
    <col customWidth="1" min="20" max="20" width="21.25"/>
    <col customWidth="1" min="21" max="21" width="9.75"/>
    <col customWidth="1" min="22" max="22" width="8.88"/>
    <col customWidth="1" min="23" max="23" width="11.38"/>
    <col customWidth="1" min="24" max="24" width="6.63"/>
    <col customWidth="1" min="25" max="25" width="6.88"/>
    <col customWidth="1" min="26" max="26" width="7.63"/>
    <col customWidth="1" min="27" max="27" width="28.5"/>
    <col customWidth="1" min="28" max="28" width="25.5"/>
    <col customWidth="1" min="29" max="29" width="24.63"/>
    <col customWidth="1" min="30" max="30" width="18.25"/>
    <col customWidth="1" min="31" max="31" width="7.25"/>
  </cols>
  <sheetData>
    <row r="1">
      <c r="A1" s="1"/>
      <c r="B1" s="2">
        <v>46188.0</v>
      </c>
      <c r="C1" s="2">
        <v>46189.0</v>
      </c>
      <c r="D1" s="2">
        <v>46190.0</v>
      </c>
      <c r="E1" s="2">
        <v>46191.0</v>
      </c>
      <c r="F1" s="2">
        <v>46192.0</v>
      </c>
      <c r="J1" s="1"/>
      <c r="K1" s="2">
        <v>46196.0</v>
      </c>
      <c r="L1" s="2">
        <v>46197.0</v>
      </c>
      <c r="M1" s="2">
        <v>46198.0</v>
      </c>
      <c r="N1" s="2">
        <v>46199.0</v>
      </c>
      <c r="AB1" s="3"/>
      <c r="AC1" s="4"/>
      <c r="AD1" s="5"/>
      <c r="AE1" s="4"/>
      <c r="AF1" s="4"/>
      <c r="AG1" s="4"/>
      <c r="AH1" s="4"/>
      <c r="AI1" s="4"/>
    </row>
    <row r="2">
      <c r="A2" s="6" t="s">
        <v>0</v>
      </c>
      <c r="B2" s="7"/>
      <c r="C2" s="7"/>
      <c r="D2" s="8" t="s">
        <v>1</v>
      </c>
      <c r="E2" s="9"/>
      <c r="F2" s="10" t="s">
        <v>2</v>
      </c>
      <c r="J2" s="6" t="s">
        <v>0</v>
      </c>
      <c r="K2" s="9"/>
      <c r="L2" s="11" t="s">
        <v>3</v>
      </c>
      <c r="M2" s="9"/>
      <c r="N2" s="12"/>
      <c r="S2" s="13"/>
      <c r="Z2" s="14" t="s">
        <v>4</v>
      </c>
      <c r="AG2" s="4"/>
      <c r="AH2" s="4"/>
      <c r="AI2" s="4"/>
    </row>
    <row r="3">
      <c r="A3" s="6" t="s">
        <v>5</v>
      </c>
      <c r="B3" s="7"/>
      <c r="C3" s="7"/>
      <c r="D3" s="8" t="s">
        <v>6</v>
      </c>
      <c r="E3" s="9"/>
      <c r="F3" s="10" t="s">
        <v>7</v>
      </c>
      <c r="J3" s="6" t="s">
        <v>5</v>
      </c>
      <c r="K3" s="9"/>
      <c r="L3" s="15"/>
      <c r="M3" s="9"/>
      <c r="N3" s="16" t="s">
        <v>8</v>
      </c>
      <c r="S3" s="13"/>
      <c r="Z3" s="17"/>
      <c r="AA3" s="18" t="s">
        <v>9</v>
      </c>
      <c r="AB3" s="18" t="s">
        <v>10</v>
      </c>
      <c r="AC3" s="18" t="s">
        <v>11</v>
      </c>
      <c r="AD3" s="18" t="s">
        <v>12</v>
      </c>
      <c r="AE3" s="19"/>
      <c r="AF3" s="20"/>
      <c r="AG3" s="4"/>
      <c r="AH3" s="4"/>
      <c r="AI3" s="4"/>
    </row>
    <row r="4">
      <c r="A4" s="6" t="s">
        <v>13</v>
      </c>
      <c r="B4" s="7"/>
      <c r="C4" s="7"/>
      <c r="D4" s="21" t="s">
        <v>14</v>
      </c>
      <c r="E4" s="9"/>
      <c r="F4" s="16" t="s">
        <v>15</v>
      </c>
      <c r="J4" s="6" t="s">
        <v>13</v>
      </c>
      <c r="K4" s="9"/>
      <c r="L4" s="22"/>
      <c r="M4" s="9"/>
      <c r="N4" s="16"/>
      <c r="S4" s="13"/>
      <c r="Z4" s="23" t="s">
        <v>0</v>
      </c>
      <c r="AA4" s="24"/>
      <c r="AB4" s="25" t="s">
        <v>16</v>
      </c>
      <c r="AC4" s="26"/>
      <c r="AD4" s="25" t="s">
        <v>17</v>
      </c>
      <c r="AF4" s="27" t="s">
        <v>18</v>
      </c>
      <c r="AG4" s="4"/>
      <c r="AH4" s="4"/>
      <c r="AI4" s="4"/>
    </row>
    <row r="5">
      <c r="A5" s="6" t="s">
        <v>19</v>
      </c>
      <c r="B5" s="7"/>
      <c r="C5" s="7"/>
      <c r="D5" s="8" t="s">
        <v>20</v>
      </c>
      <c r="E5" s="9"/>
      <c r="F5" s="10" t="s">
        <v>21</v>
      </c>
      <c r="J5" s="6" t="s">
        <v>19</v>
      </c>
      <c r="K5" s="9"/>
      <c r="L5" s="28" t="s">
        <v>22</v>
      </c>
      <c r="M5" s="9"/>
      <c r="N5" s="16" t="s">
        <v>23</v>
      </c>
      <c r="S5" s="13"/>
      <c r="Z5" s="29" t="s">
        <v>5</v>
      </c>
      <c r="AA5" s="24"/>
      <c r="AB5" s="25" t="s">
        <v>24</v>
      </c>
      <c r="AC5" s="26"/>
      <c r="AD5" s="30" t="s">
        <v>25</v>
      </c>
      <c r="AF5" s="31" t="s">
        <v>26</v>
      </c>
      <c r="AG5" s="4"/>
      <c r="AH5" s="4"/>
      <c r="AI5" s="4"/>
    </row>
    <row r="6">
      <c r="A6" s="32" t="s">
        <v>27</v>
      </c>
      <c r="B6" s="7"/>
      <c r="C6" s="7"/>
      <c r="D6" s="21" t="s">
        <v>28</v>
      </c>
      <c r="E6" s="9"/>
      <c r="F6" s="21" t="s">
        <v>29</v>
      </c>
      <c r="J6" s="32" t="s">
        <v>27</v>
      </c>
      <c r="K6" s="33"/>
      <c r="L6" s="10" t="s">
        <v>30</v>
      </c>
      <c r="M6" s="9"/>
      <c r="N6" s="10"/>
      <c r="S6" s="13"/>
      <c r="T6" s="13"/>
      <c r="Z6" s="29" t="s">
        <v>13</v>
      </c>
      <c r="AA6" s="24"/>
      <c r="AC6" s="26"/>
      <c r="AD6" s="25" t="s">
        <v>31</v>
      </c>
      <c r="AF6" s="34" t="s">
        <v>32</v>
      </c>
      <c r="AG6" s="4"/>
      <c r="AH6" s="4"/>
      <c r="AI6" s="4"/>
    </row>
    <row r="7">
      <c r="A7" s="32" t="s">
        <v>33</v>
      </c>
      <c r="B7" s="7"/>
      <c r="C7" s="7"/>
      <c r="D7" s="21" t="s">
        <v>34</v>
      </c>
      <c r="E7" s="9"/>
      <c r="F7" s="35" t="s">
        <v>35</v>
      </c>
      <c r="J7" s="32" t="s">
        <v>33</v>
      </c>
      <c r="K7" s="9"/>
      <c r="L7" s="22" t="s">
        <v>36</v>
      </c>
      <c r="M7" s="9"/>
      <c r="N7" s="36"/>
      <c r="S7" s="13"/>
      <c r="T7" s="13"/>
      <c r="Z7" s="29" t="s">
        <v>19</v>
      </c>
      <c r="AA7" s="24"/>
      <c r="AB7" s="25" t="s">
        <v>37</v>
      </c>
      <c r="AC7" s="26"/>
      <c r="AD7" s="30" t="s">
        <v>38</v>
      </c>
      <c r="AE7" s="19"/>
      <c r="AF7" s="3"/>
      <c r="AG7" s="4"/>
      <c r="AH7" s="4"/>
      <c r="AI7" s="4"/>
    </row>
    <row r="8">
      <c r="A8" s="32" t="s">
        <v>39</v>
      </c>
      <c r="B8" s="7"/>
      <c r="C8" s="21" t="s">
        <v>40</v>
      </c>
      <c r="D8" s="7"/>
      <c r="E8" s="9"/>
      <c r="F8" s="9"/>
      <c r="J8" s="32" t="s">
        <v>39</v>
      </c>
      <c r="K8" s="10" t="s">
        <v>41</v>
      </c>
      <c r="L8" s="37"/>
      <c r="M8" s="9"/>
      <c r="N8" s="9"/>
      <c r="S8" s="13"/>
      <c r="T8" s="22"/>
      <c r="Z8" s="38" t="s">
        <v>42</v>
      </c>
      <c r="AA8" s="24"/>
      <c r="AB8" s="30" t="s">
        <v>28</v>
      </c>
      <c r="AC8" s="39"/>
      <c r="AD8" s="25" t="s">
        <v>43</v>
      </c>
      <c r="AE8" s="19"/>
      <c r="AF8" s="40" t="s">
        <v>44</v>
      </c>
      <c r="AG8" s="4"/>
      <c r="AH8" s="4"/>
      <c r="AI8" s="4"/>
    </row>
    <row r="9">
      <c r="A9" s="6" t="s">
        <v>45</v>
      </c>
      <c r="B9" s="7"/>
      <c r="C9" s="8" t="s">
        <v>46</v>
      </c>
      <c r="D9" s="7"/>
      <c r="E9" s="22" t="s">
        <v>47</v>
      </c>
      <c r="F9" s="9"/>
      <c r="J9" s="6" t="s">
        <v>45</v>
      </c>
      <c r="K9" s="10" t="s">
        <v>48</v>
      </c>
      <c r="L9" s="9"/>
      <c r="M9" s="22" t="s">
        <v>49</v>
      </c>
      <c r="N9" s="9"/>
      <c r="S9" s="13"/>
      <c r="T9" s="22"/>
      <c r="Z9" s="38" t="s">
        <v>50</v>
      </c>
      <c r="AA9" s="24"/>
      <c r="AB9" s="30" t="s">
        <v>51</v>
      </c>
      <c r="AC9" s="39"/>
      <c r="AD9" s="30" t="s">
        <v>52</v>
      </c>
      <c r="AE9" s="19"/>
      <c r="AF9" s="41" t="s">
        <v>53</v>
      </c>
      <c r="AG9" s="4"/>
      <c r="AH9" s="4"/>
      <c r="AI9" s="4"/>
    </row>
    <row r="10">
      <c r="A10" s="6" t="s">
        <v>54</v>
      </c>
      <c r="B10" s="7"/>
      <c r="C10" s="21" t="s">
        <v>55</v>
      </c>
      <c r="D10" s="7"/>
      <c r="E10" s="35" t="s">
        <v>56</v>
      </c>
      <c r="F10" s="9"/>
      <c r="J10" s="6" t="s">
        <v>54</v>
      </c>
      <c r="K10" s="16" t="s">
        <v>57</v>
      </c>
      <c r="L10" s="9"/>
      <c r="M10" s="16" t="s">
        <v>58</v>
      </c>
      <c r="N10" s="9"/>
      <c r="S10" s="13"/>
      <c r="T10" s="13"/>
      <c r="Z10" s="29" t="s">
        <v>39</v>
      </c>
      <c r="AA10" s="25" t="s">
        <v>58</v>
      </c>
      <c r="AB10" s="24"/>
      <c r="AD10" s="42"/>
      <c r="AE10" s="19"/>
      <c r="AF10" s="41" t="s">
        <v>59</v>
      </c>
      <c r="AG10" s="4"/>
      <c r="AH10" s="4"/>
      <c r="AI10" s="4"/>
    </row>
    <row r="11" ht="15.0" customHeight="1">
      <c r="A11" s="32" t="s">
        <v>60</v>
      </c>
      <c r="B11" s="35" t="s">
        <v>61</v>
      </c>
      <c r="C11" s="21" t="s">
        <v>62</v>
      </c>
      <c r="D11" s="7"/>
      <c r="E11" s="21" t="s">
        <v>63</v>
      </c>
      <c r="F11" s="9"/>
      <c r="J11" s="6" t="s">
        <v>64</v>
      </c>
      <c r="K11" s="43" t="s">
        <v>65</v>
      </c>
      <c r="L11" s="33" t="s">
        <v>66</v>
      </c>
      <c r="M11" s="10" t="s">
        <v>67</v>
      </c>
      <c r="N11" s="9"/>
      <c r="S11" s="13"/>
      <c r="T11" s="13"/>
      <c r="Z11" s="29" t="s">
        <v>45</v>
      </c>
      <c r="AA11" s="30" t="s">
        <v>68</v>
      </c>
      <c r="AB11" s="44"/>
      <c r="AC11" s="25" t="s">
        <v>69</v>
      </c>
      <c r="AD11" s="42"/>
      <c r="AE11" s="19"/>
      <c r="AF11" s="41" t="s">
        <v>70</v>
      </c>
      <c r="AG11" s="4"/>
      <c r="AH11" s="4"/>
      <c r="AI11" s="4"/>
    </row>
    <row r="12">
      <c r="A12" s="6" t="s">
        <v>71</v>
      </c>
      <c r="B12" s="22" t="s">
        <v>72</v>
      </c>
      <c r="C12" s="35" t="s">
        <v>73</v>
      </c>
      <c r="D12" s="7"/>
      <c r="E12" s="10" t="s">
        <v>74</v>
      </c>
      <c r="F12" s="9"/>
      <c r="J12" s="6" t="s">
        <v>71</v>
      </c>
      <c r="K12" s="22" t="s">
        <v>75</v>
      </c>
      <c r="L12" s="9"/>
      <c r="M12" s="10" t="s">
        <v>76</v>
      </c>
      <c r="N12" s="9"/>
      <c r="S12" s="13"/>
      <c r="T12" s="13"/>
      <c r="Z12" s="29" t="s">
        <v>54</v>
      </c>
      <c r="AA12" s="35" t="s">
        <v>77</v>
      </c>
      <c r="AB12" s="44"/>
      <c r="AC12" s="30" t="s">
        <v>78</v>
      </c>
      <c r="AD12" s="42"/>
      <c r="AE12" s="19"/>
      <c r="AF12" s="41" t="s">
        <v>79</v>
      </c>
      <c r="AG12" s="4"/>
      <c r="AH12" s="4"/>
      <c r="AI12" s="4"/>
    </row>
    <row r="13">
      <c r="A13" s="6" t="s">
        <v>80</v>
      </c>
      <c r="B13" s="8" t="s">
        <v>81</v>
      </c>
      <c r="C13" s="16" t="s">
        <v>82</v>
      </c>
      <c r="D13" s="7"/>
      <c r="E13" s="21" t="s">
        <v>83</v>
      </c>
      <c r="F13" s="9"/>
      <c r="J13" s="6" t="s">
        <v>80</v>
      </c>
      <c r="K13" s="16" t="s">
        <v>84</v>
      </c>
      <c r="L13" s="9"/>
      <c r="M13" s="16" t="s">
        <v>85</v>
      </c>
      <c r="N13" s="9"/>
      <c r="S13" s="13"/>
      <c r="T13" s="13"/>
      <c r="Z13" s="29" t="s">
        <v>64</v>
      </c>
      <c r="AA13" s="8" t="s">
        <v>86</v>
      </c>
      <c r="AB13" s="45"/>
      <c r="AC13" s="25" t="s">
        <v>87</v>
      </c>
      <c r="AD13" s="42"/>
      <c r="AE13" s="46"/>
      <c r="AF13" s="10" t="s">
        <v>88</v>
      </c>
      <c r="AG13" s="4"/>
      <c r="AH13" s="4"/>
      <c r="AI13" s="4"/>
    </row>
    <row r="14">
      <c r="G14" s="47"/>
      <c r="H14" s="48"/>
      <c r="S14" s="13"/>
      <c r="T14" s="13"/>
      <c r="Z14" s="29" t="s">
        <v>71</v>
      </c>
      <c r="AA14" s="25" t="s">
        <v>89</v>
      </c>
      <c r="AB14" s="24"/>
      <c r="AC14" s="25" t="s">
        <v>90</v>
      </c>
      <c r="AD14" s="42"/>
      <c r="AE14" s="19"/>
      <c r="AF14" s="49" t="s">
        <v>91</v>
      </c>
      <c r="AG14" s="4"/>
      <c r="AH14" s="4"/>
      <c r="AI14" s="4"/>
    </row>
    <row r="15">
      <c r="S15" s="13"/>
      <c r="T15" s="13"/>
      <c r="Z15" s="29" t="s">
        <v>80</v>
      </c>
      <c r="AA15" s="50" t="s">
        <v>92</v>
      </c>
      <c r="AB15" s="24"/>
      <c r="AC15" s="25" t="s">
        <v>93</v>
      </c>
      <c r="AD15" s="42"/>
      <c r="AE15" s="46"/>
      <c r="AF15" s="49" t="s">
        <v>94</v>
      </c>
      <c r="AG15" s="4"/>
      <c r="AH15" s="4"/>
      <c r="AI15" s="4"/>
    </row>
    <row r="16" ht="14.25" customHeight="1">
      <c r="A16" s="47"/>
      <c r="I16" s="4"/>
      <c r="J16" s="48"/>
      <c r="K16" s="51">
        <v>46210.0</v>
      </c>
      <c r="L16" s="51">
        <v>46211.0</v>
      </c>
      <c r="M16" s="51">
        <v>46212.0</v>
      </c>
      <c r="N16" s="51">
        <v>46213.0</v>
      </c>
      <c r="O16" s="52"/>
      <c r="T16" s="13"/>
      <c r="Z16" s="29" t="s">
        <v>95</v>
      </c>
      <c r="AA16" s="53" t="s">
        <v>96</v>
      </c>
      <c r="AB16" s="24"/>
      <c r="AC16" s="25" t="s">
        <v>53</v>
      </c>
      <c r="AD16" s="42"/>
      <c r="AE16" s="46"/>
      <c r="AF16" s="3"/>
      <c r="AG16" s="4"/>
      <c r="AH16" s="4"/>
      <c r="AI16" s="4"/>
    </row>
    <row r="17">
      <c r="A17" s="1"/>
      <c r="B17" s="2">
        <v>46203.0</v>
      </c>
      <c r="C17" s="51">
        <v>46204.0</v>
      </c>
      <c r="D17" s="51">
        <v>46205.0</v>
      </c>
      <c r="E17" s="51">
        <v>46206.0</v>
      </c>
      <c r="H17" s="52"/>
      <c r="I17" s="4"/>
      <c r="J17" s="6" t="s">
        <v>0</v>
      </c>
      <c r="K17" s="33"/>
      <c r="L17" s="54"/>
      <c r="M17" s="9"/>
      <c r="N17" s="16"/>
      <c r="O17" s="52"/>
      <c r="T17" s="22"/>
      <c r="AA17" s="3"/>
      <c r="AB17" s="3"/>
      <c r="AC17" s="3"/>
      <c r="AD17" s="3"/>
      <c r="AE17" s="46"/>
      <c r="AF17" s="3"/>
      <c r="AG17" s="4"/>
      <c r="AH17" s="4"/>
      <c r="AI17" s="4"/>
    </row>
    <row r="18">
      <c r="A18" s="6" t="s">
        <v>0</v>
      </c>
      <c r="B18" s="9"/>
      <c r="C18" s="55"/>
      <c r="D18" s="9"/>
      <c r="E18" s="17"/>
      <c r="J18" s="6" t="s">
        <v>5</v>
      </c>
      <c r="K18" s="9"/>
      <c r="L18" s="56"/>
      <c r="M18" s="9"/>
      <c r="T18" s="13"/>
      <c r="Z18" s="57"/>
      <c r="AA18" s="3"/>
      <c r="AB18" s="27" t="s">
        <v>18</v>
      </c>
      <c r="AC18" s="3"/>
      <c r="AD18" s="3"/>
      <c r="AE18" s="58"/>
      <c r="AF18" s="3"/>
      <c r="AG18" s="4"/>
      <c r="AH18" s="4"/>
      <c r="AI18" s="4"/>
    </row>
    <row r="19">
      <c r="A19" s="6" t="s">
        <v>5</v>
      </c>
      <c r="B19" s="9"/>
      <c r="C19" s="55"/>
      <c r="D19" s="9"/>
      <c r="E19" s="17"/>
      <c r="J19" s="6" t="s">
        <v>13</v>
      </c>
      <c r="K19" s="9"/>
      <c r="L19" s="10"/>
      <c r="M19" s="9"/>
      <c r="N19" s="59"/>
      <c r="T19" s="60"/>
      <c r="Z19" s="57"/>
      <c r="AA19" s="3"/>
      <c r="AB19" s="31" t="s">
        <v>26</v>
      </c>
      <c r="AC19" s="3"/>
      <c r="AD19" s="3"/>
      <c r="AE19" s="58"/>
      <c r="AF19" s="3"/>
      <c r="AG19" s="4"/>
      <c r="AH19" s="4"/>
      <c r="AI19" s="4"/>
    </row>
    <row r="20">
      <c r="A20" s="6" t="s">
        <v>13</v>
      </c>
      <c r="B20" s="9"/>
      <c r="C20" s="10"/>
      <c r="D20" s="9"/>
      <c r="E20" s="17"/>
      <c r="J20" s="6" t="s">
        <v>19</v>
      </c>
      <c r="K20" s="9"/>
      <c r="L20" s="16"/>
      <c r="M20" s="9"/>
      <c r="N20" s="10"/>
      <c r="T20" s="22"/>
      <c r="Z20" s="57"/>
      <c r="AA20" s="3"/>
      <c r="AB20" s="34"/>
      <c r="AC20" s="3"/>
      <c r="AD20" s="3"/>
      <c r="AE20" s="58"/>
      <c r="AF20" s="3"/>
      <c r="AG20" s="4"/>
      <c r="AH20" s="4"/>
      <c r="AI20" s="4"/>
    </row>
    <row r="21">
      <c r="A21" s="6" t="s">
        <v>19</v>
      </c>
      <c r="B21" s="9"/>
      <c r="C21" s="55"/>
      <c r="D21" s="9"/>
      <c r="E21" s="17"/>
      <c r="J21" s="32" t="s">
        <v>27</v>
      </c>
      <c r="K21" s="9"/>
      <c r="L21" s="10"/>
      <c r="M21" s="9"/>
      <c r="N21" s="10"/>
      <c r="Z21" s="57"/>
      <c r="AA21" s="3"/>
      <c r="AB21" s="34" t="s">
        <v>32</v>
      </c>
      <c r="AC21" s="3"/>
      <c r="AD21" s="3"/>
      <c r="AE21" s="58"/>
      <c r="AF21" s="3"/>
      <c r="AG21" s="4"/>
      <c r="AH21" s="4"/>
      <c r="AI21" s="4"/>
    </row>
    <row r="22">
      <c r="A22" s="32" t="s">
        <v>27</v>
      </c>
      <c r="B22" s="33"/>
      <c r="C22" s="55"/>
      <c r="D22" s="9"/>
      <c r="E22" s="17"/>
      <c r="J22" s="32" t="s">
        <v>33</v>
      </c>
      <c r="K22" s="9"/>
      <c r="L22" s="43" t="s">
        <v>36</v>
      </c>
      <c r="M22" s="9"/>
      <c r="N22" s="36"/>
      <c r="AB22" s="3"/>
      <c r="AC22" s="4"/>
      <c r="AD22" s="4"/>
      <c r="AE22" s="4"/>
      <c r="AF22" s="4"/>
      <c r="AG22" s="4"/>
      <c r="AH22" s="4"/>
      <c r="AI22" s="4"/>
    </row>
    <row r="23">
      <c r="A23" s="32" t="s">
        <v>33</v>
      </c>
      <c r="B23" s="9"/>
      <c r="C23" s="55"/>
      <c r="D23" s="9"/>
      <c r="E23" s="9"/>
      <c r="J23" s="32" t="s">
        <v>39</v>
      </c>
      <c r="K23" s="56"/>
      <c r="L23" s="9"/>
      <c r="M23" s="9"/>
      <c r="N23" s="9"/>
      <c r="AB23" s="3"/>
      <c r="AC23" s="4"/>
      <c r="AD23" s="4"/>
      <c r="AE23" s="4"/>
      <c r="AF23" s="4"/>
      <c r="AG23" s="4"/>
      <c r="AH23" s="4"/>
      <c r="AI23" s="4"/>
    </row>
    <row r="24">
      <c r="A24" s="32" t="s">
        <v>39</v>
      </c>
      <c r="B24" s="61"/>
      <c r="C24" s="10"/>
      <c r="D24" s="9"/>
      <c r="E24" s="9"/>
      <c r="J24" s="6" t="s">
        <v>45</v>
      </c>
      <c r="K24" s="10"/>
      <c r="L24" s="33" t="s">
        <v>97</v>
      </c>
      <c r="M24" s="10" t="s">
        <v>98</v>
      </c>
      <c r="N24" s="9"/>
      <c r="AB24" s="3"/>
      <c r="AC24" s="4"/>
      <c r="AD24" s="4"/>
      <c r="AE24" s="4"/>
      <c r="AF24" s="4"/>
      <c r="AG24" s="4"/>
      <c r="AH24" s="4"/>
      <c r="AI24" s="4"/>
    </row>
    <row r="25">
      <c r="A25" s="6" t="s">
        <v>45</v>
      </c>
      <c r="B25" s="10"/>
      <c r="C25" s="9"/>
      <c r="E25" s="9"/>
      <c r="J25" s="6" t="s">
        <v>54</v>
      </c>
      <c r="K25" s="16"/>
      <c r="L25" s="9"/>
      <c r="M25" s="16"/>
      <c r="N25" s="9"/>
      <c r="AB25" s="3"/>
      <c r="AC25" s="4"/>
      <c r="AD25" s="4"/>
      <c r="AE25" s="4"/>
      <c r="AF25" s="4"/>
      <c r="AG25" s="4"/>
      <c r="AH25" s="4"/>
      <c r="AI25" s="4"/>
    </row>
    <row r="26">
      <c r="A26" s="6" t="s">
        <v>54</v>
      </c>
      <c r="B26" s="16" t="s">
        <v>99</v>
      </c>
      <c r="C26" s="9"/>
      <c r="D26" s="55"/>
      <c r="E26" s="9"/>
      <c r="J26" s="6" t="s">
        <v>64</v>
      </c>
      <c r="K26" s="10"/>
      <c r="L26" s="9"/>
      <c r="M26" s="10"/>
      <c r="N26" s="9"/>
      <c r="Y26" s="3"/>
      <c r="Z26" s="58"/>
      <c r="AA26" s="3"/>
      <c r="AB26" s="3"/>
      <c r="AC26" s="4"/>
      <c r="AD26" s="4"/>
      <c r="AE26" s="4"/>
      <c r="AF26" s="4"/>
      <c r="AG26" s="4"/>
      <c r="AH26" s="4"/>
      <c r="AI26" s="4"/>
    </row>
    <row r="27">
      <c r="A27" s="6" t="s">
        <v>64</v>
      </c>
      <c r="B27" s="10"/>
      <c r="C27" s="9"/>
      <c r="D27" s="10" t="s">
        <v>100</v>
      </c>
      <c r="E27" s="9"/>
      <c r="J27" s="6" t="s">
        <v>71</v>
      </c>
      <c r="K27" s="17"/>
      <c r="L27" s="9"/>
      <c r="N27" s="9"/>
      <c r="Y27" s="3"/>
      <c r="Z27" s="58"/>
      <c r="AA27" s="3"/>
      <c r="AB27" s="3"/>
      <c r="AC27" s="4"/>
      <c r="AD27" s="4"/>
      <c r="AE27" s="4"/>
      <c r="AF27" s="4"/>
      <c r="AG27" s="4"/>
      <c r="AH27" s="4"/>
      <c r="AI27" s="4"/>
    </row>
    <row r="28">
      <c r="A28" s="6" t="s">
        <v>71</v>
      </c>
      <c r="B28" s="22"/>
      <c r="C28" s="9"/>
      <c r="D28" s="16" t="s">
        <v>101</v>
      </c>
      <c r="E28" s="9"/>
      <c r="J28" s="6" t="s">
        <v>80</v>
      </c>
      <c r="K28" s="10"/>
      <c r="L28" s="9"/>
      <c r="M28" s="10"/>
      <c r="N28" s="9"/>
      <c r="Y28" s="3"/>
      <c r="Z28" s="58"/>
      <c r="AA28" s="3"/>
      <c r="AB28" s="3"/>
      <c r="AC28" s="4"/>
      <c r="AD28" s="4"/>
      <c r="AE28" s="4"/>
      <c r="AF28" s="4"/>
      <c r="AG28" s="4"/>
      <c r="AH28" s="4"/>
      <c r="AI28" s="4"/>
    </row>
    <row r="29">
      <c r="A29" s="6" t="s">
        <v>80</v>
      </c>
      <c r="C29" s="9"/>
      <c r="D29" s="55"/>
      <c r="E29" s="9"/>
      <c r="Y29" s="3"/>
      <c r="Z29" s="58"/>
      <c r="AA29" s="3"/>
      <c r="AB29" s="3"/>
      <c r="AC29" s="4"/>
      <c r="AD29" s="4"/>
      <c r="AE29" s="4"/>
      <c r="AF29" s="4"/>
      <c r="AG29" s="4"/>
      <c r="AH29" s="4"/>
      <c r="AI29" s="4"/>
    </row>
    <row r="30">
      <c r="Y30" s="3"/>
      <c r="Z30" s="58"/>
      <c r="AA30" s="3"/>
      <c r="AB30" s="3"/>
      <c r="AC30" s="4"/>
      <c r="AD30" s="4"/>
      <c r="AE30" s="4"/>
      <c r="AF30" s="4"/>
      <c r="AG30" s="4"/>
      <c r="AH30" s="4"/>
      <c r="AI30" s="4"/>
    </row>
    <row r="31">
      <c r="U31" s="57"/>
      <c r="V31" s="41"/>
      <c r="W31" s="3"/>
      <c r="X31" s="3"/>
      <c r="Y31" s="3"/>
      <c r="Z31" s="58"/>
      <c r="AA31" s="3"/>
      <c r="AB31" s="3"/>
      <c r="AC31" s="4"/>
      <c r="AD31" s="4"/>
      <c r="AE31" s="4"/>
      <c r="AF31" s="4"/>
      <c r="AG31" s="4"/>
      <c r="AH31" s="4"/>
      <c r="AI31" s="4"/>
    </row>
    <row r="32">
      <c r="U32" s="57"/>
      <c r="V32" s="41"/>
      <c r="W32" s="3"/>
      <c r="X32" s="3"/>
      <c r="Y32" s="3"/>
      <c r="Z32" s="58"/>
      <c r="AA32" s="3"/>
      <c r="AB32" s="3"/>
      <c r="AC32" s="4"/>
      <c r="AD32" s="4"/>
      <c r="AE32" s="4"/>
      <c r="AF32" s="4"/>
      <c r="AG32" s="4"/>
      <c r="AH32" s="4"/>
      <c r="AI32" s="4"/>
    </row>
    <row r="33">
      <c r="A33" s="1"/>
      <c r="B33" s="62"/>
      <c r="C33" s="51">
        <v>46217.0</v>
      </c>
      <c r="D33" s="51">
        <v>46218.0</v>
      </c>
      <c r="E33" s="51">
        <v>46219.0</v>
      </c>
      <c r="F33" s="63" t="s">
        <v>102</v>
      </c>
      <c r="G33" s="48"/>
      <c r="H33" s="1"/>
      <c r="I33" s="1"/>
      <c r="J33" s="51">
        <v>46224.0</v>
      </c>
      <c r="K33" s="51">
        <v>46225.0</v>
      </c>
      <c r="L33" s="51">
        <v>46226.0</v>
      </c>
      <c r="M33" s="51">
        <v>46227.0</v>
      </c>
      <c r="U33" s="57"/>
      <c r="V33" s="3"/>
      <c r="W33" s="3"/>
      <c r="X33" s="3"/>
      <c r="Y33" s="3"/>
      <c r="Z33" s="58"/>
      <c r="AA33" s="3"/>
      <c r="AB33" s="3"/>
      <c r="AC33" s="4"/>
      <c r="AD33" s="4"/>
      <c r="AE33" s="4"/>
      <c r="AF33" s="4"/>
      <c r="AG33" s="4"/>
      <c r="AH33" s="4"/>
      <c r="AI33" s="4"/>
    </row>
    <row r="34">
      <c r="A34" s="64" t="s">
        <v>0</v>
      </c>
      <c r="B34" s="65"/>
      <c r="C34" s="65"/>
      <c r="D34" s="66"/>
      <c r="E34" s="67"/>
      <c r="G34" s="68"/>
      <c r="H34" s="68"/>
      <c r="I34" s="6" t="s">
        <v>0</v>
      </c>
      <c r="J34" s="9"/>
      <c r="K34" s="22"/>
      <c r="L34" s="9"/>
      <c r="M34" s="22"/>
      <c r="S34" s="4"/>
      <c r="U34" s="57"/>
      <c r="V34" s="3"/>
      <c r="W34" s="3"/>
      <c r="X34" s="3"/>
      <c r="Y34" s="3"/>
      <c r="Z34" s="58"/>
      <c r="AA34" s="3"/>
      <c r="AB34" s="3"/>
      <c r="AC34" s="4"/>
      <c r="AD34" s="4"/>
      <c r="AE34" s="4"/>
      <c r="AF34" s="4"/>
      <c r="AG34" s="4"/>
      <c r="AH34" s="4"/>
      <c r="AI34" s="4"/>
    </row>
    <row r="35">
      <c r="A35" s="64" t="s">
        <v>5</v>
      </c>
      <c r="B35" s="65"/>
      <c r="C35" s="65"/>
      <c r="D35" s="66"/>
      <c r="E35" s="67"/>
      <c r="G35" s="68"/>
      <c r="H35" s="68"/>
      <c r="I35" s="6" t="s">
        <v>5</v>
      </c>
      <c r="J35" s="9"/>
      <c r="K35" s="69"/>
      <c r="L35" s="9"/>
      <c r="M35" s="15"/>
      <c r="S35" s="4"/>
      <c r="U35" s="57"/>
      <c r="V35" s="3"/>
      <c r="W35" s="3"/>
      <c r="X35" s="3"/>
      <c r="Y35" s="3"/>
      <c r="Z35" s="58"/>
      <c r="AA35" s="3"/>
      <c r="AB35" s="3"/>
      <c r="AC35" s="4"/>
      <c r="AD35" s="4"/>
      <c r="AE35" s="4"/>
      <c r="AF35" s="4"/>
      <c r="AG35" s="4"/>
      <c r="AH35" s="4"/>
      <c r="AI35" s="4"/>
    </row>
    <row r="36">
      <c r="A36" s="64" t="s">
        <v>13</v>
      </c>
      <c r="B36" s="70"/>
      <c r="C36" s="71"/>
      <c r="D36" s="66"/>
      <c r="E36" s="65"/>
      <c r="G36" s="68"/>
      <c r="H36" s="68"/>
      <c r="I36" s="6" t="s">
        <v>13</v>
      </c>
      <c r="J36" s="9"/>
      <c r="K36" s="22"/>
      <c r="L36" s="9"/>
      <c r="M36" s="22"/>
      <c r="U36" s="57"/>
      <c r="V36" s="3"/>
      <c r="W36" s="3"/>
      <c r="X36" s="3"/>
      <c r="Y36" s="3"/>
      <c r="Z36" s="58"/>
      <c r="AA36" s="3"/>
      <c r="AB36" s="3"/>
      <c r="AC36" s="4"/>
      <c r="AD36" s="4"/>
      <c r="AE36" s="4"/>
      <c r="AF36" s="4"/>
      <c r="AG36" s="4"/>
      <c r="AH36" s="4"/>
      <c r="AI36" s="4"/>
    </row>
    <row r="37">
      <c r="A37" s="64" t="s">
        <v>19</v>
      </c>
      <c r="B37" s="72"/>
      <c r="C37" s="73"/>
      <c r="D37" s="66"/>
      <c r="E37" s="71"/>
      <c r="G37" s="68"/>
      <c r="H37" s="68"/>
      <c r="I37" s="6" t="s">
        <v>19</v>
      </c>
      <c r="J37" s="9"/>
      <c r="K37" s="10"/>
      <c r="L37" s="9"/>
      <c r="M37" s="10"/>
      <c r="U37" s="74"/>
      <c r="V37" s="3"/>
      <c r="W37" s="3"/>
      <c r="X37" s="3"/>
      <c r="Y37" s="3"/>
      <c r="Z37" s="58"/>
      <c r="AA37" s="3"/>
      <c r="AB37" s="3"/>
      <c r="AC37" s="4"/>
      <c r="AD37" s="4"/>
      <c r="AE37" s="4"/>
      <c r="AF37" s="4"/>
      <c r="AG37" s="4"/>
      <c r="AH37" s="4"/>
      <c r="AI37" s="4"/>
    </row>
    <row r="38">
      <c r="A38" s="75" t="s">
        <v>27</v>
      </c>
      <c r="B38" s="72"/>
      <c r="C38" s="73"/>
      <c r="D38" s="66"/>
      <c r="E38" s="71"/>
      <c r="G38" s="68"/>
      <c r="H38" s="68"/>
      <c r="I38" s="32" t="s">
        <v>27</v>
      </c>
      <c r="J38" s="9"/>
      <c r="K38" s="10"/>
      <c r="L38" s="9"/>
      <c r="M38" s="10"/>
      <c r="U38" s="74"/>
      <c r="V38" s="3"/>
      <c r="W38" s="3"/>
      <c r="X38" s="3"/>
      <c r="Y38" s="3"/>
      <c r="Z38" s="58"/>
      <c r="AA38" s="3"/>
      <c r="AB38" s="3"/>
      <c r="AC38" s="4"/>
      <c r="AD38" s="4"/>
      <c r="AE38" s="4"/>
      <c r="AF38" s="4"/>
      <c r="AG38" s="4"/>
      <c r="AH38" s="4"/>
      <c r="AI38" s="4"/>
    </row>
    <row r="39">
      <c r="A39" s="75" t="s">
        <v>33</v>
      </c>
      <c r="B39" s="70"/>
      <c r="C39" s="71"/>
      <c r="D39" s="66"/>
      <c r="E39" s="76"/>
      <c r="G39" s="68"/>
      <c r="H39" s="68"/>
      <c r="I39" s="32" t="s">
        <v>33</v>
      </c>
      <c r="J39" s="9"/>
      <c r="K39" s="43" t="s">
        <v>36</v>
      </c>
      <c r="L39" s="9"/>
      <c r="M39" s="55"/>
      <c r="U39" s="74"/>
      <c r="V39" s="3"/>
      <c r="W39" s="3"/>
      <c r="X39" s="3"/>
      <c r="Y39" s="3"/>
      <c r="Z39" s="58"/>
      <c r="AA39" s="3"/>
      <c r="AB39" s="3"/>
      <c r="AC39" s="4"/>
      <c r="AD39" s="4"/>
      <c r="AE39" s="4"/>
      <c r="AF39" s="4"/>
      <c r="AG39" s="4"/>
      <c r="AH39" s="4"/>
      <c r="AI39" s="4"/>
    </row>
    <row r="40">
      <c r="A40" s="75" t="s">
        <v>39</v>
      </c>
      <c r="B40" s="77"/>
      <c r="C40" s="66"/>
      <c r="D40" s="67"/>
      <c r="E40" s="9"/>
      <c r="F40" s="65"/>
      <c r="G40" s="68"/>
      <c r="H40" s="68"/>
      <c r="I40" s="32" t="s">
        <v>39</v>
      </c>
      <c r="J40" s="22"/>
      <c r="K40" s="33"/>
      <c r="L40" s="59"/>
      <c r="M40" s="33"/>
      <c r="U40" s="74"/>
      <c r="V40" s="3"/>
      <c r="W40" s="3"/>
      <c r="X40" s="3"/>
      <c r="Y40" s="3"/>
      <c r="Z40" s="58"/>
      <c r="AA40" s="3"/>
      <c r="AB40" s="3"/>
      <c r="AC40" s="4"/>
      <c r="AD40" s="4"/>
      <c r="AE40" s="4"/>
      <c r="AF40" s="4"/>
      <c r="AG40" s="4"/>
      <c r="AH40" s="4"/>
      <c r="AI40" s="4"/>
    </row>
    <row r="41">
      <c r="A41" s="64" t="s">
        <v>45</v>
      </c>
      <c r="B41" s="77"/>
      <c r="C41" s="66"/>
      <c r="D41" s="78"/>
      <c r="E41" s="66"/>
      <c r="F41" s="65"/>
      <c r="G41" s="68"/>
      <c r="H41" s="68"/>
      <c r="I41" s="6" t="s">
        <v>45</v>
      </c>
      <c r="J41" s="10"/>
      <c r="K41" s="9"/>
      <c r="L41" s="10"/>
      <c r="M41" s="9"/>
      <c r="U41" s="74"/>
      <c r="V41" s="3"/>
      <c r="W41" s="3"/>
      <c r="X41" s="3"/>
      <c r="Y41" s="3"/>
      <c r="Z41" s="58"/>
      <c r="AA41" s="3"/>
      <c r="AB41" s="3"/>
      <c r="AC41" s="4"/>
      <c r="AD41" s="4"/>
      <c r="AE41" s="4"/>
      <c r="AF41" s="4"/>
      <c r="AG41" s="4"/>
      <c r="AH41" s="4"/>
      <c r="AI41" s="4"/>
    </row>
    <row r="42">
      <c r="A42" s="64" t="s">
        <v>54</v>
      </c>
      <c r="B42" s="77"/>
      <c r="C42" s="66"/>
      <c r="D42" s="71"/>
      <c r="E42" s="66"/>
      <c r="F42" s="65"/>
      <c r="G42" s="68"/>
      <c r="H42" s="68"/>
      <c r="I42" s="6" t="s">
        <v>54</v>
      </c>
      <c r="J42" s="16"/>
      <c r="K42" s="9"/>
      <c r="L42" s="22"/>
      <c r="M42" s="9"/>
      <c r="U42" s="74"/>
      <c r="V42" s="3"/>
      <c r="W42" s="3"/>
      <c r="X42" s="3"/>
      <c r="Y42" s="3"/>
      <c r="Z42" s="58"/>
      <c r="AA42" s="3"/>
      <c r="AB42" s="3"/>
      <c r="AC42" s="4"/>
      <c r="AD42" s="4"/>
      <c r="AE42" s="4"/>
      <c r="AF42" s="4"/>
      <c r="AG42" s="4"/>
      <c r="AH42" s="4"/>
      <c r="AI42" s="4"/>
    </row>
    <row r="43">
      <c r="A43" s="79">
        <v>0.7083333333333334</v>
      </c>
      <c r="B43" s="77"/>
      <c r="C43" s="66"/>
      <c r="D43" s="71"/>
      <c r="E43" s="66"/>
      <c r="F43" s="65"/>
      <c r="G43" s="68"/>
      <c r="H43" s="68"/>
      <c r="I43" s="6" t="s">
        <v>64</v>
      </c>
      <c r="J43" s="10"/>
      <c r="K43" s="9"/>
      <c r="L43" s="80"/>
      <c r="M43" s="9"/>
      <c r="U43" s="74"/>
      <c r="V43" s="3"/>
      <c r="W43" s="3"/>
      <c r="X43" s="3"/>
      <c r="Y43" s="3"/>
      <c r="Z43" s="58"/>
      <c r="AA43" s="3"/>
      <c r="AB43" s="3"/>
      <c r="AC43" s="4"/>
      <c r="AD43" s="4"/>
      <c r="AE43" s="4"/>
      <c r="AF43" s="4"/>
      <c r="AG43" s="4"/>
      <c r="AH43" s="4"/>
      <c r="AI43" s="4"/>
    </row>
    <row r="44">
      <c r="A44" s="64" t="s">
        <v>71</v>
      </c>
      <c r="B44" s="77"/>
      <c r="C44" s="66"/>
      <c r="D44" s="33"/>
      <c r="E44" s="66"/>
      <c r="F44" s="65"/>
      <c r="G44" s="68"/>
      <c r="H44" s="68"/>
      <c r="I44" s="6" t="s">
        <v>71</v>
      </c>
      <c r="J44" s="10"/>
      <c r="K44" s="9"/>
      <c r="L44" s="10"/>
      <c r="M44" s="9"/>
      <c r="U44" s="74"/>
      <c r="V44" s="3"/>
      <c r="W44" s="3"/>
      <c r="X44" s="3"/>
      <c r="Y44" s="3"/>
      <c r="Z44" s="58"/>
      <c r="AA44" s="3"/>
      <c r="AB44" s="3"/>
      <c r="AC44" s="4"/>
      <c r="AD44" s="4"/>
      <c r="AE44" s="4"/>
      <c r="AF44" s="4"/>
      <c r="AG44" s="4"/>
      <c r="AH44" s="4"/>
      <c r="AI44" s="4"/>
    </row>
    <row r="45">
      <c r="A45" s="64" t="s">
        <v>80</v>
      </c>
      <c r="B45" s="77"/>
      <c r="C45" s="66"/>
      <c r="D45" s="65"/>
      <c r="E45" s="66"/>
      <c r="F45" s="65"/>
      <c r="G45" s="48"/>
      <c r="H45" s="48"/>
      <c r="I45" s="6" t="s">
        <v>80</v>
      </c>
      <c r="J45" s="10"/>
      <c r="K45" s="9"/>
      <c r="L45" s="22"/>
      <c r="M45" s="9"/>
      <c r="U45" s="74"/>
      <c r="V45" s="3"/>
      <c r="W45" s="3"/>
      <c r="X45" s="3"/>
      <c r="Y45" s="3"/>
      <c r="Z45" s="58"/>
      <c r="AA45" s="3"/>
      <c r="AB45" s="3"/>
      <c r="AC45" s="4"/>
      <c r="AD45" s="4"/>
      <c r="AE45" s="4"/>
      <c r="AF45" s="4"/>
      <c r="AG45" s="4"/>
      <c r="AH45" s="4"/>
      <c r="AI45" s="4"/>
    </row>
    <row r="46">
      <c r="U46" s="74"/>
      <c r="V46" s="3"/>
      <c r="W46" s="3"/>
      <c r="X46" s="3"/>
      <c r="Y46" s="3"/>
      <c r="Z46" s="58"/>
      <c r="AA46" s="3"/>
      <c r="AB46" s="3"/>
      <c r="AC46" s="4"/>
      <c r="AD46" s="4"/>
      <c r="AE46" s="4"/>
      <c r="AF46" s="4"/>
      <c r="AG46" s="4"/>
      <c r="AH46" s="4"/>
      <c r="AI46" s="4"/>
    </row>
    <row r="47">
      <c r="U47" s="74"/>
      <c r="V47" s="3"/>
      <c r="W47" s="3"/>
      <c r="X47" s="3"/>
      <c r="Y47" s="3"/>
      <c r="Z47" s="58"/>
      <c r="AA47" s="3"/>
      <c r="AB47" s="3"/>
      <c r="AC47" s="4"/>
      <c r="AD47" s="4"/>
      <c r="AE47" s="4"/>
      <c r="AF47" s="4"/>
      <c r="AG47" s="4"/>
      <c r="AH47" s="4"/>
      <c r="AI47" s="4"/>
    </row>
    <row r="48">
      <c r="U48" s="74"/>
      <c r="V48" s="3"/>
      <c r="W48" s="3"/>
      <c r="X48" s="3"/>
      <c r="Y48" s="3"/>
      <c r="Z48" s="58"/>
      <c r="AA48" s="3"/>
      <c r="AB48" s="3"/>
      <c r="AC48" s="4"/>
      <c r="AD48" s="4"/>
      <c r="AE48" s="4"/>
      <c r="AF48" s="4"/>
      <c r="AG48" s="4"/>
      <c r="AH48" s="4"/>
      <c r="AI48" s="4"/>
    </row>
    <row r="49">
      <c r="U49" s="74"/>
      <c r="V49" s="3"/>
      <c r="W49" s="3"/>
      <c r="X49" s="3"/>
      <c r="Y49" s="3"/>
      <c r="Z49" s="58"/>
      <c r="AA49" s="3"/>
      <c r="AB49" s="3"/>
      <c r="AC49" s="4"/>
      <c r="AD49" s="4"/>
      <c r="AE49" s="4"/>
      <c r="AF49" s="4"/>
      <c r="AG49" s="4"/>
      <c r="AH49" s="4"/>
      <c r="AI49" s="4"/>
    </row>
    <row r="50">
      <c r="P50" s="52"/>
      <c r="U50" s="74"/>
      <c r="V50" s="3"/>
      <c r="W50" s="3"/>
      <c r="X50" s="3"/>
      <c r="Y50" s="3"/>
      <c r="Z50" s="58"/>
      <c r="AA50" s="3"/>
      <c r="AB50" s="3"/>
      <c r="AC50" s="4"/>
      <c r="AD50" s="4"/>
      <c r="AE50" s="4"/>
      <c r="AF50" s="4"/>
      <c r="AG50" s="4"/>
      <c r="AH50" s="4"/>
      <c r="AI50" s="4"/>
    </row>
    <row r="51">
      <c r="P51" s="52"/>
      <c r="U51" s="74"/>
      <c r="V51" s="3"/>
      <c r="W51" s="3"/>
      <c r="X51" s="3"/>
      <c r="Y51" s="3"/>
      <c r="Z51" s="58"/>
      <c r="AA51" s="3"/>
      <c r="AB51" s="3"/>
      <c r="AC51" s="4"/>
      <c r="AD51" s="4"/>
      <c r="AE51" s="4"/>
      <c r="AF51" s="4"/>
      <c r="AG51" s="4"/>
      <c r="AH51" s="4"/>
      <c r="AI51" s="4"/>
    </row>
    <row r="52">
      <c r="U52" s="74"/>
      <c r="V52" s="3"/>
      <c r="W52" s="3"/>
      <c r="X52" s="3"/>
      <c r="Y52" s="3"/>
      <c r="Z52" s="58"/>
      <c r="AA52" s="3"/>
      <c r="AB52" s="3"/>
      <c r="AC52" s="4"/>
      <c r="AD52" s="4"/>
      <c r="AE52" s="4"/>
      <c r="AF52" s="4"/>
      <c r="AG52" s="4"/>
      <c r="AH52" s="4"/>
      <c r="AI52" s="4"/>
    </row>
    <row r="53">
      <c r="U53" s="74"/>
      <c r="V53" s="3"/>
      <c r="W53" s="3"/>
      <c r="X53" s="3"/>
      <c r="Y53" s="3"/>
      <c r="Z53" s="58"/>
      <c r="AA53" s="3"/>
      <c r="AB53" s="3"/>
      <c r="AC53" s="4"/>
      <c r="AD53" s="4"/>
      <c r="AE53" s="4"/>
      <c r="AF53" s="4"/>
      <c r="AG53" s="4"/>
      <c r="AH53" s="4"/>
      <c r="AI53" s="4"/>
    </row>
    <row r="54">
      <c r="U54" s="74"/>
      <c r="V54" s="3"/>
      <c r="W54" s="3"/>
      <c r="X54" s="3"/>
      <c r="Y54" s="3"/>
      <c r="Z54" s="58"/>
      <c r="AA54" s="3"/>
      <c r="AB54" s="3"/>
      <c r="AC54" s="4"/>
      <c r="AD54" s="4"/>
      <c r="AE54" s="4"/>
      <c r="AF54" s="4"/>
      <c r="AG54" s="4"/>
      <c r="AH54" s="4"/>
      <c r="AI54" s="4"/>
    </row>
    <row r="55">
      <c r="U55" s="74"/>
      <c r="V55" s="3"/>
      <c r="W55" s="3"/>
      <c r="X55" s="3"/>
      <c r="Y55" s="3"/>
      <c r="Z55" s="58"/>
      <c r="AA55" s="3"/>
      <c r="AB55" s="3"/>
      <c r="AC55" s="4"/>
      <c r="AD55" s="4"/>
      <c r="AE55" s="4"/>
      <c r="AF55" s="4"/>
      <c r="AG55" s="4"/>
      <c r="AH55" s="4"/>
      <c r="AI55" s="4"/>
    </row>
    <row r="56">
      <c r="U56" s="74"/>
      <c r="V56" s="3"/>
      <c r="W56" s="3"/>
      <c r="X56" s="3"/>
      <c r="Y56" s="3"/>
      <c r="Z56" s="58"/>
      <c r="AA56" s="3"/>
      <c r="AB56" s="3"/>
      <c r="AC56" s="4"/>
      <c r="AD56" s="4"/>
      <c r="AE56" s="4"/>
      <c r="AF56" s="4"/>
      <c r="AG56" s="4"/>
      <c r="AH56" s="4"/>
      <c r="AI56" s="4"/>
    </row>
    <row r="57">
      <c r="U57" s="74"/>
      <c r="V57" s="3"/>
      <c r="W57" s="3"/>
      <c r="X57" s="3"/>
      <c r="Y57" s="3"/>
      <c r="Z57" s="58"/>
      <c r="AA57" s="3"/>
      <c r="AB57" s="3"/>
      <c r="AC57" s="4"/>
      <c r="AD57" s="4"/>
      <c r="AE57" s="4"/>
      <c r="AF57" s="4"/>
      <c r="AG57" s="4"/>
      <c r="AH57" s="4"/>
      <c r="AI57" s="4"/>
    </row>
    <row r="58">
      <c r="U58" s="74"/>
      <c r="V58" s="3"/>
      <c r="W58" s="3"/>
      <c r="X58" s="3"/>
      <c r="Y58" s="3"/>
      <c r="Z58" s="58"/>
      <c r="AA58" s="3"/>
      <c r="AB58" s="3"/>
      <c r="AC58" s="4"/>
      <c r="AD58" s="4"/>
      <c r="AE58" s="4"/>
      <c r="AF58" s="4"/>
      <c r="AG58" s="4"/>
      <c r="AH58" s="4"/>
      <c r="AI58" s="4"/>
    </row>
    <row r="59">
      <c r="U59" s="74"/>
      <c r="V59" s="3"/>
      <c r="W59" s="3"/>
      <c r="X59" s="3"/>
      <c r="Y59" s="3"/>
      <c r="Z59" s="58"/>
      <c r="AA59" s="3"/>
      <c r="AB59" s="3"/>
      <c r="AC59" s="4"/>
      <c r="AD59" s="4"/>
      <c r="AE59" s="4"/>
      <c r="AF59" s="4"/>
      <c r="AG59" s="4"/>
      <c r="AH59" s="4"/>
      <c r="AI59" s="4"/>
    </row>
    <row r="60">
      <c r="U60" s="74"/>
      <c r="V60" s="3"/>
      <c r="W60" s="3"/>
      <c r="X60" s="3"/>
      <c r="Y60" s="3"/>
      <c r="Z60" s="58"/>
      <c r="AA60" s="3"/>
      <c r="AB60" s="3"/>
      <c r="AC60" s="4"/>
      <c r="AD60" s="4"/>
      <c r="AE60" s="4"/>
      <c r="AF60" s="4"/>
      <c r="AG60" s="4"/>
      <c r="AH60" s="4"/>
      <c r="AI60" s="4"/>
    </row>
    <row r="61">
      <c r="U61" s="74"/>
      <c r="V61" s="3"/>
      <c r="W61" s="3"/>
      <c r="X61" s="3"/>
      <c r="Y61" s="3"/>
      <c r="Z61" s="58"/>
      <c r="AA61" s="3"/>
      <c r="AB61" s="3"/>
      <c r="AC61" s="4"/>
      <c r="AD61" s="4"/>
      <c r="AE61" s="4"/>
      <c r="AF61" s="4"/>
      <c r="AG61" s="4"/>
      <c r="AH61" s="4"/>
      <c r="AI61" s="4"/>
    </row>
    <row r="62">
      <c r="U62" s="74"/>
      <c r="V62" s="3"/>
      <c r="W62" s="3"/>
      <c r="X62" s="3"/>
      <c r="Y62" s="3"/>
      <c r="Z62" s="58"/>
      <c r="AA62" s="3"/>
      <c r="AB62" s="3"/>
      <c r="AC62" s="4"/>
      <c r="AD62" s="4"/>
      <c r="AE62" s="4"/>
      <c r="AF62" s="4"/>
      <c r="AG62" s="4"/>
      <c r="AH62" s="4"/>
      <c r="AI62" s="4"/>
    </row>
    <row r="63">
      <c r="U63" s="74"/>
      <c r="V63" s="3"/>
      <c r="W63" s="3"/>
      <c r="X63" s="3"/>
      <c r="Y63" s="3"/>
      <c r="Z63" s="58"/>
      <c r="AA63" s="3"/>
      <c r="AB63" s="3"/>
      <c r="AC63" s="4"/>
      <c r="AD63" s="4"/>
      <c r="AE63" s="4"/>
      <c r="AF63" s="4"/>
      <c r="AG63" s="4"/>
      <c r="AH63" s="4"/>
      <c r="AI63" s="4"/>
    </row>
    <row r="64">
      <c r="U64" s="74"/>
      <c r="V64" s="3"/>
      <c r="W64" s="3"/>
      <c r="X64" s="3"/>
      <c r="Y64" s="3"/>
      <c r="Z64" s="58"/>
      <c r="AA64" s="3"/>
      <c r="AB64" s="3"/>
      <c r="AC64" s="4"/>
      <c r="AD64" s="4"/>
      <c r="AE64" s="4"/>
      <c r="AF64" s="4"/>
      <c r="AG64" s="4"/>
      <c r="AH64" s="4"/>
      <c r="AI64" s="4"/>
    </row>
    <row r="65">
      <c r="U65" s="74"/>
      <c r="V65" s="3"/>
      <c r="W65" s="3"/>
      <c r="X65" s="3"/>
      <c r="Y65" s="3"/>
      <c r="Z65" s="58"/>
      <c r="AA65" s="3"/>
      <c r="AB65" s="3"/>
      <c r="AC65" s="4"/>
      <c r="AD65" s="4"/>
      <c r="AE65" s="4"/>
      <c r="AF65" s="4"/>
      <c r="AG65" s="4"/>
      <c r="AH65" s="4"/>
      <c r="AI65" s="4"/>
    </row>
    <row r="66">
      <c r="Q66" s="52"/>
      <c r="R66" s="4"/>
      <c r="U66" s="74"/>
      <c r="V66" s="3"/>
      <c r="W66" s="3"/>
      <c r="X66" s="3"/>
      <c r="Y66" s="3"/>
      <c r="Z66" s="58"/>
      <c r="AA66" s="3"/>
      <c r="AB66" s="3"/>
      <c r="AC66" s="4"/>
      <c r="AD66" s="4"/>
      <c r="AE66" s="4"/>
      <c r="AF66" s="4"/>
      <c r="AG66" s="4"/>
      <c r="AH66" s="4"/>
      <c r="AI66" s="4"/>
    </row>
    <row r="67">
      <c r="Q67" s="52"/>
      <c r="R67" s="4"/>
      <c r="T67" s="4"/>
      <c r="U67" s="74"/>
      <c r="V67" s="3"/>
      <c r="W67" s="3"/>
      <c r="X67" s="3"/>
      <c r="Y67" s="3"/>
      <c r="Z67" s="58"/>
      <c r="AA67" s="3"/>
      <c r="AB67" s="3"/>
      <c r="AC67" s="4"/>
      <c r="AD67" s="4"/>
      <c r="AE67" s="4"/>
      <c r="AF67" s="4"/>
      <c r="AG67" s="4"/>
      <c r="AH67" s="4"/>
      <c r="AI67" s="4"/>
    </row>
    <row r="68">
      <c r="T68" s="4"/>
      <c r="U68" s="74"/>
      <c r="V68" s="3"/>
      <c r="W68" s="3"/>
      <c r="X68" s="3"/>
      <c r="Y68" s="3"/>
      <c r="Z68" s="58"/>
      <c r="AA68" s="3"/>
      <c r="AB68" s="3"/>
      <c r="AC68" s="4"/>
      <c r="AD68" s="4"/>
      <c r="AE68" s="4"/>
      <c r="AF68" s="4"/>
      <c r="AG68" s="4"/>
      <c r="AH68" s="4"/>
      <c r="AI68" s="4"/>
    </row>
    <row r="69">
      <c r="T69" s="4"/>
      <c r="U69" s="74"/>
      <c r="V69" s="3"/>
      <c r="W69" s="3"/>
      <c r="X69" s="3"/>
      <c r="Y69" s="3"/>
      <c r="Z69" s="58"/>
      <c r="AA69" s="3"/>
      <c r="AB69" s="3"/>
      <c r="AC69" s="4"/>
      <c r="AD69" s="4"/>
      <c r="AE69" s="4"/>
      <c r="AF69" s="4"/>
      <c r="AG69" s="4"/>
      <c r="AH69" s="4"/>
      <c r="AI69" s="4"/>
    </row>
    <row r="70">
      <c r="T70" s="4"/>
      <c r="U70" s="74"/>
      <c r="V70" s="3"/>
      <c r="W70" s="3"/>
      <c r="X70" s="3"/>
      <c r="Y70" s="3"/>
      <c r="Z70" s="58"/>
      <c r="AA70" s="3"/>
      <c r="AB70" s="3"/>
      <c r="AC70" s="4"/>
      <c r="AD70" s="4"/>
      <c r="AE70" s="4"/>
      <c r="AF70" s="4"/>
      <c r="AG70" s="4"/>
      <c r="AH70" s="4"/>
      <c r="AI70" s="4"/>
    </row>
    <row r="71">
      <c r="T71" s="4"/>
      <c r="U71" s="74"/>
      <c r="V71" s="3"/>
      <c r="W71" s="3"/>
      <c r="X71" s="3"/>
      <c r="Y71" s="3"/>
      <c r="Z71" s="58"/>
      <c r="AA71" s="3"/>
      <c r="AB71" s="3"/>
      <c r="AC71" s="4"/>
      <c r="AD71" s="4"/>
      <c r="AE71" s="4"/>
      <c r="AF71" s="4"/>
      <c r="AG71" s="4"/>
      <c r="AH71" s="4"/>
      <c r="AI71" s="4"/>
    </row>
    <row r="72">
      <c r="T72" s="4"/>
      <c r="U72" s="74"/>
      <c r="V72" s="3"/>
      <c r="W72" s="3"/>
      <c r="X72" s="3"/>
      <c r="Y72" s="3"/>
      <c r="Z72" s="58"/>
      <c r="AA72" s="3"/>
      <c r="AB72" s="3"/>
      <c r="AC72" s="4"/>
      <c r="AD72" s="4"/>
      <c r="AE72" s="4"/>
      <c r="AF72" s="4"/>
      <c r="AG72" s="4"/>
      <c r="AH72" s="4"/>
      <c r="AI72" s="4"/>
    </row>
    <row r="73">
      <c r="T73" s="4"/>
      <c r="U73" s="74"/>
      <c r="V73" s="3"/>
      <c r="W73" s="3"/>
      <c r="X73" s="3"/>
      <c r="Y73" s="3"/>
      <c r="Z73" s="58"/>
      <c r="AA73" s="3"/>
      <c r="AB73" s="3"/>
      <c r="AC73" s="4"/>
      <c r="AD73" s="4"/>
      <c r="AE73" s="4"/>
      <c r="AF73" s="4"/>
      <c r="AG73" s="4"/>
      <c r="AH73" s="4"/>
      <c r="AI73" s="4"/>
    </row>
    <row r="74">
      <c r="T74" s="4"/>
      <c r="U74" s="74"/>
      <c r="V74" s="3"/>
      <c r="W74" s="3"/>
      <c r="X74" s="3"/>
      <c r="Y74" s="3"/>
      <c r="Z74" s="58"/>
      <c r="AA74" s="3"/>
      <c r="AB74" s="3"/>
      <c r="AC74" s="4"/>
      <c r="AD74" s="4"/>
      <c r="AE74" s="4"/>
      <c r="AF74" s="4"/>
      <c r="AG74" s="4"/>
      <c r="AH74" s="4"/>
      <c r="AI74" s="4"/>
    </row>
    <row r="75">
      <c r="T75" s="4"/>
      <c r="U75" s="74"/>
      <c r="V75" s="3"/>
      <c r="W75" s="3"/>
      <c r="X75" s="3"/>
      <c r="Y75" s="3"/>
      <c r="Z75" s="58"/>
      <c r="AA75" s="3"/>
      <c r="AB75" s="3"/>
      <c r="AC75" s="4"/>
      <c r="AD75" s="4"/>
      <c r="AE75" s="4"/>
      <c r="AF75" s="4"/>
      <c r="AG75" s="4"/>
      <c r="AH75" s="4"/>
      <c r="AI75" s="4"/>
    </row>
    <row r="76">
      <c r="T76" s="4"/>
      <c r="U76" s="74"/>
      <c r="V76" s="3"/>
      <c r="W76" s="3"/>
      <c r="X76" s="3"/>
      <c r="Y76" s="3"/>
      <c r="Z76" s="58"/>
      <c r="AA76" s="3"/>
      <c r="AB76" s="3"/>
      <c r="AC76" s="4"/>
      <c r="AD76" s="4"/>
      <c r="AE76" s="4"/>
      <c r="AF76" s="4"/>
      <c r="AG76" s="4"/>
      <c r="AH76" s="4"/>
      <c r="AI76" s="4"/>
    </row>
    <row r="77">
      <c r="T77" s="4"/>
      <c r="U77" s="74"/>
      <c r="V77" s="3"/>
      <c r="W77" s="3"/>
      <c r="X77" s="3"/>
      <c r="Y77" s="3"/>
      <c r="Z77" s="58"/>
      <c r="AA77" s="3"/>
      <c r="AB77" s="3"/>
      <c r="AC77" s="4"/>
      <c r="AD77" s="4"/>
      <c r="AE77" s="4"/>
      <c r="AF77" s="4"/>
      <c r="AG77" s="4"/>
      <c r="AH77" s="4"/>
      <c r="AI77" s="4"/>
    </row>
    <row r="78">
      <c r="T78" s="4"/>
      <c r="U78" s="74"/>
      <c r="V78" s="3"/>
      <c r="W78" s="3"/>
      <c r="X78" s="3"/>
      <c r="Y78" s="3"/>
      <c r="Z78" s="58"/>
      <c r="AA78" s="3"/>
      <c r="AB78" s="3"/>
      <c r="AC78" s="4"/>
      <c r="AD78" s="4"/>
      <c r="AE78" s="4"/>
      <c r="AF78" s="4"/>
      <c r="AG78" s="4"/>
      <c r="AH78" s="4"/>
      <c r="AI78" s="4"/>
    </row>
    <row r="79">
      <c r="S79" s="4"/>
      <c r="T79" s="4"/>
      <c r="U79" s="74"/>
      <c r="V79" s="3"/>
      <c r="W79" s="3"/>
      <c r="X79" s="3"/>
      <c r="Y79" s="3"/>
      <c r="Z79" s="58"/>
      <c r="AA79" s="3"/>
      <c r="AB79" s="3"/>
      <c r="AC79" s="4"/>
      <c r="AD79" s="4"/>
      <c r="AE79" s="4"/>
      <c r="AF79" s="4"/>
      <c r="AG79" s="4"/>
      <c r="AH79" s="4"/>
      <c r="AI79" s="4"/>
    </row>
    <row r="80">
      <c r="S80" s="4"/>
      <c r="T80" s="4"/>
      <c r="U80" s="74"/>
      <c r="V80" s="3"/>
      <c r="W80" s="3"/>
      <c r="X80" s="3"/>
      <c r="Y80" s="3"/>
      <c r="Z80" s="58"/>
      <c r="AA80" s="3"/>
      <c r="AB80" s="3"/>
      <c r="AC80" s="4"/>
      <c r="AD80" s="4"/>
      <c r="AE80" s="4"/>
      <c r="AF80" s="4"/>
      <c r="AG80" s="4"/>
      <c r="AH80" s="4"/>
      <c r="AI80" s="4"/>
    </row>
    <row r="81">
      <c r="R81" s="4"/>
      <c r="S81" s="4"/>
      <c r="T81" s="4"/>
      <c r="U81" s="74"/>
      <c r="V81" s="3"/>
      <c r="W81" s="3"/>
      <c r="X81" s="3"/>
      <c r="Y81" s="3"/>
      <c r="Z81" s="58"/>
      <c r="AA81" s="3"/>
      <c r="AB81" s="3"/>
      <c r="AC81" s="4"/>
      <c r="AD81" s="4"/>
      <c r="AE81" s="4"/>
      <c r="AF81" s="4"/>
      <c r="AG81" s="4"/>
      <c r="AH81" s="4"/>
      <c r="AI81" s="4"/>
    </row>
    <row r="82">
      <c r="S82" s="4"/>
      <c r="T82" s="4"/>
      <c r="U82" s="74"/>
      <c r="V82" s="3"/>
      <c r="W82" s="3"/>
      <c r="X82" s="3"/>
      <c r="Y82" s="3"/>
      <c r="Z82" s="58"/>
      <c r="AA82" s="3"/>
      <c r="AB82" s="3"/>
      <c r="AC82" s="4"/>
      <c r="AD82" s="4"/>
      <c r="AE82" s="4"/>
      <c r="AF82" s="4"/>
      <c r="AG82" s="4"/>
      <c r="AH82" s="4"/>
      <c r="AI82" s="4"/>
    </row>
    <row r="83">
      <c r="T83" s="4"/>
      <c r="U83" s="74"/>
      <c r="V83" s="3"/>
      <c r="W83" s="3"/>
      <c r="X83" s="3"/>
      <c r="Y83" s="3"/>
      <c r="Z83" s="58"/>
      <c r="AA83" s="3"/>
      <c r="AB83" s="3"/>
      <c r="AC83" s="4"/>
      <c r="AD83" s="4"/>
      <c r="AE83" s="4"/>
      <c r="AF83" s="4"/>
      <c r="AG83" s="4"/>
      <c r="AH83" s="4"/>
      <c r="AI83" s="4"/>
    </row>
    <row r="84">
      <c r="A84" s="47"/>
      <c r="H84" s="52"/>
      <c r="I84" s="4"/>
      <c r="Z84" s="58"/>
      <c r="AA84" s="3"/>
      <c r="AB84" s="3"/>
      <c r="AC84" s="4"/>
      <c r="AD84" s="4"/>
      <c r="AE84" s="4"/>
      <c r="AF84" s="4"/>
      <c r="AG84" s="4"/>
      <c r="AH84" s="4"/>
      <c r="AI84" s="4"/>
    </row>
    <row r="85">
      <c r="A85" s="47"/>
      <c r="H85" s="52"/>
      <c r="I85" s="4"/>
      <c r="Z85" s="58"/>
      <c r="AA85" s="3"/>
      <c r="AB85" s="3"/>
      <c r="AC85" s="4"/>
      <c r="AD85" s="4"/>
      <c r="AE85" s="4"/>
      <c r="AF85" s="4"/>
      <c r="AG85" s="4"/>
      <c r="AH85" s="4"/>
      <c r="AI85" s="4"/>
    </row>
    <row r="86">
      <c r="A86" s="47"/>
      <c r="H86" s="52"/>
      <c r="I86" s="4"/>
      <c r="Z86" s="58"/>
      <c r="AA86" s="3"/>
      <c r="AB86" s="3"/>
      <c r="AC86" s="4"/>
      <c r="AD86" s="4"/>
      <c r="AE86" s="4"/>
      <c r="AF86" s="4"/>
      <c r="AG86" s="4"/>
      <c r="AH86" s="4"/>
      <c r="AI86" s="4"/>
    </row>
    <row r="87">
      <c r="H87" s="52"/>
      <c r="I87" s="1"/>
      <c r="Z87" s="58"/>
      <c r="AA87" s="3"/>
      <c r="AB87" s="3"/>
      <c r="AC87" s="4"/>
      <c r="AD87" s="4"/>
      <c r="AE87" s="4"/>
      <c r="AF87" s="4"/>
      <c r="AG87" s="4"/>
      <c r="AH87" s="4"/>
      <c r="AI87" s="4"/>
    </row>
    <row r="88">
      <c r="H88" s="52"/>
      <c r="I88" s="68"/>
      <c r="Z88" s="58"/>
      <c r="AA88" s="3"/>
      <c r="AB88" s="3"/>
      <c r="AC88" s="4"/>
      <c r="AD88" s="4"/>
      <c r="AE88" s="4"/>
      <c r="AF88" s="4"/>
      <c r="AG88" s="4"/>
      <c r="AH88" s="4"/>
      <c r="AI88" s="4"/>
    </row>
    <row r="89">
      <c r="H89" s="52"/>
      <c r="I89" s="68"/>
      <c r="Z89" s="58"/>
      <c r="AA89" s="3"/>
      <c r="AB89" s="3"/>
      <c r="AC89" s="4"/>
      <c r="AD89" s="4"/>
      <c r="AE89" s="4"/>
      <c r="AF89" s="4"/>
      <c r="AG89" s="4"/>
      <c r="AH89" s="4"/>
      <c r="AI89" s="4"/>
    </row>
    <row r="90">
      <c r="H90" s="52"/>
      <c r="I90" s="68"/>
      <c r="Z90" s="58"/>
      <c r="AA90" s="3"/>
      <c r="AB90" s="3"/>
      <c r="AC90" s="4"/>
      <c r="AD90" s="4"/>
      <c r="AE90" s="4"/>
      <c r="AF90" s="4"/>
      <c r="AG90" s="4"/>
      <c r="AH90" s="4"/>
      <c r="AI90" s="4"/>
    </row>
    <row r="91">
      <c r="H91" s="52"/>
      <c r="I91" s="68"/>
      <c r="Z91" s="58"/>
      <c r="AA91" s="3"/>
      <c r="AB91" s="3"/>
      <c r="AC91" s="4"/>
      <c r="AD91" s="4"/>
      <c r="AE91" s="4"/>
      <c r="AF91" s="4"/>
      <c r="AG91" s="4"/>
      <c r="AH91" s="4"/>
      <c r="AI91" s="4"/>
    </row>
    <row r="92">
      <c r="H92" s="52"/>
      <c r="I92" s="68"/>
      <c r="Z92" s="58"/>
      <c r="AA92" s="3"/>
      <c r="AB92" s="3"/>
      <c r="AC92" s="4"/>
      <c r="AD92" s="4"/>
      <c r="AE92" s="4"/>
      <c r="AF92" s="4"/>
      <c r="AG92" s="4"/>
      <c r="AH92" s="4"/>
      <c r="AI92" s="4"/>
    </row>
    <row r="93">
      <c r="H93" s="52"/>
      <c r="I93" s="68"/>
      <c r="Z93" s="58"/>
      <c r="AA93" s="3"/>
      <c r="AB93" s="3"/>
      <c r="AC93" s="4"/>
      <c r="AD93" s="4"/>
      <c r="AE93" s="4"/>
      <c r="AF93" s="4"/>
      <c r="AG93" s="4"/>
      <c r="AH93" s="4"/>
      <c r="AI93" s="4"/>
    </row>
    <row r="94">
      <c r="H94" s="52"/>
      <c r="I94" s="68"/>
      <c r="Z94" s="58"/>
      <c r="AA94" s="3"/>
      <c r="AB94" s="3"/>
      <c r="AC94" s="4"/>
      <c r="AD94" s="4"/>
      <c r="AE94" s="4"/>
      <c r="AF94" s="4"/>
      <c r="AG94" s="4"/>
      <c r="AH94" s="4"/>
      <c r="AI94" s="4"/>
    </row>
    <row r="95">
      <c r="H95" s="52"/>
      <c r="I95" s="68"/>
      <c r="Z95" s="58"/>
      <c r="AA95" s="3"/>
      <c r="AB95" s="3"/>
      <c r="AC95" s="4"/>
      <c r="AD95" s="4"/>
      <c r="AE95" s="4"/>
      <c r="AF95" s="4"/>
      <c r="AG95" s="4"/>
      <c r="AH95" s="4"/>
      <c r="AI95" s="4"/>
    </row>
    <row r="96">
      <c r="H96" s="52"/>
      <c r="I96" s="68"/>
      <c r="Z96" s="81"/>
      <c r="AA96" s="82"/>
      <c r="AB96" s="82"/>
      <c r="AC96" s="83"/>
      <c r="AD96" s="83"/>
      <c r="AE96" s="83"/>
      <c r="AF96" s="83"/>
      <c r="AG96" s="4"/>
      <c r="AH96" s="4"/>
      <c r="AI96" s="4"/>
    </row>
    <row r="97">
      <c r="H97" s="52"/>
      <c r="I97" s="68"/>
      <c r="Z97" s="84"/>
      <c r="AG97" s="4"/>
      <c r="AH97" s="4"/>
      <c r="AI97" s="4"/>
    </row>
    <row r="98">
      <c r="H98" s="52"/>
      <c r="I98" s="68"/>
      <c r="Z98" s="85"/>
      <c r="AA98" s="86"/>
      <c r="AB98" s="86"/>
      <c r="AC98" s="86"/>
      <c r="AD98" s="86"/>
      <c r="AE98" s="87"/>
      <c r="AF98" s="88"/>
      <c r="AG98" s="4"/>
      <c r="AH98" s="4"/>
      <c r="AI98" s="4"/>
    </row>
    <row r="99">
      <c r="H99" s="52"/>
      <c r="I99" s="48"/>
      <c r="Z99" s="89"/>
      <c r="AA99" s="88"/>
      <c r="AB99" s="90"/>
      <c r="AC99" s="85"/>
      <c r="AD99" s="91"/>
      <c r="AE99" s="85"/>
      <c r="AF99" s="92"/>
      <c r="AG99" s="4"/>
      <c r="AH99" s="4"/>
      <c r="AI99" s="4"/>
    </row>
    <row r="100">
      <c r="H100" s="52"/>
      <c r="I100" s="48"/>
      <c r="Z100" s="93"/>
      <c r="AA100" s="88"/>
      <c r="AB100" s="91"/>
      <c r="AC100" s="85"/>
      <c r="AD100" s="85"/>
      <c r="AE100" s="85"/>
      <c r="AF100" s="92"/>
      <c r="AG100" s="4"/>
      <c r="AH100" s="4"/>
      <c r="AI100" s="4"/>
    </row>
    <row r="101">
      <c r="A101" s="47"/>
      <c r="Z101" s="93"/>
      <c r="AA101" s="88"/>
      <c r="AB101" s="90"/>
      <c r="AC101" s="85"/>
      <c r="AD101" s="91"/>
      <c r="AE101" s="85"/>
      <c r="AF101" s="92"/>
      <c r="AG101" s="4"/>
      <c r="AH101" s="4"/>
      <c r="AI101" s="4"/>
    </row>
    <row r="102">
      <c r="A102" s="47"/>
      <c r="Z102" s="93"/>
      <c r="AA102" s="88"/>
      <c r="AB102" s="91"/>
      <c r="AC102" s="85"/>
      <c r="AD102" s="90"/>
      <c r="AE102" s="87"/>
      <c r="AF102" s="82"/>
      <c r="AG102" s="4"/>
      <c r="AH102" s="4"/>
      <c r="AI102" s="4"/>
    </row>
    <row r="103">
      <c r="A103" s="47"/>
      <c r="S103" s="57"/>
      <c r="T103" s="3"/>
      <c r="U103" s="3"/>
      <c r="V103" s="3"/>
      <c r="W103" s="3"/>
      <c r="X103" s="58"/>
      <c r="Y103" s="3"/>
      <c r="Z103" s="94"/>
      <c r="AA103" s="88"/>
      <c r="AB103" s="90"/>
      <c r="AC103" s="90"/>
      <c r="AD103" s="88"/>
      <c r="AE103" s="87"/>
      <c r="AF103" s="82"/>
      <c r="AG103" s="4"/>
      <c r="AH103" s="4"/>
      <c r="AI103" s="4"/>
    </row>
    <row r="104">
      <c r="A104" s="47"/>
      <c r="S104" s="4"/>
      <c r="T104" s="4"/>
      <c r="U104" s="74"/>
      <c r="V104" s="3"/>
      <c r="W104" s="3"/>
      <c r="X104" s="3"/>
      <c r="Y104" s="3"/>
      <c r="Z104" s="94"/>
      <c r="AA104" s="88"/>
      <c r="AB104" s="90"/>
      <c r="AC104" s="90"/>
      <c r="AD104" s="88"/>
      <c r="AE104" s="87"/>
      <c r="AF104" s="82"/>
      <c r="AG104" s="4"/>
      <c r="AH104" s="4"/>
      <c r="AI104" s="4"/>
    </row>
    <row r="105">
      <c r="A105" s="47"/>
      <c r="S105" s="4"/>
      <c r="T105" s="4"/>
      <c r="U105" s="74"/>
      <c r="V105" s="3"/>
      <c r="W105" s="3"/>
      <c r="X105" s="3"/>
      <c r="Y105" s="3"/>
      <c r="Z105" s="93"/>
      <c r="AA105" s="90"/>
      <c r="AB105" s="88"/>
      <c r="AC105" s="90"/>
      <c r="AD105" s="88"/>
      <c r="AE105" s="87"/>
      <c r="AF105" s="82"/>
      <c r="AG105" s="4"/>
      <c r="AH105" s="4"/>
      <c r="AI105" s="4"/>
    </row>
    <row r="106">
      <c r="A106" s="47"/>
      <c r="S106" s="4"/>
      <c r="T106" s="4"/>
      <c r="U106" s="74"/>
      <c r="V106" s="3"/>
      <c r="W106" s="3"/>
      <c r="X106" s="3"/>
      <c r="Y106" s="3"/>
      <c r="Z106" s="93"/>
      <c r="AA106" s="95"/>
      <c r="AB106" s="95"/>
      <c r="AC106" s="90"/>
      <c r="AD106" s="88"/>
      <c r="AE106" s="87"/>
      <c r="AF106" s="82"/>
      <c r="AG106" s="4"/>
      <c r="AH106" s="4"/>
      <c r="AI106" s="4"/>
    </row>
    <row r="107">
      <c r="A107" s="47"/>
      <c r="Y107" s="3"/>
      <c r="Z107" s="93"/>
      <c r="AA107" s="95"/>
      <c r="AB107" s="95"/>
      <c r="AC107" s="90"/>
      <c r="AD107" s="88"/>
      <c r="AE107" s="87"/>
      <c r="AF107" s="82"/>
      <c r="AG107" s="4"/>
      <c r="AH107" s="4"/>
      <c r="AI107" s="4"/>
    </row>
    <row r="108">
      <c r="A108" s="47"/>
      <c r="Y108" s="3"/>
      <c r="Z108" s="93"/>
      <c r="AA108" s="91"/>
      <c r="AB108" s="91"/>
      <c r="AC108" s="90"/>
      <c r="AD108" s="88"/>
      <c r="AE108" s="92"/>
      <c r="AF108" s="82"/>
      <c r="AG108" s="4"/>
      <c r="AH108" s="4"/>
      <c r="AI108" s="4"/>
    </row>
    <row r="109">
      <c r="A109" s="47"/>
      <c r="Y109" s="3"/>
      <c r="Z109" s="93"/>
      <c r="AA109" s="91"/>
      <c r="AB109" s="88"/>
      <c r="AC109" s="91"/>
      <c r="AD109" s="88"/>
      <c r="AE109" s="87"/>
      <c r="AF109" s="82"/>
      <c r="AG109" s="4"/>
      <c r="AH109" s="4"/>
      <c r="AI109" s="4"/>
    </row>
    <row r="110">
      <c r="A110" s="47"/>
      <c r="Y110" s="3"/>
      <c r="Z110" s="93"/>
      <c r="AA110" s="96"/>
      <c r="AB110" s="88"/>
      <c r="AC110" s="90"/>
      <c r="AD110" s="88"/>
      <c r="AE110" s="92"/>
      <c r="AF110" s="82"/>
      <c r="AG110" s="4"/>
      <c r="AH110" s="4"/>
      <c r="AI110" s="4"/>
    </row>
    <row r="111">
      <c r="A111" s="57"/>
      <c r="B111" s="4"/>
      <c r="C111" s="4"/>
      <c r="D111" s="4"/>
      <c r="E111" s="97"/>
      <c r="F111" s="4"/>
      <c r="G111" s="4"/>
      <c r="H111" s="52"/>
      <c r="I111" s="4"/>
      <c r="J111" s="52"/>
      <c r="K111" s="52"/>
      <c r="L111" s="52"/>
      <c r="M111" s="52"/>
      <c r="N111" s="52"/>
      <c r="O111" s="52"/>
      <c r="P111" s="52"/>
      <c r="Q111" s="52"/>
      <c r="R111" s="4"/>
      <c r="Y111" s="3"/>
      <c r="Z111" s="93"/>
      <c r="AA111" s="90"/>
      <c r="AB111" s="88"/>
      <c r="AC111" s="88"/>
      <c r="AD111" s="88"/>
      <c r="AE111" s="92"/>
      <c r="AF111" s="82"/>
      <c r="AG111" s="4"/>
      <c r="AH111" s="4"/>
      <c r="AI111" s="4"/>
    </row>
    <row r="112">
      <c r="A112" s="57"/>
      <c r="B112" s="4"/>
      <c r="C112" s="4"/>
      <c r="D112" s="4"/>
      <c r="E112" s="97"/>
      <c r="F112" s="4"/>
      <c r="G112" s="4"/>
      <c r="H112" s="52"/>
      <c r="I112" s="4"/>
      <c r="J112" s="52"/>
      <c r="K112" s="52"/>
      <c r="L112" s="52"/>
      <c r="M112" s="52"/>
      <c r="N112" s="52"/>
      <c r="O112" s="52"/>
      <c r="P112" s="52"/>
      <c r="Q112" s="52"/>
      <c r="R112" s="4"/>
      <c r="Y112" s="3"/>
      <c r="Z112" s="81"/>
      <c r="AA112" s="82"/>
      <c r="AB112" s="82"/>
      <c r="AC112" s="83"/>
      <c r="AD112" s="83"/>
      <c r="AE112" s="83"/>
      <c r="AF112" s="83"/>
      <c r="AG112" s="4"/>
      <c r="AH112" s="4"/>
      <c r="AI112" s="4"/>
    </row>
    <row r="113">
      <c r="A113" s="57"/>
      <c r="B113" s="4"/>
      <c r="C113" s="4"/>
      <c r="D113" s="4"/>
      <c r="E113" s="97"/>
      <c r="F113" s="4"/>
      <c r="G113" s="4"/>
      <c r="H113" s="52"/>
      <c r="I113" s="4"/>
      <c r="J113" s="52"/>
      <c r="K113" s="52"/>
      <c r="L113" s="52"/>
      <c r="M113" s="52"/>
      <c r="N113" s="52"/>
      <c r="O113" s="52"/>
      <c r="P113" s="52"/>
      <c r="Q113" s="52"/>
      <c r="R113" s="4"/>
      <c r="Y113" s="3"/>
      <c r="Z113" s="58"/>
      <c r="AA113" s="3"/>
      <c r="AB113" s="3"/>
      <c r="AC113" s="4"/>
      <c r="AD113" s="4"/>
      <c r="AE113" s="4"/>
      <c r="AF113" s="4"/>
      <c r="AG113" s="4"/>
      <c r="AH113" s="4"/>
      <c r="AI113" s="4"/>
    </row>
    <row r="114">
      <c r="A114" s="57"/>
      <c r="B114" s="4"/>
      <c r="C114" s="4"/>
      <c r="D114" s="4"/>
      <c r="E114" s="97"/>
      <c r="F114" s="4"/>
      <c r="G114" s="4"/>
      <c r="H114" s="52"/>
      <c r="I114" s="4"/>
      <c r="J114" s="52"/>
      <c r="K114" s="52"/>
      <c r="L114" s="52"/>
      <c r="M114" s="52"/>
      <c r="N114" s="52"/>
      <c r="O114" s="52"/>
      <c r="P114" s="52"/>
      <c r="Q114" s="52"/>
      <c r="R114" s="4"/>
      <c r="Y114" s="3"/>
      <c r="Z114" s="58"/>
      <c r="AA114" s="3"/>
      <c r="AB114" s="3"/>
      <c r="AC114" s="4"/>
      <c r="AD114" s="4"/>
      <c r="AE114" s="4"/>
      <c r="AF114" s="4"/>
      <c r="AG114" s="4"/>
      <c r="AH114" s="4"/>
      <c r="AI114" s="4"/>
    </row>
    <row r="115">
      <c r="A115" s="57"/>
      <c r="B115" s="4"/>
      <c r="C115" s="4"/>
      <c r="D115" s="4"/>
      <c r="E115" s="97"/>
      <c r="F115" s="4"/>
      <c r="G115" s="4"/>
      <c r="H115" s="52"/>
      <c r="I115" s="4"/>
      <c r="J115" s="52"/>
      <c r="K115" s="52"/>
      <c r="L115" s="52"/>
      <c r="M115" s="52"/>
      <c r="N115" s="52"/>
      <c r="O115" s="52"/>
      <c r="P115" s="52"/>
      <c r="Q115" s="52"/>
      <c r="R115" s="4"/>
      <c r="Y115" s="3"/>
      <c r="Z115" s="58"/>
      <c r="AA115" s="3"/>
      <c r="AB115" s="3"/>
      <c r="AC115" s="4"/>
      <c r="AD115" s="4"/>
      <c r="AE115" s="4"/>
      <c r="AF115" s="4"/>
      <c r="AG115" s="4"/>
      <c r="AH115" s="4"/>
      <c r="AI115" s="4"/>
    </row>
    <row r="116">
      <c r="A116" s="57"/>
      <c r="B116" s="4"/>
      <c r="C116" s="4"/>
      <c r="D116" s="4"/>
      <c r="E116" s="97"/>
      <c r="F116" s="4"/>
      <c r="G116" s="4"/>
      <c r="H116" s="52"/>
      <c r="I116" s="4"/>
      <c r="J116" s="52"/>
      <c r="K116" s="52"/>
      <c r="L116" s="52"/>
      <c r="M116" s="52"/>
      <c r="N116" s="52"/>
      <c r="O116" s="52"/>
      <c r="P116" s="52"/>
      <c r="Q116" s="52"/>
      <c r="R116" s="4"/>
      <c r="Y116" s="3"/>
      <c r="Z116" s="58"/>
      <c r="AA116" s="3"/>
      <c r="AB116" s="3"/>
      <c r="AC116" s="4"/>
      <c r="AD116" s="4"/>
      <c r="AE116" s="4"/>
      <c r="AF116" s="4"/>
      <c r="AG116" s="4"/>
      <c r="AH116" s="4"/>
      <c r="AI116" s="4"/>
    </row>
    <row r="117">
      <c r="A117" s="57"/>
      <c r="B117" s="4"/>
      <c r="C117" s="4"/>
      <c r="D117" s="4"/>
      <c r="E117" s="97"/>
      <c r="F117" s="4"/>
      <c r="G117" s="4"/>
      <c r="H117" s="52"/>
      <c r="I117" s="4"/>
      <c r="J117" s="52"/>
      <c r="K117" s="52"/>
      <c r="L117" s="52"/>
      <c r="M117" s="52"/>
      <c r="N117" s="52"/>
      <c r="O117" s="52"/>
      <c r="P117" s="52"/>
      <c r="Q117" s="52"/>
      <c r="R117" s="4"/>
      <c r="Y117" s="3"/>
      <c r="Z117" s="58"/>
      <c r="AA117" s="3"/>
      <c r="AB117" s="3"/>
      <c r="AC117" s="4"/>
      <c r="AD117" s="4"/>
      <c r="AE117" s="4"/>
      <c r="AF117" s="4"/>
      <c r="AG117" s="4"/>
      <c r="AH117" s="4"/>
      <c r="AI117" s="4"/>
    </row>
    <row r="118">
      <c r="A118" s="57"/>
      <c r="B118" s="4"/>
      <c r="C118" s="4"/>
      <c r="D118" s="4"/>
      <c r="E118" s="97"/>
      <c r="F118" s="4"/>
      <c r="G118" s="4"/>
      <c r="H118" s="52"/>
      <c r="I118" s="4"/>
      <c r="J118" s="52"/>
      <c r="K118" s="52"/>
      <c r="L118" s="52"/>
      <c r="M118" s="52"/>
      <c r="N118" s="52"/>
      <c r="O118" s="52"/>
      <c r="P118" s="52"/>
      <c r="Q118" s="52"/>
      <c r="R118" s="4"/>
      <c r="Y118" s="3"/>
      <c r="Z118" s="58"/>
      <c r="AA118" s="3"/>
      <c r="AB118" s="3"/>
      <c r="AC118" s="4"/>
      <c r="AD118" s="4"/>
      <c r="AE118" s="4"/>
      <c r="AF118" s="4"/>
      <c r="AG118" s="4"/>
      <c r="AH118" s="4"/>
      <c r="AI118" s="4"/>
    </row>
    <row r="119">
      <c r="A119" s="57"/>
      <c r="B119" s="4"/>
      <c r="C119" s="4"/>
      <c r="D119" s="4"/>
      <c r="E119" s="97"/>
      <c r="F119" s="4"/>
      <c r="G119" s="4"/>
      <c r="H119" s="52"/>
      <c r="I119" s="4"/>
      <c r="J119" s="52"/>
      <c r="K119" s="52"/>
      <c r="L119" s="52"/>
      <c r="M119" s="52"/>
      <c r="N119" s="52"/>
      <c r="O119" s="52"/>
      <c r="P119" s="52"/>
      <c r="Q119" s="52"/>
      <c r="R119" s="4"/>
      <c r="Y119" s="3"/>
      <c r="Z119" s="58"/>
      <c r="AA119" s="3"/>
      <c r="AB119" s="3"/>
      <c r="AC119" s="4"/>
      <c r="AD119" s="4"/>
      <c r="AE119" s="4"/>
      <c r="AF119" s="4"/>
      <c r="AG119" s="4"/>
      <c r="AH119" s="4"/>
      <c r="AI119" s="4"/>
    </row>
    <row r="120">
      <c r="A120" s="57"/>
      <c r="B120" s="4"/>
      <c r="C120" s="4"/>
      <c r="D120" s="4"/>
      <c r="E120" s="97"/>
      <c r="F120" s="4"/>
      <c r="G120" s="4"/>
      <c r="H120" s="52"/>
      <c r="I120" s="4"/>
      <c r="J120" s="52"/>
      <c r="K120" s="52"/>
      <c r="L120" s="52"/>
      <c r="M120" s="52"/>
      <c r="N120" s="52"/>
      <c r="O120" s="52"/>
      <c r="P120" s="52"/>
      <c r="Q120" s="52"/>
      <c r="R120" s="4"/>
      <c r="Y120" s="3"/>
      <c r="Z120" s="58"/>
      <c r="AA120" s="3"/>
      <c r="AB120" s="3"/>
      <c r="AC120" s="4"/>
      <c r="AD120" s="4"/>
      <c r="AE120" s="4"/>
      <c r="AF120" s="4"/>
      <c r="AG120" s="4"/>
      <c r="AH120" s="4"/>
      <c r="AI120" s="4"/>
    </row>
    <row r="121">
      <c r="A121" s="57"/>
      <c r="B121" s="4"/>
      <c r="C121" s="4"/>
      <c r="D121" s="4"/>
      <c r="E121" s="97"/>
      <c r="F121" s="4"/>
      <c r="G121" s="4"/>
      <c r="H121" s="52"/>
      <c r="I121" s="4"/>
      <c r="J121" s="52"/>
      <c r="K121" s="52"/>
      <c r="L121" s="52"/>
      <c r="M121" s="52"/>
      <c r="N121" s="52"/>
      <c r="O121" s="52"/>
      <c r="P121" s="52"/>
      <c r="Q121" s="52"/>
      <c r="R121" s="4"/>
      <c r="Y121" s="3"/>
      <c r="Z121" s="58"/>
      <c r="AA121" s="3"/>
      <c r="AB121" s="3"/>
      <c r="AC121" s="4"/>
      <c r="AD121" s="4"/>
      <c r="AE121" s="4"/>
      <c r="AF121" s="4"/>
      <c r="AG121" s="4"/>
      <c r="AH121" s="4"/>
      <c r="AI121" s="4"/>
    </row>
    <row r="122">
      <c r="A122" s="57"/>
      <c r="B122" s="4"/>
      <c r="C122" s="4"/>
      <c r="D122" s="4"/>
      <c r="E122" s="97"/>
      <c r="F122" s="4"/>
      <c r="G122" s="4"/>
      <c r="H122" s="52"/>
      <c r="I122" s="4"/>
      <c r="J122" s="52"/>
      <c r="K122" s="52"/>
      <c r="L122" s="52"/>
      <c r="M122" s="52"/>
      <c r="N122" s="52"/>
      <c r="O122" s="52"/>
      <c r="P122" s="52"/>
      <c r="Q122" s="52"/>
      <c r="R122" s="4"/>
      <c r="Y122" s="3"/>
      <c r="Z122" s="58"/>
      <c r="AA122" s="3"/>
      <c r="AB122" s="3"/>
      <c r="AC122" s="4"/>
      <c r="AD122" s="4"/>
      <c r="AE122" s="4"/>
      <c r="AF122" s="4"/>
      <c r="AG122" s="4"/>
      <c r="AH122" s="4"/>
      <c r="AI122" s="4"/>
    </row>
    <row r="123">
      <c r="A123" s="57"/>
      <c r="B123" s="4"/>
      <c r="C123" s="4"/>
      <c r="D123" s="4"/>
      <c r="E123" s="97"/>
      <c r="F123" s="4"/>
      <c r="G123" s="4"/>
      <c r="H123" s="52"/>
      <c r="I123" s="4"/>
      <c r="J123" s="52"/>
      <c r="K123" s="52"/>
      <c r="L123" s="52"/>
      <c r="M123" s="52"/>
      <c r="N123" s="52"/>
      <c r="O123" s="52"/>
      <c r="P123" s="52"/>
      <c r="Q123" s="52"/>
      <c r="R123" s="4"/>
      <c r="Y123" s="3"/>
      <c r="Z123" s="58"/>
      <c r="AA123" s="3"/>
      <c r="AB123" s="3"/>
      <c r="AC123" s="4"/>
      <c r="AD123" s="4"/>
      <c r="AE123" s="4"/>
      <c r="AF123" s="4"/>
      <c r="AG123" s="4"/>
      <c r="AH123" s="4"/>
      <c r="AI123" s="4"/>
    </row>
    <row r="124">
      <c r="A124" s="57"/>
      <c r="B124" s="4"/>
      <c r="C124" s="4"/>
      <c r="D124" s="4"/>
      <c r="E124" s="4"/>
      <c r="F124" s="4"/>
      <c r="G124" s="4"/>
      <c r="H124" s="52"/>
      <c r="I124" s="4"/>
      <c r="J124" s="52"/>
      <c r="K124" s="52"/>
      <c r="L124" s="52"/>
      <c r="M124" s="52"/>
      <c r="N124" s="52"/>
      <c r="O124" s="52"/>
      <c r="P124" s="52"/>
      <c r="Q124" s="52"/>
      <c r="R124" s="4"/>
      <c r="Y124" s="3"/>
      <c r="Z124" s="58"/>
      <c r="AA124" s="3"/>
      <c r="AB124" s="3"/>
      <c r="AC124" s="4"/>
      <c r="AD124" s="4"/>
      <c r="AE124" s="4"/>
      <c r="AF124" s="4"/>
      <c r="AG124" s="4"/>
      <c r="AH124" s="4"/>
      <c r="AI124" s="4"/>
    </row>
    <row r="125">
      <c r="A125" s="57"/>
      <c r="B125" s="4"/>
      <c r="C125" s="4"/>
      <c r="D125" s="4"/>
      <c r="E125" s="4"/>
      <c r="F125" s="4"/>
      <c r="G125" s="4"/>
      <c r="H125" s="52"/>
      <c r="I125" s="4"/>
      <c r="J125" s="52"/>
      <c r="K125" s="52"/>
      <c r="L125" s="52"/>
      <c r="M125" s="52"/>
      <c r="N125" s="52"/>
      <c r="O125" s="52"/>
      <c r="P125" s="52"/>
      <c r="Q125" s="52"/>
      <c r="R125" s="4"/>
      <c r="Y125" s="3"/>
      <c r="Z125" s="58"/>
      <c r="AA125" s="3"/>
      <c r="AB125" s="3"/>
      <c r="AC125" s="4"/>
      <c r="AD125" s="4"/>
      <c r="AE125" s="4"/>
      <c r="AF125" s="4"/>
      <c r="AG125" s="4"/>
      <c r="AH125" s="4"/>
      <c r="AI125" s="4"/>
    </row>
    <row r="126">
      <c r="A126" s="57"/>
      <c r="B126" s="4"/>
      <c r="C126" s="4"/>
      <c r="D126" s="4"/>
      <c r="E126" s="4"/>
      <c r="F126" s="4"/>
      <c r="G126" s="4"/>
      <c r="H126" s="52"/>
      <c r="I126" s="4"/>
      <c r="J126" s="52"/>
      <c r="K126" s="52"/>
      <c r="L126" s="52"/>
      <c r="M126" s="52"/>
      <c r="N126" s="52"/>
      <c r="O126" s="52"/>
      <c r="P126" s="52"/>
      <c r="Q126" s="52"/>
      <c r="R126" s="4"/>
      <c r="Y126" s="3"/>
      <c r="Z126" s="58"/>
      <c r="AA126" s="3"/>
      <c r="AB126" s="3"/>
      <c r="AC126" s="4"/>
      <c r="AD126" s="4"/>
      <c r="AE126" s="4"/>
      <c r="AF126" s="4"/>
      <c r="AG126" s="4"/>
      <c r="AH126" s="4"/>
      <c r="AI126" s="4"/>
    </row>
    <row r="127">
      <c r="A127" s="57"/>
      <c r="B127" s="4"/>
      <c r="C127" s="4"/>
      <c r="D127" s="4"/>
      <c r="E127" s="4"/>
      <c r="F127" s="4"/>
      <c r="G127" s="4"/>
      <c r="H127" s="52"/>
      <c r="I127" s="4"/>
      <c r="J127" s="52"/>
      <c r="K127" s="52"/>
      <c r="L127" s="52"/>
      <c r="M127" s="52"/>
      <c r="N127" s="52"/>
      <c r="O127" s="52"/>
      <c r="P127" s="52"/>
      <c r="Q127" s="52"/>
      <c r="R127" s="4"/>
      <c r="Y127" s="3"/>
      <c r="Z127" s="58"/>
      <c r="AA127" s="3"/>
      <c r="AB127" s="3"/>
      <c r="AC127" s="4"/>
      <c r="AD127" s="4"/>
      <c r="AE127" s="4"/>
      <c r="AF127" s="4"/>
      <c r="AG127" s="4"/>
      <c r="AH127" s="4"/>
      <c r="AI127" s="4"/>
    </row>
    <row r="128">
      <c r="A128" s="57"/>
      <c r="B128" s="4"/>
      <c r="C128" s="4"/>
      <c r="D128" s="4"/>
      <c r="E128" s="4"/>
      <c r="F128" s="4"/>
      <c r="G128" s="4"/>
      <c r="H128" s="52"/>
      <c r="I128" s="4"/>
      <c r="J128" s="52"/>
      <c r="K128" s="52"/>
      <c r="L128" s="52"/>
      <c r="M128" s="52"/>
      <c r="N128" s="52"/>
      <c r="O128" s="52"/>
      <c r="P128" s="52"/>
      <c r="Q128" s="52"/>
      <c r="R128" s="4"/>
      <c r="Y128" s="3"/>
      <c r="Z128" s="58"/>
      <c r="AA128" s="3"/>
      <c r="AB128" s="3"/>
      <c r="AC128" s="4"/>
      <c r="AD128" s="4"/>
      <c r="AE128" s="4"/>
      <c r="AF128" s="4"/>
      <c r="AG128" s="4"/>
      <c r="AH128" s="4"/>
      <c r="AI128" s="4"/>
    </row>
    <row r="129">
      <c r="A129" s="57"/>
      <c r="B129" s="4"/>
      <c r="C129" s="4"/>
      <c r="D129" s="4"/>
      <c r="E129" s="4"/>
      <c r="F129" s="4"/>
      <c r="G129" s="4"/>
      <c r="H129" s="52"/>
      <c r="I129" s="4"/>
      <c r="J129" s="52"/>
      <c r="K129" s="52"/>
      <c r="L129" s="52"/>
      <c r="M129" s="52"/>
      <c r="N129" s="52"/>
      <c r="O129" s="52"/>
      <c r="P129" s="52"/>
      <c r="Q129" s="52"/>
      <c r="R129" s="4"/>
      <c r="Y129" s="3"/>
      <c r="Z129" s="58"/>
      <c r="AA129" s="3"/>
      <c r="AB129" s="3"/>
      <c r="AC129" s="4"/>
      <c r="AD129" s="4"/>
      <c r="AE129" s="4"/>
      <c r="AF129" s="4"/>
      <c r="AG129" s="4"/>
      <c r="AH129" s="4"/>
      <c r="AI129" s="4"/>
    </row>
    <row r="130">
      <c r="A130" s="57"/>
      <c r="B130" s="4"/>
      <c r="C130" s="4"/>
      <c r="D130" s="4"/>
      <c r="E130" s="4"/>
      <c r="F130" s="4"/>
      <c r="G130" s="4"/>
      <c r="H130" s="52"/>
      <c r="I130" s="4"/>
      <c r="J130" s="52"/>
      <c r="K130" s="52"/>
      <c r="L130" s="52"/>
      <c r="M130" s="52"/>
      <c r="N130" s="52"/>
      <c r="O130" s="52"/>
      <c r="P130" s="52"/>
      <c r="Q130" s="52"/>
      <c r="R130" s="4"/>
      <c r="Y130" s="3"/>
      <c r="Z130" s="58"/>
      <c r="AA130" s="3"/>
      <c r="AB130" s="3"/>
      <c r="AC130" s="4"/>
      <c r="AD130" s="4"/>
      <c r="AE130" s="4"/>
      <c r="AF130" s="4"/>
      <c r="AG130" s="4"/>
      <c r="AH130" s="4"/>
      <c r="AI130" s="4"/>
    </row>
    <row r="131">
      <c r="A131" s="57"/>
      <c r="B131" s="4"/>
      <c r="C131" s="4"/>
      <c r="D131" s="4"/>
      <c r="E131" s="4"/>
      <c r="F131" s="4"/>
      <c r="G131" s="4"/>
      <c r="H131" s="52"/>
      <c r="I131" s="4"/>
      <c r="J131" s="52"/>
      <c r="K131" s="52"/>
      <c r="L131" s="52"/>
      <c r="M131" s="52"/>
      <c r="N131" s="52"/>
      <c r="O131" s="52"/>
      <c r="P131" s="52"/>
      <c r="Q131" s="52"/>
      <c r="R131" s="4"/>
      <c r="Y131" s="3"/>
      <c r="Z131" s="58"/>
      <c r="AA131" s="3"/>
      <c r="AB131" s="3"/>
      <c r="AC131" s="4"/>
      <c r="AD131" s="4"/>
      <c r="AE131" s="4"/>
      <c r="AF131" s="4"/>
      <c r="AG131" s="4"/>
      <c r="AH131" s="4"/>
      <c r="AI131" s="4"/>
    </row>
    <row r="132">
      <c r="A132" s="57"/>
      <c r="B132" s="4"/>
      <c r="C132" s="4"/>
      <c r="D132" s="4"/>
      <c r="E132" s="4"/>
      <c r="F132" s="4"/>
      <c r="G132" s="4"/>
      <c r="H132" s="52"/>
      <c r="I132" s="4"/>
      <c r="J132" s="52"/>
      <c r="K132" s="52"/>
      <c r="L132" s="52"/>
      <c r="M132" s="52"/>
      <c r="N132" s="52"/>
      <c r="O132" s="52"/>
      <c r="P132" s="52"/>
      <c r="Q132" s="52"/>
      <c r="R132" s="4"/>
      <c r="Y132" s="3"/>
      <c r="Z132" s="58"/>
      <c r="AA132" s="3"/>
      <c r="AB132" s="3"/>
      <c r="AC132" s="4"/>
      <c r="AD132" s="4"/>
      <c r="AE132" s="4"/>
      <c r="AF132" s="4"/>
      <c r="AG132" s="4"/>
      <c r="AH132" s="4"/>
      <c r="AI132" s="4"/>
    </row>
    <row r="133">
      <c r="A133" s="57"/>
      <c r="B133" s="4"/>
      <c r="C133" s="4"/>
      <c r="D133" s="4"/>
      <c r="E133" s="4"/>
      <c r="F133" s="4"/>
      <c r="G133" s="4"/>
      <c r="H133" s="52"/>
      <c r="I133" s="4"/>
      <c r="J133" s="52"/>
      <c r="K133" s="52"/>
      <c r="L133" s="52"/>
      <c r="M133" s="52"/>
      <c r="N133" s="52"/>
      <c r="O133" s="52"/>
      <c r="P133" s="52"/>
      <c r="Q133" s="52"/>
      <c r="R133" s="4"/>
      <c r="Y133" s="3"/>
      <c r="Z133" s="58"/>
      <c r="AA133" s="3"/>
      <c r="AB133" s="3"/>
      <c r="AC133" s="4"/>
      <c r="AD133" s="4"/>
      <c r="AE133" s="4"/>
      <c r="AF133" s="4"/>
      <c r="AG133" s="4"/>
      <c r="AH133" s="4"/>
      <c r="AI133" s="4"/>
    </row>
    <row r="134">
      <c r="A134" s="57"/>
      <c r="B134" s="4"/>
      <c r="C134" s="4"/>
      <c r="D134" s="4"/>
      <c r="E134" s="4"/>
      <c r="F134" s="4"/>
      <c r="G134" s="4"/>
      <c r="H134" s="52"/>
      <c r="I134" s="4"/>
      <c r="J134" s="52"/>
      <c r="K134" s="52"/>
      <c r="L134" s="52"/>
      <c r="M134" s="52"/>
      <c r="N134" s="52"/>
      <c r="O134" s="52"/>
      <c r="P134" s="52"/>
      <c r="Q134" s="52"/>
      <c r="R134" s="4"/>
      <c r="Y134" s="3"/>
      <c r="Z134" s="58"/>
      <c r="AA134" s="3"/>
      <c r="AB134" s="3"/>
      <c r="AC134" s="4"/>
      <c r="AD134" s="4"/>
      <c r="AE134" s="4"/>
      <c r="AF134" s="4"/>
      <c r="AG134" s="4"/>
      <c r="AH134" s="4"/>
      <c r="AI134" s="4"/>
    </row>
    <row r="135">
      <c r="A135" s="57"/>
      <c r="B135" s="4"/>
      <c r="C135" s="4"/>
      <c r="D135" s="4"/>
      <c r="E135" s="4"/>
      <c r="F135" s="4"/>
      <c r="G135" s="4"/>
      <c r="H135" s="52"/>
      <c r="I135" s="4"/>
      <c r="J135" s="52"/>
      <c r="K135" s="52"/>
      <c r="L135" s="52"/>
      <c r="M135" s="52"/>
      <c r="N135" s="52"/>
      <c r="O135" s="52"/>
      <c r="P135" s="52"/>
      <c r="Q135" s="52"/>
      <c r="R135" s="4"/>
      <c r="Y135" s="3"/>
      <c r="Z135" s="58"/>
      <c r="AA135" s="3"/>
      <c r="AB135" s="3"/>
      <c r="AC135" s="4"/>
      <c r="AD135" s="4"/>
      <c r="AE135" s="4"/>
      <c r="AF135" s="4"/>
      <c r="AG135" s="4"/>
      <c r="AH135" s="4"/>
      <c r="AI135" s="4"/>
    </row>
    <row r="136">
      <c r="A136" s="57"/>
      <c r="B136" s="4"/>
      <c r="C136" s="4"/>
      <c r="D136" s="4"/>
      <c r="E136" s="4"/>
      <c r="F136" s="4"/>
      <c r="G136" s="4"/>
      <c r="H136" s="52"/>
      <c r="I136" s="4"/>
      <c r="J136" s="52"/>
      <c r="K136" s="52"/>
      <c r="L136" s="52"/>
      <c r="M136" s="52"/>
      <c r="N136" s="52"/>
      <c r="O136" s="52"/>
      <c r="P136" s="52"/>
      <c r="Q136" s="52"/>
      <c r="R136" s="4"/>
      <c r="Y136" s="3"/>
      <c r="Z136" s="58"/>
      <c r="AA136" s="3"/>
      <c r="AB136" s="3"/>
      <c r="AC136" s="4"/>
      <c r="AD136" s="4"/>
      <c r="AE136" s="4"/>
      <c r="AF136" s="4"/>
      <c r="AG136" s="4"/>
      <c r="AH136" s="4"/>
      <c r="AI136" s="4"/>
    </row>
    <row r="137">
      <c r="A137" s="57"/>
      <c r="B137" s="4"/>
      <c r="C137" s="4"/>
      <c r="D137" s="4"/>
      <c r="E137" s="4"/>
      <c r="F137" s="4"/>
      <c r="G137" s="4"/>
      <c r="H137" s="52"/>
      <c r="I137" s="4"/>
      <c r="J137" s="52"/>
      <c r="K137" s="52"/>
      <c r="L137" s="52"/>
      <c r="M137" s="52"/>
      <c r="N137" s="52"/>
      <c r="O137" s="52"/>
      <c r="P137" s="52"/>
      <c r="Q137" s="52"/>
      <c r="R137" s="4"/>
      <c r="S137" s="4"/>
      <c r="T137" s="4"/>
      <c r="U137" s="74"/>
      <c r="V137" s="3"/>
      <c r="W137" s="3"/>
      <c r="X137" s="3"/>
      <c r="Y137" s="3"/>
      <c r="Z137" s="58"/>
      <c r="AA137" s="3"/>
      <c r="AB137" s="3"/>
      <c r="AC137" s="4"/>
      <c r="AD137" s="4"/>
      <c r="AE137" s="4"/>
      <c r="AF137" s="4"/>
      <c r="AG137" s="4"/>
      <c r="AH137" s="4"/>
      <c r="AI137" s="4"/>
    </row>
    <row r="138">
      <c r="A138" s="57"/>
      <c r="B138" s="4"/>
      <c r="C138" s="4"/>
      <c r="D138" s="4"/>
      <c r="E138" s="4"/>
      <c r="F138" s="4"/>
      <c r="G138" s="4"/>
      <c r="H138" s="52"/>
      <c r="I138" s="4"/>
      <c r="J138" s="52"/>
      <c r="K138" s="52"/>
      <c r="L138" s="52"/>
      <c r="M138" s="52"/>
      <c r="N138" s="52"/>
      <c r="O138" s="52"/>
      <c r="P138" s="52"/>
      <c r="Q138" s="52"/>
      <c r="R138" s="4"/>
      <c r="S138" s="4"/>
      <c r="T138" s="4"/>
      <c r="U138" s="74"/>
      <c r="V138" s="3"/>
      <c r="W138" s="3"/>
      <c r="X138" s="3"/>
      <c r="Y138" s="3"/>
      <c r="Z138" s="58"/>
      <c r="AA138" s="3"/>
      <c r="AB138" s="3"/>
      <c r="AC138" s="4"/>
      <c r="AD138" s="4"/>
      <c r="AE138" s="4"/>
      <c r="AF138" s="4"/>
      <c r="AG138" s="4"/>
      <c r="AH138" s="4"/>
      <c r="AI138" s="4"/>
    </row>
    <row r="139">
      <c r="A139" s="57"/>
      <c r="B139" s="4"/>
      <c r="C139" s="4"/>
      <c r="D139" s="4"/>
      <c r="E139" s="4"/>
      <c r="F139" s="4"/>
      <c r="G139" s="4"/>
      <c r="H139" s="52"/>
      <c r="I139" s="4"/>
      <c r="J139" s="52"/>
      <c r="K139" s="52"/>
      <c r="L139" s="52"/>
      <c r="M139" s="52"/>
      <c r="N139" s="52"/>
      <c r="O139" s="52"/>
      <c r="P139" s="52"/>
      <c r="Q139" s="52"/>
      <c r="R139" s="4"/>
      <c r="S139" s="4"/>
      <c r="T139" s="4"/>
      <c r="U139" s="74"/>
      <c r="V139" s="3"/>
      <c r="W139" s="3"/>
      <c r="X139" s="3"/>
      <c r="Y139" s="3"/>
      <c r="Z139" s="58"/>
      <c r="AA139" s="3"/>
      <c r="AB139" s="3"/>
      <c r="AC139" s="4"/>
      <c r="AD139" s="4"/>
      <c r="AE139" s="4"/>
      <c r="AF139" s="4"/>
      <c r="AG139" s="4"/>
      <c r="AH139" s="4"/>
      <c r="AI139" s="4"/>
    </row>
    <row r="140">
      <c r="A140" s="57"/>
      <c r="B140" s="4"/>
      <c r="C140" s="4"/>
      <c r="D140" s="4"/>
      <c r="E140" s="4"/>
      <c r="F140" s="4"/>
      <c r="G140" s="4"/>
      <c r="H140" s="52"/>
      <c r="I140" s="4"/>
      <c r="J140" s="52"/>
      <c r="K140" s="52"/>
      <c r="L140" s="52"/>
      <c r="M140" s="52"/>
      <c r="N140" s="52"/>
      <c r="O140" s="52"/>
      <c r="P140" s="52"/>
      <c r="Q140" s="52"/>
      <c r="R140" s="4"/>
      <c r="S140" s="4"/>
      <c r="T140" s="4"/>
      <c r="U140" s="74"/>
      <c r="V140" s="3"/>
      <c r="W140" s="3"/>
      <c r="X140" s="3"/>
      <c r="Y140" s="3"/>
      <c r="Z140" s="58"/>
      <c r="AA140" s="3"/>
      <c r="AB140" s="3"/>
      <c r="AC140" s="4"/>
      <c r="AD140" s="4"/>
      <c r="AE140" s="4"/>
      <c r="AF140" s="4"/>
      <c r="AG140" s="4"/>
      <c r="AH140" s="4"/>
      <c r="AI140" s="4"/>
    </row>
    <row r="141">
      <c r="A141" s="57"/>
      <c r="B141" s="4"/>
      <c r="C141" s="4"/>
      <c r="D141" s="4"/>
      <c r="E141" s="4"/>
      <c r="F141" s="4"/>
      <c r="G141" s="4"/>
      <c r="H141" s="52"/>
      <c r="I141" s="4"/>
      <c r="J141" s="52"/>
      <c r="K141" s="52"/>
      <c r="L141" s="52"/>
      <c r="M141" s="52"/>
      <c r="N141" s="52"/>
      <c r="O141" s="52"/>
      <c r="P141" s="52"/>
      <c r="Q141" s="52"/>
      <c r="R141" s="4"/>
      <c r="S141" s="4"/>
      <c r="T141" s="4"/>
      <c r="U141" s="74"/>
      <c r="V141" s="3"/>
      <c r="W141" s="3"/>
      <c r="X141" s="3"/>
      <c r="Y141" s="3"/>
      <c r="Z141" s="58"/>
      <c r="AA141" s="3"/>
      <c r="AB141" s="3"/>
      <c r="AC141" s="4"/>
      <c r="AD141" s="4"/>
      <c r="AE141" s="4"/>
      <c r="AF141" s="4"/>
      <c r="AG141" s="4"/>
      <c r="AH141" s="4"/>
      <c r="AI141" s="4"/>
    </row>
    <row r="142">
      <c r="A142" s="57"/>
      <c r="B142" s="4"/>
      <c r="C142" s="4"/>
      <c r="D142" s="4"/>
      <c r="E142" s="4"/>
      <c r="F142" s="4"/>
      <c r="G142" s="4"/>
      <c r="H142" s="52"/>
      <c r="I142" s="4"/>
      <c r="J142" s="52"/>
      <c r="K142" s="52"/>
      <c r="L142" s="52"/>
      <c r="M142" s="52"/>
      <c r="N142" s="52"/>
      <c r="O142" s="52"/>
      <c r="P142" s="52"/>
      <c r="Q142" s="52"/>
      <c r="R142" s="4"/>
      <c r="S142" s="4"/>
      <c r="T142" s="4"/>
      <c r="U142" s="74"/>
      <c r="V142" s="3"/>
      <c r="W142" s="3"/>
      <c r="X142" s="3"/>
      <c r="Y142" s="3"/>
      <c r="Z142" s="58"/>
      <c r="AA142" s="3"/>
      <c r="AB142" s="3"/>
      <c r="AC142" s="4"/>
      <c r="AD142" s="4"/>
      <c r="AE142" s="4"/>
      <c r="AF142" s="4"/>
      <c r="AG142" s="4"/>
      <c r="AH142" s="4"/>
      <c r="AI142" s="4"/>
    </row>
    <row r="143">
      <c r="A143" s="57"/>
      <c r="B143" s="4"/>
      <c r="C143" s="4"/>
      <c r="D143" s="4"/>
      <c r="E143" s="4"/>
      <c r="F143" s="4"/>
      <c r="G143" s="4"/>
      <c r="H143" s="52"/>
      <c r="I143" s="4"/>
      <c r="J143" s="52"/>
      <c r="K143" s="52"/>
      <c r="L143" s="52"/>
      <c r="M143" s="52"/>
      <c r="N143" s="52"/>
      <c r="O143" s="52"/>
      <c r="P143" s="52"/>
      <c r="Q143" s="52"/>
      <c r="R143" s="4"/>
      <c r="S143" s="4"/>
      <c r="T143" s="4"/>
      <c r="U143" s="74"/>
      <c r="V143" s="3"/>
      <c r="W143" s="3"/>
      <c r="X143" s="3"/>
      <c r="Y143" s="3"/>
      <c r="Z143" s="58"/>
      <c r="AA143" s="3"/>
      <c r="AB143" s="3"/>
      <c r="AC143" s="4"/>
      <c r="AD143" s="4"/>
      <c r="AE143" s="4"/>
      <c r="AF143" s="4"/>
      <c r="AG143" s="4"/>
      <c r="AH143" s="4"/>
      <c r="AI143" s="4"/>
    </row>
    <row r="144">
      <c r="A144" s="57"/>
      <c r="B144" s="4"/>
      <c r="C144" s="4"/>
      <c r="D144" s="4"/>
      <c r="E144" s="4"/>
      <c r="F144" s="4"/>
      <c r="G144" s="4"/>
      <c r="H144" s="52"/>
      <c r="I144" s="4"/>
      <c r="J144" s="52"/>
      <c r="K144" s="52"/>
      <c r="L144" s="52"/>
      <c r="M144" s="52"/>
      <c r="N144" s="52"/>
      <c r="O144" s="52"/>
      <c r="P144" s="52"/>
      <c r="Q144" s="52"/>
      <c r="R144" s="4"/>
      <c r="S144" s="4"/>
      <c r="T144" s="4"/>
      <c r="U144" s="74"/>
      <c r="V144" s="3"/>
      <c r="W144" s="3"/>
      <c r="X144" s="3"/>
      <c r="Y144" s="3"/>
      <c r="Z144" s="58"/>
      <c r="AA144" s="3"/>
      <c r="AB144" s="3"/>
      <c r="AC144" s="4"/>
      <c r="AD144" s="4"/>
      <c r="AE144" s="4"/>
      <c r="AF144" s="4"/>
      <c r="AG144" s="4"/>
      <c r="AH144" s="4"/>
      <c r="AI144" s="4"/>
    </row>
    <row r="145">
      <c r="A145" s="57"/>
      <c r="B145" s="4"/>
      <c r="C145" s="4"/>
      <c r="D145" s="4"/>
      <c r="E145" s="4"/>
      <c r="F145" s="4"/>
      <c r="G145" s="4"/>
      <c r="H145" s="52"/>
      <c r="I145" s="4"/>
      <c r="J145" s="52"/>
      <c r="K145" s="52"/>
      <c r="L145" s="52"/>
      <c r="M145" s="52"/>
      <c r="N145" s="52"/>
      <c r="O145" s="52"/>
      <c r="P145" s="52"/>
      <c r="Q145" s="52"/>
      <c r="R145" s="4"/>
      <c r="S145" s="4"/>
      <c r="T145" s="4"/>
      <c r="U145" s="74"/>
      <c r="V145" s="3"/>
      <c r="W145" s="3"/>
      <c r="X145" s="3"/>
      <c r="Y145" s="3"/>
      <c r="Z145" s="58"/>
      <c r="AA145" s="3"/>
      <c r="AB145" s="3"/>
      <c r="AC145" s="4"/>
      <c r="AD145" s="4"/>
      <c r="AE145" s="4"/>
      <c r="AF145" s="4"/>
      <c r="AG145" s="4"/>
      <c r="AH145" s="4"/>
      <c r="AI145" s="4"/>
    </row>
    <row r="146">
      <c r="A146" s="57"/>
      <c r="B146" s="4"/>
      <c r="C146" s="4"/>
      <c r="D146" s="4"/>
      <c r="E146" s="4"/>
      <c r="F146" s="4"/>
      <c r="G146" s="4"/>
      <c r="H146" s="52"/>
      <c r="I146" s="4"/>
      <c r="J146" s="52"/>
      <c r="K146" s="52"/>
      <c r="L146" s="52"/>
      <c r="M146" s="52"/>
      <c r="N146" s="52"/>
      <c r="O146" s="52"/>
      <c r="P146" s="52"/>
      <c r="Q146" s="52"/>
      <c r="R146" s="4"/>
      <c r="S146" s="4"/>
      <c r="T146" s="4"/>
      <c r="U146" s="74"/>
      <c r="V146" s="3"/>
      <c r="W146" s="3"/>
      <c r="X146" s="3"/>
      <c r="Y146" s="3"/>
      <c r="Z146" s="58"/>
      <c r="AA146" s="3"/>
      <c r="AB146" s="3"/>
      <c r="AC146" s="4"/>
      <c r="AD146" s="4"/>
      <c r="AE146" s="4"/>
      <c r="AF146" s="4"/>
      <c r="AG146" s="4"/>
      <c r="AH146" s="4"/>
      <c r="AI146" s="4"/>
    </row>
    <row r="147">
      <c r="A147" s="57"/>
      <c r="B147" s="4"/>
      <c r="C147" s="4"/>
      <c r="D147" s="4"/>
      <c r="E147" s="4"/>
      <c r="F147" s="4"/>
      <c r="G147" s="4"/>
      <c r="H147" s="52"/>
      <c r="I147" s="4"/>
      <c r="J147" s="52"/>
      <c r="K147" s="52"/>
      <c r="L147" s="52"/>
      <c r="M147" s="52"/>
      <c r="N147" s="52"/>
      <c r="O147" s="52"/>
      <c r="P147" s="52"/>
      <c r="Q147" s="52"/>
      <c r="R147" s="4"/>
      <c r="S147" s="4"/>
      <c r="T147" s="4"/>
      <c r="U147" s="74"/>
      <c r="V147" s="3"/>
      <c r="W147" s="3"/>
      <c r="X147" s="3"/>
      <c r="Y147" s="3"/>
      <c r="Z147" s="58"/>
      <c r="AA147" s="3"/>
      <c r="AB147" s="3"/>
      <c r="AC147" s="4"/>
      <c r="AD147" s="4"/>
      <c r="AE147" s="4"/>
      <c r="AF147" s="4"/>
      <c r="AG147" s="4"/>
      <c r="AH147" s="4"/>
      <c r="AI147" s="4"/>
    </row>
    <row r="148">
      <c r="A148" s="57"/>
      <c r="B148" s="4"/>
      <c r="C148" s="4"/>
      <c r="D148" s="4"/>
      <c r="E148" s="4"/>
      <c r="F148" s="4"/>
      <c r="G148" s="4"/>
      <c r="H148" s="52"/>
      <c r="I148" s="4"/>
      <c r="J148" s="52"/>
      <c r="K148" s="52"/>
      <c r="L148" s="52"/>
      <c r="M148" s="52"/>
      <c r="N148" s="52"/>
      <c r="O148" s="52"/>
      <c r="P148" s="52"/>
      <c r="Q148" s="52"/>
      <c r="R148" s="4"/>
      <c r="S148" s="4"/>
      <c r="T148" s="4"/>
      <c r="U148" s="74"/>
      <c r="V148" s="3"/>
      <c r="W148" s="3"/>
      <c r="X148" s="3"/>
      <c r="Y148" s="3"/>
      <c r="Z148" s="58"/>
      <c r="AA148" s="3"/>
      <c r="AB148" s="3"/>
      <c r="AC148" s="4"/>
      <c r="AD148" s="4"/>
      <c r="AE148" s="4"/>
      <c r="AF148" s="4"/>
      <c r="AG148" s="4"/>
      <c r="AH148" s="4"/>
      <c r="AI148" s="4"/>
    </row>
    <row r="149">
      <c r="A149" s="57"/>
      <c r="B149" s="4"/>
      <c r="C149" s="4"/>
      <c r="D149" s="4"/>
      <c r="E149" s="4"/>
      <c r="F149" s="4"/>
      <c r="G149" s="4"/>
      <c r="H149" s="52"/>
      <c r="I149" s="4"/>
      <c r="J149" s="52"/>
      <c r="K149" s="52"/>
      <c r="L149" s="52"/>
      <c r="M149" s="52"/>
      <c r="N149" s="52"/>
      <c r="O149" s="52"/>
      <c r="P149" s="52"/>
      <c r="Q149" s="52"/>
      <c r="R149" s="4"/>
      <c r="S149" s="4"/>
      <c r="T149" s="4"/>
      <c r="U149" s="74"/>
      <c r="V149" s="3"/>
      <c r="W149" s="3"/>
      <c r="X149" s="3"/>
      <c r="Y149" s="3"/>
      <c r="Z149" s="58"/>
      <c r="AA149" s="3"/>
      <c r="AB149" s="3"/>
      <c r="AC149" s="4"/>
      <c r="AD149" s="4"/>
      <c r="AE149" s="4"/>
      <c r="AF149" s="4"/>
      <c r="AG149" s="4"/>
      <c r="AH149" s="4"/>
      <c r="AI149" s="4"/>
    </row>
    <row r="150">
      <c r="A150" s="57"/>
      <c r="B150" s="4"/>
      <c r="C150" s="4"/>
      <c r="D150" s="4"/>
      <c r="E150" s="4"/>
      <c r="F150" s="4"/>
      <c r="G150" s="4"/>
      <c r="H150" s="52"/>
      <c r="I150" s="4"/>
      <c r="J150" s="52"/>
      <c r="K150" s="52"/>
      <c r="L150" s="52"/>
      <c r="M150" s="52"/>
      <c r="N150" s="52"/>
      <c r="O150" s="52"/>
      <c r="P150" s="52"/>
      <c r="Q150" s="52"/>
      <c r="R150" s="4"/>
      <c r="S150" s="4"/>
      <c r="T150" s="4"/>
      <c r="U150" s="74"/>
      <c r="V150" s="3"/>
      <c r="W150" s="3"/>
      <c r="X150" s="3"/>
      <c r="Y150" s="3"/>
      <c r="Z150" s="58"/>
      <c r="AA150" s="3"/>
      <c r="AB150" s="3"/>
      <c r="AC150" s="4"/>
      <c r="AD150" s="4"/>
      <c r="AE150" s="4"/>
      <c r="AF150" s="4"/>
      <c r="AG150" s="4"/>
      <c r="AH150" s="4"/>
      <c r="AI150" s="4"/>
    </row>
    <row r="151">
      <c r="A151" s="57"/>
      <c r="B151" s="4"/>
      <c r="C151" s="4"/>
      <c r="D151" s="4"/>
      <c r="E151" s="4"/>
      <c r="F151" s="4"/>
      <c r="G151" s="4"/>
      <c r="H151" s="52"/>
      <c r="I151" s="4"/>
      <c r="J151" s="52"/>
      <c r="K151" s="52"/>
      <c r="L151" s="52"/>
      <c r="M151" s="52"/>
      <c r="N151" s="52"/>
      <c r="O151" s="52"/>
      <c r="P151" s="52"/>
      <c r="Q151" s="52"/>
      <c r="R151" s="4"/>
      <c r="S151" s="4"/>
      <c r="T151" s="4"/>
      <c r="U151" s="74"/>
      <c r="V151" s="3"/>
      <c r="W151" s="3"/>
      <c r="X151" s="3"/>
      <c r="Y151" s="3"/>
      <c r="Z151" s="58"/>
      <c r="AA151" s="3"/>
      <c r="AB151" s="3"/>
      <c r="AC151" s="4"/>
      <c r="AD151" s="4"/>
      <c r="AE151" s="4"/>
      <c r="AF151" s="4"/>
      <c r="AG151" s="4"/>
      <c r="AH151" s="4"/>
      <c r="AI151" s="4"/>
    </row>
    <row r="152">
      <c r="A152" s="57"/>
      <c r="B152" s="4"/>
      <c r="C152" s="4"/>
      <c r="D152" s="4"/>
      <c r="E152" s="4"/>
      <c r="F152" s="4"/>
      <c r="G152" s="4"/>
      <c r="H152" s="52"/>
      <c r="I152" s="4"/>
      <c r="J152" s="52"/>
      <c r="K152" s="52"/>
      <c r="L152" s="52"/>
      <c r="M152" s="52"/>
      <c r="N152" s="52"/>
      <c r="O152" s="52"/>
      <c r="P152" s="52"/>
      <c r="Q152" s="52"/>
      <c r="R152" s="4"/>
      <c r="S152" s="4"/>
      <c r="T152" s="4"/>
      <c r="U152" s="74"/>
      <c r="V152" s="3"/>
      <c r="W152" s="3"/>
      <c r="X152" s="3"/>
      <c r="Y152" s="3"/>
      <c r="Z152" s="58"/>
      <c r="AA152" s="3"/>
      <c r="AB152" s="3"/>
      <c r="AC152" s="4"/>
      <c r="AD152" s="4"/>
      <c r="AE152" s="4"/>
      <c r="AF152" s="4"/>
      <c r="AG152" s="4"/>
      <c r="AH152" s="4"/>
      <c r="AI152" s="4"/>
    </row>
    <row r="153">
      <c r="A153" s="57"/>
      <c r="B153" s="4"/>
      <c r="C153" s="4"/>
      <c r="D153" s="4"/>
      <c r="E153" s="4"/>
      <c r="F153" s="4"/>
      <c r="G153" s="4"/>
      <c r="H153" s="52"/>
      <c r="I153" s="4"/>
      <c r="J153" s="52"/>
      <c r="K153" s="52"/>
      <c r="L153" s="52"/>
      <c r="M153" s="52"/>
      <c r="N153" s="52"/>
      <c r="O153" s="52"/>
      <c r="P153" s="52"/>
      <c r="Q153" s="52"/>
      <c r="R153" s="4"/>
      <c r="S153" s="4"/>
      <c r="T153" s="4"/>
      <c r="U153" s="74"/>
      <c r="V153" s="3"/>
      <c r="W153" s="3"/>
      <c r="X153" s="3"/>
      <c r="Y153" s="3"/>
      <c r="Z153" s="58"/>
      <c r="AA153" s="3"/>
      <c r="AB153" s="3"/>
      <c r="AC153" s="4"/>
      <c r="AD153" s="4"/>
      <c r="AE153" s="4"/>
      <c r="AF153" s="4"/>
      <c r="AG153" s="4"/>
      <c r="AH153" s="4"/>
      <c r="AI153" s="4"/>
    </row>
    <row r="154">
      <c r="A154" s="57"/>
      <c r="B154" s="4"/>
      <c r="C154" s="4"/>
      <c r="D154" s="4"/>
      <c r="E154" s="4"/>
      <c r="F154" s="4"/>
      <c r="G154" s="4"/>
      <c r="H154" s="52"/>
      <c r="I154" s="4"/>
      <c r="J154" s="52"/>
      <c r="K154" s="52"/>
      <c r="L154" s="52"/>
      <c r="M154" s="52"/>
      <c r="N154" s="52"/>
      <c r="O154" s="52"/>
      <c r="P154" s="52"/>
      <c r="Q154" s="52"/>
      <c r="R154" s="4"/>
      <c r="S154" s="4"/>
      <c r="T154" s="4"/>
      <c r="U154" s="74"/>
      <c r="V154" s="3"/>
      <c r="W154" s="3"/>
      <c r="X154" s="3"/>
      <c r="Y154" s="3"/>
      <c r="Z154" s="58"/>
      <c r="AA154" s="3"/>
      <c r="AB154" s="3"/>
      <c r="AC154" s="4"/>
      <c r="AD154" s="4"/>
      <c r="AE154" s="4"/>
      <c r="AF154" s="4"/>
      <c r="AG154" s="4"/>
      <c r="AH154" s="4"/>
      <c r="AI154" s="4"/>
    </row>
    <row r="155">
      <c r="A155" s="57"/>
      <c r="B155" s="4"/>
      <c r="C155" s="4"/>
      <c r="D155" s="4"/>
      <c r="E155" s="4"/>
      <c r="F155" s="4"/>
      <c r="G155" s="4"/>
      <c r="H155" s="52"/>
      <c r="I155" s="4"/>
      <c r="J155" s="52"/>
      <c r="K155" s="52"/>
      <c r="L155" s="52"/>
      <c r="M155" s="52"/>
      <c r="N155" s="52"/>
      <c r="O155" s="52"/>
      <c r="P155" s="52"/>
      <c r="Q155" s="52"/>
      <c r="R155" s="4"/>
      <c r="S155" s="4"/>
      <c r="T155" s="4"/>
      <c r="U155" s="74"/>
      <c r="V155" s="3"/>
      <c r="W155" s="3"/>
      <c r="X155" s="3"/>
      <c r="Y155" s="3"/>
      <c r="Z155" s="58"/>
      <c r="AA155" s="3"/>
      <c r="AB155" s="3"/>
      <c r="AC155" s="4"/>
      <c r="AD155" s="4"/>
      <c r="AE155" s="4"/>
      <c r="AF155" s="4"/>
      <c r="AG155" s="4"/>
      <c r="AH155" s="4"/>
      <c r="AI155" s="4"/>
    </row>
    <row r="156">
      <c r="A156" s="57"/>
      <c r="B156" s="4"/>
      <c r="C156" s="4"/>
      <c r="D156" s="4"/>
      <c r="E156" s="4"/>
      <c r="F156" s="4"/>
      <c r="G156" s="4"/>
      <c r="H156" s="52"/>
      <c r="I156" s="4"/>
      <c r="J156" s="52"/>
      <c r="K156" s="52"/>
      <c r="L156" s="52"/>
      <c r="M156" s="52"/>
      <c r="N156" s="52"/>
      <c r="O156" s="52"/>
      <c r="P156" s="52"/>
      <c r="Q156" s="52"/>
      <c r="R156" s="4"/>
      <c r="S156" s="4"/>
      <c r="T156" s="4"/>
      <c r="U156" s="74"/>
      <c r="V156" s="3"/>
      <c r="W156" s="3"/>
      <c r="X156" s="3"/>
      <c r="Y156" s="3"/>
      <c r="Z156" s="58"/>
      <c r="AA156" s="3"/>
      <c r="AB156" s="3"/>
      <c r="AC156" s="4"/>
      <c r="AD156" s="4"/>
      <c r="AE156" s="4"/>
      <c r="AF156" s="4"/>
      <c r="AG156" s="4"/>
      <c r="AH156" s="4"/>
      <c r="AI156" s="4"/>
    </row>
    <row r="157">
      <c r="A157" s="57"/>
      <c r="B157" s="4"/>
      <c r="C157" s="4"/>
      <c r="D157" s="4"/>
      <c r="E157" s="4"/>
      <c r="F157" s="4"/>
      <c r="G157" s="4"/>
      <c r="H157" s="52"/>
      <c r="I157" s="4"/>
      <c r="J157" s="52"/>
      <c r="K157" s="52"/>
      <c r="L157" s="52"/>
      <c r="M157" s="52"/>
      <c r="N157" s="52"/>
      <c r="O157" s="52"/>
      <c r="P157" s="52"/>
      <c r="Q157" s="52"/>
      <c r="R157" s="4"/>
      <c r="S157" s="4"/>
      <c r="T157" s="4"/>
      <c r="U157" s="74"/>
      <c r="V157" s="3"/>
      <c r="W157" s="3"/>
      <c r="X157" s="3"/>
      <c r="Y157" s="3"/>
      <c r="Z157" s="58"/>
      <c r="AA157" s="3"/>
      <c r="AB157" s="3"/>
      <c r="AC157" s="4"/>
      <c r="AD157" s="4"/>
      <c r="AE157" s="4"/>
      <c r="AF157" s="4"/>
      <c r="AG157" s="4"/>
      <c r="AH157" s="4"/>
      <c r="AI157" s="4"/>
    </row>
    <row r="158">
      <c r="A158" s="57"/>
      <c r="B158" s="4"/>
      <c r="C158" s="4"/>
      <c r="D158" s="4"/>
      <c r="E158" s="4"/>
      <c r="F158" s="4"/>
      <c r="G158" s="4"/>
      <c r="H158" s="52"/>
      <c r="I158" s="4"/>
      <c r="J158" s="52"/>
      <c r="K158" s="52"/>
      <c r="L158" s="52"/>
      <c r="M158" s="52"/>
      <c r="N158" s="52"/>
      <c r="O158" s="52"/>
      <c r="P158" s="52"/>
      <c r="Q158" s="52"/>
      <c r="R158" s="4"/>
      <c r="S158" s="4"/>
      <c r="T158" s="4"/>
      <c r="U158" s="74"/>
      <c r="V158" s="3"/>
      <c r="W158" s="3"/>
      <c r="X158" s="3"/>
      <c r="Y158" s="3"/>
      <c r="Z158" s="58"/>
      <c r="AA158" s="3"/>
      <c r="AB158" s="3"/>
      <c r="AC158" s="4"/>
      <c r="AD158" s="4"/>
      <c r="AE158" s="4"/>
      <c r="AF158" s="4"/>
      <c r="AG158" s="4"/>
      <c r="AH158" s="4"/>
      <c r="AI158" s="4"/>
    </row>
    <row r="159">
      <c r="A159" s="57"/>
      <c r="B159" s="4"/>
      <c r="C159" s="4"/>
      <c r="D159" s="4"/>
      <c r="E159" s="4"/>
      <c r="F159" s="4"/>
      <c r="G159" s="4"/>
      <c r="H159" s="52"/>
      <c r="I159" s="4"/>
      <c r="J159" s="52"/>
      <c r="K159" s="52"/>
      <c r="L159" s="52"/>
      <c r="M159" s="52"/>
      <c r="N159" s="52"/>
      <c r="O159" s="52"/>
      <c r="P159" s="52"/>
      <c r="Q159" s="52"/>
      <c r="R159" s="4"/>
      <c r="S159" s="4"/>
      <c r="T159" s="4"/>
      <c r="U159" s="74"/>
      <c r="V159" s="3"/>
      <c r="W159" s="3"/>
      <c r="X159" s="3"/>
      <c r="Y159" s="3"/>
      <c r="Z159" s="58"/>
      <c r="AA159" s="3"/>
      <c r="AB159" s="3"/>
      <c r="AC159" s="4"/>
      <c r="AD159" s="4"/>
      <c r="AE159" s="4"/>
      <c r="AF159" s="4"/>
      <c r="AG159" s="4"/>
      <c r="AH159" s="4"/>
      <c r="AI159" s="4"/>
    </row>
    <row r="160">
      <c r="A160" s="57"/>
      <c r="B160" s="4"/>
      <c r="C160" s="4"/>
      <c r="D160" s="4"/>
      <c r="E160" s="4"/>
      <c r="F160" s="4"/>
      <c r="G160" s="4"/>
      <c r="H160" s="52"/>
      <c r="I160" s="4"/>
      <c r="J160" s="52"/>
      <c r="K160" s="52"/>
      <c r="L160" s="52"/>
      <c r="M160" s="52"/>
      <c r="N160" s="52"/>
      <c r="O160" s="52"/>
      <c r="P160" s="52"/>
      <c r="Q160" s="52"/>
      <c r="R160" s="4"/>
      <c r="S160" s="4"/>
      <c r="T160" s="4"/>
      <c r="U160" s="74"/>
      <c r="V160" s="3"/>
      <c r="W160" s="3"/>
      <c r="X160" s="3"/>
      <c r="Y160" s="3"/>
      <c r="Z160" s="58"/>
      <c r="AA160" s="3"/>
      <c r="AB160" s="3"/>
      <c r="AC160" s="4"/>
      <c r="AD160" s="4"/>
      <c r="AE160" s="4"/>
      <c r="AF160" s="4"/>
      <c r="AG160" s="4"/>
      <c r="AH160" s="4"/>
      <c r="AI160" s="4"/>
    </row>
    <row r="161">
      <c r="A161" s="57"/>
      <c r="B161" s="4"/>
      <c r="C161" s="4"/>
      <c r="D161" s="4"/>
      <c r="E161" s="4"/>
      <c r="F161" s="4"/>
      <c r="G161" s="4"/>
      <c r="H161" s="52"/>
      <c r="I161" s="4"/>
      <c r="J161" s="52"/>
      <c r="K161" s="52"/>
      <c r="L161" s="52"/>
      <c r="M161" s="52"/>
      <c r="N161" s="52"/>
      <c r="O161" s="52"/>
      <c r="P161" s="52"/>
      <c r="Q161" s="52"/>
      <c r="R161" s="4"/>
      <c r="S161" s="4"/>
      <c r="T161" s="4"/>
      <c r="U161" s="74"/>
      <c r="V161" s="3"/>
      <c r="W161" s="3"/>
      <c r="X161" s="3"/>
      <c r="Y161" s="3"/>
      <c r="Z161" s="58"/>
      <c r="AA161" s="3"/>
      <c r="AB161" s="3"/>
      <c r="AC161" s="4"/>
      <c r="AD161" s="4"/>
      <c r="AE161" s="4"/>
      <c r="AF161" s="4"/>
      <c r="AG161" s="4"/>
      <c r="AH161" s="4"/>
      <c r="AI161" s="4"/>
    </row>
    <row r="162">
      <c r="A162" s="57"/>
      <c r="B162" s="4"/>
      <c r="C162" s="4"/>
      <c r="D162" s="4"/>
      <c r="E162" s="4"/>
      <c r="F162" s="4"/>
      <c r="G162" s="4"/>
      <c r="H162" s="52"/>
      <c r="I162" s="4"/>
      <c r="J162" s="52"/>
      <c r="K162" s="52"/>
      <c r="L162" s="52"/>
      <c r="M162" s="52"/>
      <c r="N162" s="52"/>
      <c r="O162" s="52"/>
      <c r="P162" s="52"/>
      <c r="Q162" s="52"/>
      <c r="R162" s="4"/>
      <c r="S162" s="4"/>
      <c r="T162" s="4"/>
      <c r="U162" s="74"/>
      <c r="V162" s="3"/>
      <c r="W162" s="3"/>
      <c r="X162" s="3"/>
      <c r="Y162" s="3"/>
      <c r="Z162" s="58"/>
      <c r="AA162" s="3"/>
      <c r="AB162" s="3"/>
      <c r="AC162" s="4"/>
      <c r="AD162" s="4"/>
      <c r="AE162" s="4"/>
      <c r="AF162" s="4"/>
      <c r="AG162" s="4"/>
      <c r="AH162" s="4"/>
      <c r="AI162" s="4"/>
    </row>
    <row r="163">
      <c r="A163" s="57"/>
      <c r="B163" s="4"/>
      <c r="C163" s="4"/>
      <c r="D163" s="4"/>
      <c r="E163" s="4"/>
      <c r="F163" s="4"/>
      <c r="G163" s="4"/>
      <c r="H163" s="52"/>
      <c r="I163" s="4"/>
      <c r="J163" s="52"/>
      <c r="K163" s="52"/>
      <c r="L163" s="52"/>
      <c r="M163" s="52"/>
      <c r="N163" s="52"/>
      <c r="O163" s="52"/>
      <c r="P163" s="52"/>
      <c r="Q163" s="52"/>
      <c r="R163" s="4"/>
      <c r="S163" s="4"/>
      <c r="T163" s="4"/>
      <c r="U163" s="74"/>
      <c r="V163" s="3"/>
      <c r="W163" s="3"/>
      <c r="X163" s="3"/>
      <c r="Y163" s="3"/>
      <c r="Z163" s="58"/>
      <c r="AA163" s="3"/>
      <c r="AB163" s="3"/>
      <c r="AC163" s="4"/>
      <c r="AD163" s="4"/>
      <c r="AE163" s="4"/>
      <c r="AF163" s="4"/>
      <c r="AG163" s="4"/>
      <c r="AH163" s="4"/>
      <c r="AI163" s="4"/>
    </row>
    <row r="164">
      <c r="A164" s="57"/>
      <c r="B164" s="4"/>
      <c r="C164" s="4"/>
      <c r="D164" s="4"/>
      <c r="E164" s="4"/>
      <c r="F164" s="4"/>
      <c r="G164" s="4"/>
      <c r="H164" s="52"/>
      <c r="I164" s="4"/>
      <c r="J164" s="52"/>
      <c r="K164" s="52"/>
      <c r="L164" s="52"/>
      <c r="M164" s="52"/>
      <c r="N164" s="52"/>
      <c r="O164" s="52"/>
      <c r="P164" s="52"/>
      <c r="Q164" s="52"/>
      <c r="R164" s="4"/>
      <c r="S164" s="4"/>
      <c r="T164" s="4"/>
      <c r="U164" s="74"/>
      <c r="V164" s="3"/>
      <c r="W164" s="3"/>
      <c r="X164" s="3"/>
      <c r="Y164" s="3"/>
      <c r="Z164" s="58"/>
      <c r="AA164" s="3"/>
      <c r="AB164" s="3"/>
      <c r="AC164" s="4"/>
      <c r="AD164" s="4"/>
      <c r="AE164" s="4"/>
      <c r="AF164" s="4"/>
      <c r="AG164" s="4"/>
      <c r="AH164" s="4"/>
      <c r="AI164" s="4"/>
    </row>
    <row r="165">
      <c r="A165" s="57"/>
      <c r="B165" s="4"/>
      <c r="C165" s="4"/>
      <c r="D165" s="4"/>
      <c r="E165" s="4"/>
      <c r="F165" s="4"/>
      <c r="G165" s="4"/>
      <c r="H165" s="52"/>
      <c r="I165" s="4"/>
      <c r="J165" s="52"/>
      <c r="K165" s="52"/>
      <c r="L165" s="52"/>
      <c r="M165" s="52"/>
      <c r="N165" s="52"/>
      <c r="O165" s="52"/>
      <c r="P165" s="52"/>
      <c r="Q165" s="52"/>
      <c r="R165" s="4"/>
      <c r="S165" s="4"/>
      <c r="T165" s="4"/>
      <c r="U165" s="74"/>
      <c r="V165" s="3"/>
      <c r="W165" s="3"/>
      <c r="X165" s="3"/>
      <c r="Y165" s="3"/>
      <c r="Z165" s="58"/>
      <c r="AA165" s="3"/>
      <c r="AB165" s="3"/>
      <c r="AC165" s="4"/>
      <c r="AD165" s="4"/>
      <c r="AE165" s="4"/>
      <c r="AF165" s="4"/>
      <c r="AG165" s="4"/>
      <c r="AH165" s="4"/>
      <c r="AI165" s="4"/>
    </row>
    <row r="166">
      <c r="A166" s="57"/>
      <c r="B166" s="4"/>
      <c r="C166" s="4"/>
      <c r="D166" s="4"/>
      <c r="E166" s="4"/>
      <c r="F166" s="4"/>
      <c r="G166" s="4"/>
      <c r="H166" s="52"/>
      <c r="I166" s="4"/>
      <c r="J166" s="52"/>
      <c r="K166" s="52"/>
      <c r="L166" s="52"/>
      <c r="M166" s="52"/>
      <c r="N166" s="52"/>
      <c r="O166" s="52"/>
      <c r="P166" s="52"/>
      <c r="Q166" s="52"/>
      <c r="R166" s="4"/>
      <c r="S166" s="4"/>
      <c r="T166" s="4"/>
      <c r="U166" s="74"/>
      <c r="V166" s="3"/>
      <c r="W166" s="3"/>
      <c r="X166" s="3"/>
      <c r="Y166" s="3"/>
      <c r="Z166" s="58"/>
      <c r="AA166" s="3"/>
      <c r="AB166" s="3"/>
      <c r="AC166" s="4"/>
      <c r="AD166" s="4"/>
      <c r="AE166" s="4"/>
      <c r="AF166" s="4"/>
      <c r="AG166" s="4"/>
      <c r="AH166" s="4"/>
      <c r="AI166" s="4"/>
    </row>
    <row r="167">
      <c r="A167" s="57"/>
      <c r="B167" s="4"/>
      <c r="C167" s="4"/>
      <c r="D167" s="4"/>
      <c r="E167" s="4"/>
      <c r="F167" s="4"/>
      <c r="G167" s="4"/>
      <c r="H167" s="52"/>
      <c r="I167" s="4"/>
      <c r="J167" s="52"/>
      <c r="K167" s="52"/>
      <c r="L167" s="52"/>
      <c r="M167" s="52"/>
      <c r="N167" s="52"/>
      <c r="O167" s="52"/>
      <c r="P167" s="52"/>
      <c r="Q167" s="52"/>
      <c r="R167" s="4"/>
      <c r="S167" s="4"/>
      <c r="T167" s="4"/>
      <c r="U167" s="74"/>
      <c r="V167" s="3"/>
      <c r="W167" s="3"/>
      <c r="X167" s="3"/>
      <c r="Y167" s="3"/>
      <c r="Z167" s="58"/>
      <c r="AA167" s="3"/>
      <c r="AB167" s="3"/>
      <c r="AC167" s="4"/>
      <c r="AD167" s="4"/>
      <c r="AE167" s="4"/>
      <c r="AF167" s="4"/>
      <c r="AG167" s="4"/>
      <c r="AH167" s="4"/>
      <c r="AI167" s="4"/>
    </row>
    <row r="168">
      <c r="A168" s="57"/>
      <c r="B168" s="4"/>
      <c r="C168" s="4"/>
      <c r="D168" s="4"/>
      <c r="E168" s="4"/>
      <c r="F168" s="4"/>
      <c r="G168" s="4"/>
      <c r="H168" s="52"/>
      <c r="I168" s="4"/>
      <c r="J168" s="52"/>
      <c r="K168" s="52"/>
      <c r="L168" s="52"/>
      <c r="M168" s="52"/>
      <c r="N168" s="52"/>
      <c r="O168" s="52"/>
      <c r="P168" s="52"/>
      <c r="Q168" s="52"/>
      <c r="R168" s="4"/>
      <c r="S168" s="4"/>
      <c r="T168" s="4"/>
      <c r="U168" s="74"/>
      <c r="V168" s="3"/>
      <c r="W168" s="3"/>
      <c r="X168" s="3"/>
      <c r="Y168" s="3"/>
      <c r="Z168" s="58"/>
      <c r="AA168" s="3"/>
      <c r="AB168" s="3"/>
      <c r="AC168" s="4"/>
      <c r="AD168" s="4"/>
      <c r="AE168" s="4"/>
      <c r="AF168" s="4"/>
      <c r="AG168" s="4"/>
      <c r="AH168" s="4"/>
      <c r="AI168" s="4"/>
    </row>
    <row r="169">
      <c r="A169" s="57"/>
      <c r="B169" s="4"/>
      <c r="C169" s="4"/>
      <c r="D169" s="4"/>
      <c r="E169" s="4"/>
      <c r="F169" s="4"/>
      <c r="G169" s="4"/>
      <c r="H169" s="52"/>
      <c r="I169" s="4"/>
      <c r="J169" s="52"/>
      <c r="K169" s="52"/>
      <c r="L169" s="52"/>
      <c r="M169" s="52"/>
      <c r="N169" s="52"/>
      <c r="O169" s="52"/>
      <c r="P169" s="52"/>
      <c r="Q169" s="52"/>
      <c r="R169" s="4"/>
      <c r="S169" s="4"/>
      <c r="T169" s="4"/>
      <c r="U169" s="74"/>
      <c r="V169" s="3"/>
      <c r="W169" s="3"/>
      <c r="X169" s="3"/>
      <c r="Y169" s="3"/>
      <c r="Z169" s="58"/>
      <c r="AA169" s="3"/>
      <c r="AB169" s="3"/>
      <c r="AC169" s="4"/>
      <c r="AD169" s="4"/>
      <c r="AE169" s="4"/>
      <c r="AF169" s="4"/>
      <c r="AG169" s="4"/>
      <c r="AH169" s="4"/>
      <c r="AI169" s="4"/>
    </row>
    <row r="170">
      <c r="A170" s="57"/>
      <c r="B170" s="4"/>
      <c r="C170" s="4"/>
      <c r="D170" s="4"/>
      <c r="E170" s="4"/>
      <c r="F170" s="4"/>
      <c r="G170" s="4"/>
      <c r="H170" s="52"/>
      <c r="I170" s="4"/>
      <c r="J170" s="52"/>
      <c r="K170" s="52"/>
      <c r="L170" s="52"/>
      <c r="M170" s="52"/>
      <c r="N170" s="52"/>
      <c r="O170" s="52"/>
      <c r="P170" s="52"/>
      <c r="Q170" s="52"/>
      <c r="R170" s="4"/>
      <c r="S170" s="4"/>
      <c r="T170" s="4"/>
      <c r="U170" s="74"/>
      <c r="V170" s="3"/>
      <c r="W170" s="3"/>
      <c r="X170" s="3"/>
      <c r="Y170" s="3"/>
      <c r="Z170" s="58"/>
      <c r="AA170" s="3"/>
      <c r="AB170" s="3"/>
      <c r="AC170" s="4"/>
      <c r="AD170" s="4"/>
      <c r="AE170" s="4"/>
      <c r="AF170" s="4"/>
      <c r="AG170" s="4"/>
      <c r="AH170" s="4"/>
      <c r="AI170" s="4"/>
    </row>
    <row r="171">
      <c r="A171" s="57"/>
      <c r="B171" s="4"/>
      <c r="C171" s="4"/>
      <c r="D171" s="4"/>
      <c r="E171" s="4"/>
      <c r="F171" s="4"/>
      <c r="G171" s="4"/>
      <c r="H171" s="52"/>
      <c r="I171" s="4"/>
      <c r="J171" s="52"/>
      <c r="K171" s="52"/>
      <c r="L171" s="52"/>
      <c r="M171" s="52"/>
      <c r="N171" s="52"/>
      <c r="O171" s="52"/>
      <c r="P171" s="52"/>
      <c r="Q171" s="52"/>
      <c r="R171" s="4"/>
      <c r="S171" s="4"/>
      <c r="T171" s="4"/>
      <c r="U171" s="74"/>
      <c r="V171" s="3"/>
      <c r="W171" s="3"/>
      <c r="X171" s="3"/>
      <c r="Y171" s="3"/>
      <c r="Z171" s="58"/>
      <c r="AA171" s="3"/>
      <c r="AB171" s="3"/>
      <c r="AC171" s="4"/>
      <c r="AD171" s="4"/>
      <c r="AE171" s="4"/>
      <c r="AF171" s="4"/>
      <c r="AG171" s="4"/>
      <c r="AH171" s="4"/>
      <c r="AI171" s="4"/>
    </row>
    <row r="172">
      <c r="A172" s="57"/>
      <c r="B172" s="4"/>
      <c r="C172" s="4"/>
      <c r="D172" s="4"/>
      <c r="E172" s="4"/>
      <c r="F172" s="4"/>
      <c r="G172" s="4"/>
      <c r="H172" s="52"/>
      <c r="I172" s="4"/>
      <c r="J172" s="52"/>
      <c r="K172" s="52"/>
      <c r="L172" s="52"/>
      <c r="M172" s="52"/>
      <c r="N172" s="52"/>
      <c r="O172" s="52"/>
      <c r="P172" s="52"/>
      <c r="Q172" s="52"/>
      <c r="R172" s="4"/>
      <c r="S172" s="4"/>
      <c r="T172" s="4"/>
      <c r="U172" s="74"/>
      <c r="V172" s="3"/>
      <c r="W172" s="3"/>
      <c r="X172" s="3"/>
      <c r="Y172" s="3"/>
      <c r="Z172" s="58"/>
      <c r="AA172" s="3"/>
      <c r="AB172" s="3"/>
      <c r="AC172" s="4"/>
      <c r="AD172" s="4"/>
      <c r="AE172" s="4"/>
      <c r="AF172" s="4"/>
      <c r="AG172" s="4"/>
      <c r="AH172" s="4"/>
      <c r="AI172" s="4"/>
    </row>
    <row r="173">
      <c r="A173" s="57"/>
      <c r="B173" s="4"/>
      <c r="C173" s="4"/>
      <c r="D173" s="4"/>
      <c r="E173" s="4"/>
      <c r="F173" s="4"/>
      <c r="G173" s="4"/>
      <c r="H173" s="52"/>
      <c r="I173" s="4"/>
      <c r="J173" s="52"/>
      <c r="K173" s="52"/>
      <c r="L173" s="52"/>
      <c r="M173" s="52"/>
      <c r="N173" s="52"/>
      <c r="O173" s="52"/>
      <c r="P173" s="52"/>
      <c r="Q173" s="52"/>
      <c r="R173" s="4"/>
      <c r="S173" s="4"/>
      <c r="T173" s="4"/>
      <c r="U173" s="74"/>
      <c r="V173" s="3"/>
      <c r="W173" s="3"/>
      <c r="X173" s="3"/>
      <c r="Y173" s="3"/>
      <c r="Z173" s="58"/>
      <c r="AA173" s="3"/>
      <c r="AB173" s="3"/>
      <c r="AC173" s="4"/>
      <c r="AD173" s="4"/>
      <c r="AE173" s="4"/>
      <c r="AF173" s="4"/>
      <c r="AG173" s="4"/>
      <c r="AH173" s="4"/>
      <c r="AI173" s="4"/>
    </row>
    <row r="174">
      <c r="A174" s="57"/>
      <c r="B174" s="4"/>
      <c r="C174" s="4"/>
      <c r="D174" s="4"/>
      <c r="E174" s="4"/>
      <c r="F174" s="4"/>
      <c r="G174" s="4"/>
      <c r="H174" s="52"/>
      <c r="I174" s="4"/>
      <c r="J174" s="52"/>
      <c r="K174" s="52"/>
      <c r="L174" s="52"/>
      <c r="M174" s="52"/>
      <c r="N174" s="52"/>
      <c r="O174" s="52"/>
      <c r="P174" s="52"/>
      <c r="Q174" s="52"/>
      <c r="R174" s="4"/>
      <c r="S174" s="4"/>
      <c r="T174" s="4"/>
      <c r="U174" s="74"/>
      <c r="V174" s="3"/>
      <c r="W174" s="3"/>
      <c r="X174" s="3"/>
      <c r="Y174" s="3"/>
      <c r="Z174" s="58"/>
      <c r="AA174" s="3"/>
      <c r="AB174" s="3"/>
      <c r="AC174" s="4"/>
      <c r="AD174" s="4"/>
      <c r="AE174" s="4"/>
      <c r="AF174" s="4"/>
      <c r="AG174" s="4"/>
      <c r="AH174" s="4"/>
      <c r="AI174" s="4"/>
    </row>
    <row r="175">
      <c r="A175" s="57"/>
      <c r="B175" s="4"/>
      <c r="C175" s="4"/>
      <c r="D175" s="4"/>
      <c r="E175" s="4"/>
      <c r="F175" s="4"/>
      <c r="G175" s="4"/>
      <c r="H175" s="52"/>
      <c r="I175" s="4"/>
      <c r="J175" s="52"/>
      <c r="K175" s="52"/>
      <c r="L175" s="52"/>
      <c r="M175" s="52"/>
      <c r="N175" s="52"/>
      <c r="O175" s="52"/>
      <c r="P175" s="52"/>
      <c r="Q175" s="52"/>
      <c r="R175" s="4"/>
      <c r="S175" s="4"/>
      <c r="T175" s="4"/>
      <c r="U175" s="74"/>
      <c r="V175" s="3"/>
      <c r="W175" s="3"/>
      <c r="X175" s="3"/>
      <c r="Y175" s="3"/>
      <c r="Z175" s="58"/>
      <c r="AA175" s="3"/>
      <c r="AB175" s="3"/>
      <c r="AC175" s="4"/>
      <c r="AD175" s="4"/>
      <c r="AE175" s="4"/>
      <c r="AF175" s="4"/>
      <c r="AG175" s="4"/>
      <c r="AH175" s="4"/>
      <c r="AI175" s="4"/>
    </row>
    <row r="176">
      <c r="A176" s="57"/>
      <c r="B176" s="4"/>
      <c r="C176" s="4"/>
      <c r="D176" s="4"/>
      <c r="E176" s="4"/>
      <c r="F176" s="4"/>
      <c r="G176" s="4"/>
      <c r="H176" s="52"/>
      <c r="I176" s="4"/>
      <c r="J176" s="52"/>
      <c r="K176" s="52"/>
      <c r="L176" s="52"/>
      <c r="M176" s="52"/>
      <c r="N176" s="52"/>
      <c r="O176" s="52"/>
      <c r="P176" s="52"/>
      <c r="Q176" s="52"/>
      <c r="R176" s="4"/>
      <c r="S176" s="4"/>
      <c r="T176" s="4"/>
      <c r="U176" s="74"/>
      <c r="V176" s="3"/>
      <c r="W176" s="3"/>
      <c r="X176" s="3"/>
      <c r="Y176" s="3"/>
      <c r="Z176" s="58"/>
      <c r="AA176" s="3"/>
      <c r="AB176" s="3"/>
      <c r="AC176" s="4"/>
      <c r="AD176" s="4"/>
      <c r="AE176" s="4"/>
      <c r="AF176" s="4"/>
      <c r="AG176" s="4"/>
      <c r="AH176" s="4"/>
      <c r="AI176" s="4"/>
    </row>
    <row r="177">
      <c r="A177" s="57"/>
      <c r="B177" s="4"/>
      <c r="C177" s="4"/>
      <c r="D177" s="4"/>
      <c r="E177" s="4"/>
      <c r="F177" s="4"/>
      <c r="G177" s="4"/>
      <c r="H177" s="52"/>
      <c r="I177" s="4"/>
      <c r="J177" s="52"/>
      <c r="K177" s="52"/>
      <c r="L177" s="52"/>
      <c r="M177" s="52"/>
      <c r="N177" s="52"/>
      <c r="O177" s="52"/>
      <c r="P177" s="52"/>
      <c r="Q177" s="52"/>
      <c r="R177" s="4"/>
      <c r="S177" s="4"/>
      <c r="T177" s="4"/>
      <c r="U177" s="74"/>
      <c r="V177" s="3"/>
      <c r="W177" s="3"/>
      <c r="X177" s="3"/>
      <c r="Y177" s="3"/>
      <c r="Z177" s="58"/>
      <c r="AA177" s="3"/>
      <c r="AB177" s="3"/>
      <c r="AC177" s="4"/>
      <c r="AD177" s="4"/>
      <c r="AE177" s="4"/>
      <c r="AF177" s="4"/>
      <c r="AG177" s="4"/>
      <c r="AH177" s="4"/>
      <c r="AI177" s="4"/>
    </row>
    <row r="178">
      <c r="A178" s="57"/>
      <c r="B178" s="4"/>
      <c r="C178" s="4"/>
      <c r="D178" s="4"/>
      <c r="E178" s="4"/>
      <c r="F178" s="4"/>
      <c r="G178" s="4"/>
      <c r="H178" s="52"/>
      <c r="I178" s="4"/>
      <c r="J178" s="52"/>
      <c r="K178" s="52"/>
      <c r="L178" s="52"/>
      <c r="M178" s="52"/>
      <c r="N178" s="52"/>
      <c r="O178" s="52"/>
      <c r="P178" s="52"/>
      <c r="Q178" s="52"/>
      <c r="R178" s="4"/>
      <c r="S178" s="4"/>
      <c r="T178" s="4"/>
      <c r="U178" s="74"/>
      <c r="V178" s="3"/>
      <c r="W178" s="3"/>
      <c r="X178" s="3"/>
      <c r="Y178" s="3"/>
      <c r="Z178" s="58"/>
      <c r="AA178" s="3"/>
      <c r="AB178" s="3"/>
      <c r="AC178" s="4"/>
      <c r="AD178" s="4"/>
      <c r="AE178" s="4"/>
      <c r="AF178" s="4"/>
      <c r="AG178" s="4"/>
      <c r="AH178" s="4"/>
      <c r="AI178" s="4"/>
    </row>
    <row r="179">
      <c r="A179" s="57"/>
      <c r="B179" s="4"/>
      <c r="C179" s="4"/>
      <c r="D179" s="4"/>
      <c r="E179" s="4"/>
      <c r="F179" s="4"/>
      <c r="G179" s="4"/>
      <c r="H179" s="52"/>
      <c r="I179" s="4"/>
      <c r="J179" s="52"/>
      <c r="K179" s="52"/>
      <c r="L179" s="52"/>
      <c r="M179" s="52"/>
      <c r="N179" s="52"/>
      <c r="O179" s="52"/>
      <c r="P179" s="52"/>
      <c r="Q179" s="52"/>
      <c r="R179" s="4"/>
      <c r="S179" s="4"/>
      <c r="T179" s="4"/>
      <c r="U179" s="74"/>
      <c r="V179" s="3"/>
      <c r="W179" s="3"/>
      <c r="X179" s="3"/>
      <c r="Y179" s="3"/>
      <c r="Z179" s="58"/>
      <c r="AA179" s="3"/>
      <c r="AB179" s="3"/>
      <c r="AC179" s="4"/>
      <c r="AD179" s="4"/>
      <c r="AE179" s="4"/>
      <c r="AF179" s="4"/>
      <c r="AG179" s="4"/>
      <c r="AH179" s="4"/>
      <c r="AI179" s="4"/>
    </row>
    <row r="180">
      <c r="A180" s="57"/>
      <c r="B180" s="4"/>
      <c r="C180" s="4"/>
      <c r="D180" s="4"/>
      <c r="E180" s="4"/>
      <c r="F180" s="4"/>
      <c r="G180" s="4"/>
      <c r="H180" s="52"/>
      <c r="I180" s="4"/>
      <c r="J180" s="52"/>
      <c r="K180" s="52"/>
      <c r="L180" s="52"/>
      <c r="M180" s="52"/>
      <c r="N180" s="52"/>
      <c r="O180" s="52"/>
      <c r="P180" s="52"/>
      <c r="Q180" s="52"/>
      <c r="R180" s="4"/>
      <c r="S180" s="4"/>
      <c r="T180" s="4"/>
      <c r="U180" s="74"/>
      <c r="V180" s="3"/>
      <c r="W180" s="3"/>
      <c r="X180" s="3"/>
      <c r="Y180" s="3"/>
      <c r="Z180" s="58"/>
      <c r="AA180" s="3"/>
      <c r="AB180" s="3"/>
      <c r="AC180" s="4"/>
      <c r="AD180" s="4"/>
      <c r="AE180" s="4"/>
      <c r="AF180" s="4"/>
      <c r="AG180" s="4"/>
      <c r="AH180" s="4"/>
      <c r="AI180" s="4"/>
    </row>
    <row r="181">
      <c r="A181" s="57"/>
      <c r="B181" s="4"/>
      <c r="C181" s="4"/>
      <c r="D181" s="4"/>
      <c r="E181" s="4"/>
      <c r="F181" s="4"/>
      <c r="G181" s="4"/>
      <c r="H181" s="52"/>
      <c r="I181" s="4"/>
      <c r="J181" s="52"/>
      <c r="K181" s="52"/>
      <c r="L181" s="52"/>
      <c r="M181" s="52"/>
      <c r="N181" s="52"/>
      <c r="O181" s="52"/>
      <c r="P181" s="52"/>
      <c r="Q181" s="52"/>
      <c r="R181" s="4"/>
      <c r="S181" s="4"/>
      <c r="T181" s="4"/>
      <c r="U181" s="74"/>
      <c r="V181" s="3"/>
      <c r="W181" s="3"/>
      <c r="X181" s="3"/>
      <c r="Y181" s="3"/>
      <c r="Z181" s="58"/>
      <c r="AA181" s="3"/>
      <c r="AB181" s="3"/>
      <c r="AC181" s="4"/>
      <c r="AD181" s="4"/>
      <c r="AE181" s="4"/>
      <c r="AF181" s="4"/>
      <c r="AG181" s="4"/>
      <c r="AH181" s="4"/>
      <c r="AI181" s="4"/>
    </row>
    <row r="182">
      <c r="A182" s="57"/>
      <c r="B182" s="4"/>
      <c r="C182" s="4"/>
      <c r="D182" s="4"/>
      <c r="E182" s="4"/>
      <c r="F182" s="4"/>
      <c r="G182" s="4"/>
      <c r="H182" s="52"/>
      <c r="I182" s="4"/>
      <c r="J182" s="52"/>
      <c r="K182" s="52"/>
      <c r="L182" s="52"/>
      <c r="M182" s="52"/>
      <c r="N182" s="52"/>
      <c r="O182" s="52"/>
      <c r="P182" s="52"/>
      <c r="Q182" s="52"/>
      <c r="R182" s="4"/>
      <c r="S182" s="4"/>
      <c r="T182" s="4"/>
      <c r="U182" s="74"/>
      <c r="V182" s="3"/>
      <c r="W182" s="3"/>
      <c r="X182" s="3"/>
      <c r="Y182" s="3"/>
      <c r="Z182" s="58"/>
      <c r="AA182" s="3"/>
      <c r="AB182" s="3"/>
      <c r="AC182" s="4"/>
      <c r="AD182" s="4"/>
      <c r="AE182" s="4"/>
      <c r="AF182" s="4"/>
      <c r="AG182" s="4"/>
      <c r="AH182" s="4"/>
      <c r="AI182" s="4"/>
    </row>
    <row r="183">
      <c r="A183" s="57"/>
      <c r="B183" s="4"/>
      <c r="C183" s="4"/>
      <c r="D183" s="4"/>
      <c r="E183" s="4"/>
      <c r="F183" s="4"/>
      <c r="G183" s="4"/>
      <c r="H183" s="52"/>
      <c r="I183" s="4"/>
      <c r="J183" s="52"/>
      <c r="K183" s="52"/>
      <c r="L183" s="52"/>
      <c r="M183" s="52"/>
      <c r="N183" s="52"/>
      <c r="O183" s="52"/>
      <c r="P183" s="52"/>
      <c r="Q183" s="52"/>
      <c r="R183" s="4"/>
      <c r="S183" s="4"/>
      <c r="T183" s="4"/>
      <c r="U183" s="74"/>
      <c r="V183" s="3"/>
      <c r="W183" s="3"/>
      <c r="X183" s="3"/>
      <c r="Y183" s="3"/>
      <c r="Z183" s="58"/>
      <c r="AA183" s="3"/>
      <c r="AB183" s="3"/>
      <c r="AC183" s="4"/>
      <c r="AD183" s="4"/>
      <c r="AE183" s="4"/>
      <c r="AF183" s="4"/>
      <c r="AG183" s="4"/>
      <c r="AH183" s="4"/>
      <c r="AI183" s="4"/>
    </row>
    <row r="184">
      <c r="A184" s="57"/>
      <c r="B184" s="4"/>
      <c r="C184" s="4"/>
      <c r="D184" s="4"/>
      <c r="E184" s="4"/>
      <c r="F184" s="4"/>
      <c r="G184" s="4"/>
      <c r="H184" s="52"/>
      <c r="I184" s="4"/>
      <c r="J184" s="52"/>
      <c r="K184" s="52"/>
      <c r="L184" s="52"/>
      <c r="M184" s="52"/>
      <c r="N184" s="52"/>
      <c r="O184" s="52"/>
      <c r="P184" s="52"/>
      <c r="Q184" s="52"/>
      <c r="R184" s="4"/>
      <c r="S184" s="4"/>
      <c r="T184" s="4"/>
      <c r="U184" s="74"/>
      <c r="V184" s="3"/>
      <c r="W184" s="3"/>
      <c r="X184" s="3"/>
      <c r="Y184" s="3"/>
      <c r="Z184" s="58"/>
      <c r="AA184" s="3"/>
      <c r="AB184" s="3"/>
      <c r="AC184" s="4"/>
      <c r="AD184" s="4"/>
      <c r="AE184" s="4"/>
      <c r="AF184" s="4"/>
      <c r="AG184" s="4"/>
      <c r="AH184" s="4"/>
      <c r="AI184" s="4"/>
    </row>
    <row r="185">
      <c r="A185" s="57"/>
      <c r="B185" s="4"/>
      <c r="C185" s="4"/>
      <c r="D185" s="4"/>
      <c r="E185" s="4"/>
      <c r="F185" s="4"/>
      <c r="G185" s="4"/>
      <c r="H185" s="52"/>
      <c r="I185" s="4"/>
      <c r="J185" s="52"/>
      <c r="K185" s="52"/>
      <c r="L185" s="52"/>
      <c r="M185" s="52"/>
      <c r="N185" s="52"/>
      <c r="O185" s="52"/>
      <c r="P185" s="52"/>
      <c r="Q185" s="52"/>
      <c r="R185" s="4"/>
      <c r="S185" s="4"/>
      <c r="T185" s="4"/>
      <c r="U185" s="74"/>
      <c r="V185" s="3"/>
      <c r="W185" s="3"/>
      <c r="X185" s="3"/>
      <c r="Y185" s="3"/>
      <c r="Z185" s="58"/>
      <c r="AA185" s="3"/>
      <c r="AB185" s="3"/>
      <c r="AC185" s="4"/>
      <c r="AD185" s="4"/>
      <c r="AE185" s="4"/>
      <c r="AF185" s="4"/>
      <c r="AG185" s="4"/>
      <c r="AH185" s="4"/>
      <c r="AI185" s="4"/>
    </row>
    <row r="186">
      <c r="A186" s="57"/>
      <c r="B186" s="4"/>
      <c r="C186" s="4"/>
      <c r="D186" s="4"/>
      <c r="E186" s="4"/>
      <c r="F186" s="4"/>
      <c r="G186" s="4"/>
      <c r="H186" s="52"/>
      <c r="I186" s="4"/>
      <c r="J186" s="52"/>
      <c r="K186" s="52"/>
      <c r="L186" s="52"/>
      <c r="M186" s="52"/>
      <c r="N186" s="52"/>
      <c r="O186" s="52"/>
      <c r="P186" s="52"/>
      <c r="Q186" s="52"/>
      <c r="R186" s="4"/>
      <c r="S186" s="4"/>
      <c r="T186" s="4"/>
      <c r="U186" s="74"/>
      <c r="V186" s="3"/>
      <c r="W186" s="3"/>
      <c r="X186" s="3"/>
      <c r="Y186" s="3"/>
      <c r="Z186" s="58"/>
      <c r="AA186" s="3"/>
      <c r="AB186" s="3"/>
      <c r="AC186" s="4"/>
      <c r="AD186" s="4"/>
      <c r="AE186" s="4"/>
      <c r="AF186" s="4"/>
      <c r="AG186" s="4"/>
      <c r="AH186" s="4"/>
      <c r="AI186" s="4"/>
    </row>
    <row r="187">
      <c r="A187" s="57"/>
      <c r="B187" s="4"/>
      <c r="C187" s="4"/>
      <c r="D187" s="4"/>
      <c r="E187" s="4"/>
      <c r="F187" s="4"/>
      <c r="G187" s="4"/>
      <c r="H187" s="52"/>
      <c r="I187" s="4"/>
      <c r="J187" s="52"/>
      <c r="K187" s="52"/>
      <c r="L187" s="52"/>
      <c r="M187" s="52"/>
      <c r="N187" s="52"/>
      <c r="O187" s="52"/>
      <c r="P187" s="52"/>
      <c r="Q187" s="52"/>
      <c r="R187" s="4"/>
      <c r="S187" s="4"/>
      <c r="T187" s="4"/>
      <c r="U187" s="74"/>
      <c r="V187" s="3"/>
      <c r="W187" s="3"/>
      <c r="X187" s="3"/>
      <c r="Y187" s="3"/>
      <c r="Z187" s="58"/>
      <c r="AA187" s="3"/>
      <c r="AB187" s="3"/>
      <c r="AC187" s="4"/>
      <c r="AD187" s="4"/>
      <c r="AE187" s="4"/>
      <c r="AF187" s="4"/>
      <c r="AG187" s="4"/>
      <c r="AH187" s="4"/>
      <c r="AI187" s="4"/>
    </row>
    <row r="188">
      <c r="A188" s="57"/>
      <c r="B188" s="4"/>
      <c r="C188" s="4"/>
      <c r="D188" s="4"/>
      <c r="E188" s="4"/>
      <c r="F188" s="4"/>
      <c r="G188" s="4"/>
      <c r="H188" s="52"/>
      <c r="I188" s="4"/>
      <c r="J188" s="52"/>
      <c r="K188" s="52"/>
      <c r="L188" s="52"/>
      <c r="M188" s="52"/>
      <c r="N188" s="52"/>
      <c r="O188" s="52"/>
      <c r="P188" s="52"/>
      <c r="Q188" s="52"/>
      <c r="R188" s="4"/>
      <c r="S188" s="4"/>
      <c r="T188" s="4"/>
      <c r="U188" s="74"/>
      <c r="V188" s="3"/>
      <c r="W188" s="3"/>
      <c r="X188" s="3"/>
      <c r="Y188" s="3"/>
      <c r="Z188" s="58"/>
      <c r="AA188" s="3"/>
      <c r="AB188" s="3"/>
      <c r="AC188" s="4"/>
      <c r="AD188" s="4"/>
      <c r="AE188" s="4"/>
      <c r="AF188" s="4"/>
      <c r="AG188" s="4"/>
      <c r="AH188" s="4"/>
      <c r="AI188" s="4"/>
    </row>
    <row r="189">
      <c r="A189" s="57"/>
      <c r="B189" s="4"/>
      <c r="C189" s="4"/>
      <c r="D189" s="4"/>
      <c r="E189" s="4"/>
      <c r="F189" s="4"/>
      <c r="G189" s="4"/>
      <c r="H189" s="52"/>
      <c r="I189" s="4"/>
      <c r="J189" s="52"/>
      <c r="K189" s="52"/>
      <c r="L189" s="52"/>
      <c r="M189" s="52"/>
      <c r="N189" s="52"/>
      <c r="O189" s="52"/>
      <c r="P189" s="52"/>
      <c r="Q189" s="52"/>
      <c r="R189" s="4"/>
      <c r="S189" s="4"/>
      <c r="T189" s="4"/>
      <c r="U189" s="74"/>
      <c r="V189" s="3"/>
      <c r="W189" s="3"/>
      <c r="X189" s="3"/>
      <c r="Y189" s="3"/>
      <c r="Z189" s="58"/>
      <c r="AA189" s="3"/>
      <c r="AB189" s="3"/>
      <c r="AC189" s="4"/>
      <c r="AD189" s="4"/>
      <c r="AE189" s="4"/>
      <c r="AF189" s="4"/>
      <c r="AG189" s="4"/>
      <c r="AH189" s="4"/>
      <c r="AI189" s="4"/>
    </row>
    <row r="190">
      <c r="A190" s="57"/>
      <c r="B190" s="4"/>
      <c r="C190" s="4"/>
      <c r="D190" s="4"/>
      <c r="E190" s="4"/>
      <c r="F190" s="4"/>
      <c r="G190" s="4"/>
      <c r="H190" s="52"/>
      <c r="I190" s="4"/>
      <c r="J190" s="52"/>
      <c r="K190" s="52"/>
      <c r="L190" s="52"/>
      <c r="M190" s="52"/>
      <c r="N190" s="52"/>
      <c r="O190" s="52"/>
      <c r="P190" s="52"/>
      <c r="Q190" s="52"/>
      <c r="R190" s="4"/>
      <c r="S190" s="4"/>
      <c r="T190" s="4"/>
      <c r="U190" s="74"/>
      <c r="V190" s="3"/>
      <c r="W190" s="3"/>
      <c r="X190" s="3"/>
      <c r="Y190" s="3"/>
      <c r="Z190" s="58"/>
      <c r="AA190" s="3"/>
      <c r="AB190" s="3"/>
      <c r="AC190" s="4"/>
      <c r="AD190" s="4"/>
      <c r="AE190" s="4"/>
      <c r="AF190" s="4"/>
      <c r="AG190" s="4"/>
      <c r="AH190" s="4"/>
      <c r="AI190" s="4"/>
    </row>
    <row r="191">
      <c r="A191" s="57"/>
      <c r="B191" s="4"/>
      <c r="C191" s="4"/>
      <c r="D191" s="4"/>
      <c r="E191" s="4"/>
      <c r="F191" s="4"/>
      <c r="G191" s="4"/>
      <c r="H191" s="52"/>
      <c r="I191" s="4"/>
      <c r="J191" s="52"/>
      <c r="K191" s="52"/>
      <c r="L191" s="52"/>
      <c r="M191" s="52"/>
      <c r="N191" s="52"/>
      <c r="O191" s="52"/>
      <c r="P191" s="52"/>
      <c r="Q191" s="52"/>
      <c r="R191" s="4"/>
      <c r="S191" s="4"/>
      <c r="T191" s="4"/>
      <c r="U191" s="74"/>
      <c r="V191" s="3"/>
      <c r="W191" s="3"/>
      <c r="X191" s="3"/>
      <c r="Y191" s="3"/>
      <c r="Z191" s="58"/>
      <c r="AA191" s="3"/>
      <c r="AB191" s="3"/>
      <c r="AC191" s="4"/>
      <c r="AD191" s="4"/>
      <c r="AE191" s="4"/>
      <c r="AF191" s="4"/>
      <c r="AG191" s="4"/>
      <c r="AH191" s="4"/>
      <c r="AI191" s="4"/>
    </row>
    <row r="192">
      <c r="A192" s="57"/>
      <c r="B192" s="4"/>
      <c r="C192" s="4"/>
      <c r="D192" s="4"/>
      <c r="E192" s="4"/>
      <c r="F192" s="4"/>
      <c r="G192" s="4"/>
      <c r="H192" s="52"/>
      <c r="I192" s="4"/>
      <c r="J192" s="52"/>
      <c r="K192" s="52"/>
      <c r="L192" s="52"/>
      <c r="M192" s="52"/>
      <c r="N192" s="52"/>
      <c r="O192" s="52"/>
      <c r="P192" s="52"/>
      <c r="Q192" s="52"/>
      <c r="R192" s="4"/>
      <c r="S192" s="4"/>
      <c r="T192" s="4"/>
      <c r="U192" s="74"/>
      <c r="V192" s="3"/>
      <c r="W192" s="3"/>
      <c r="X192" s="3"/>
      <c r="Y192" s="3"/>
      <c r="Z192" s="58"/>
      <c r="AA192" s="3"/>
      <c r="AB192" s="3"/>
      <c r="AC192" s="4"/>
      <c r="AD192" s="4"/>
      <c r="AE192" s="4"/>
      <c r="AF192" s="4"/>
      <c r="AG192" s="4"/>
      <c r="AH192" s="4"/>
      <c r="AI192" s="4"/>
    </row>
    <row r="193">
      <c r="A193" s="57"/>
      <c r="B193" s="4"/>
      <c r="C193" s="4"/>
      <c r="D193" s="4"/>
      <c r="E193" s="4"/>
      <c r="F193" s="4"/>
      <c r="G193" s="4"/>
      <c r="H193" s="52"/>
      <c r="I193" s="4"/>
      <c r="J193" s="52"/>
      <c r="K193" s="52"/>
      <c r="L193" s="52"/>
      <c r="M193" s="52"/>
      <c r="N193" s="52"/>
      <c r="O193" s="52"/>
      <c r="P193" s="52"/>
      <c r="Q193" s="52"/>
      <c r="R193" s="4"/>
      <c r="S193" s="4"/>
      <c r="T193" s="4"/>
      <c r="U193" s="74"/>
      <c r="V193" s="3"/>
      <c r="W193" s="3"/>
      <c r="X193" s="3"/>
      <c r="Y193" s="3"/>
      <c r="Z193" s="58"/>
      <c r="AA193" s="3"/>
      <c r="AB193" s="3"/>
      <c r="AC193" s="4"/>
      <c r="AD193" s="4"/>
      <c r="AE193" s="4"/>
      <c r="AF193" s="4"/>
      <c r="AG193" s="4"/>
      <c r="AH193" s="4"/>
      <c r="AI193" s="4"/>
    </row>
    <row r="194">
      <c r="A194" s="57"/>
      <c r="B194" s="4"/>
      <c r="C194" s="4"/>
      <c r="D194" s="4"/>
      <c r="E194" s="4"/>
      <c r="F194" s="4"/>
      <c r="G194" s="4"/>
      <c r="H194" s="52"/>
      <c r="I194" s="4"/>
      <c r="J194" s="52"/>
      <c r="K194" s="52"/>
      <c r="L194" s="52"/>
      <c r="M194" s="52"/>
      <c r="N194" s="52"/>
      <c r="O194" s="52"/>
      <c r="P194" s="52"/>
      <c r="Q194" s="52"/>
      <c r="R194" s="4"/>
      <c r="S194" s="4"/>
      <c r="T194" s="4"/>
      <c r="U194" s="74"/>
      <c r="V194" s="3"/>
      <c r="W194" s="3"/>
      <c r="X194" s="3"/>
      <c r="Y194" s="3"/>
      <c r="Z194" s="58"/>
      <c r="AA194" s="3"/>
      <c r="AB194" s="3"/>
      <c r="AC194" s="4"/>
      <c r="AD194" s="4"/>
      <c r="AE194" s="4"/>
      <c r="AF194" s="4"/>
      <c r="AG194" s="4"/>
      <c r="AH194" s="4"/>
      <c r="AI194" s="4"/>
    </row>
    <row r="195">
      <c r="A195" s="57"/>
      <c r="B195" s="4"/>
      <c r="C195" s="4"/>
      <c r="D195" s="4"/>
      <c r="E195" s="4"/>
      <c r="F195" s="4"/>
      <c r="G195" s="4"/>
      <c r="H195" s="52"/>
      <c r="I195" s="4"/>
      <c r="J195" s="52"/>
      <c r="K195" s="52"/>
      <c r="L195" s="52"/>
      <c r="M195" s="52"/>
      <c r="N195" s="52"/>
      <c r="O195" s="52"/>
      <c r="P195" s="52"/>
      <c r="Q195" s="52"/>
      <c r="R195" s="4"/>
      <c r="S195" s="4"/>
      <c r="T195" s="4"/>
      <c r="U195" s="74"/>
      <c r="V195" s="3"/>
      <c r="W195" s="3"/>
      <c r="X195" s="3"/>
      <c r="Y195" s="3"/>
      <c r="Z195" s="58"/>
      <c r="AA195" s="3"/>
      <c r="AB195" s="3"/>
      <c r="AC195" s="4"/>
      <c r="AD195" s="4"/>
      <c r="AE195" s="4"/>
      <c r="AF195" s="4"/>
      <c r="AG195" s="4"/>
      <c r="AH195" s="4"/>
      <c r="AI195" s="4"/>
    </row>
    <row r="196">
      <c r="A196" s="57"/>
      <c r="B196" s="4"/>
      <c r="C196" s="4"/>
      <c r="D196" s="4"/>
      <c r="E196" s="4"/>
      <c r="F196" s="4"/>
      <c r="G196" s="4"/>
      <c r="H196" s="52"/>
      <c r="I196" s="4"/>
      <c r="J196" s="52"/>
      <c r="K196" s="52"/>
      <c r="L196" s="52"/>
      <c r="M196" s="52"/>
      <c r="N196" s="52"/>
      <c r="O196" s="52"/>
      <c r="P196" s="52"/>
      <c r="Q196" s="52"/>
      <c r="R196" s="4"/>
      <c r="S196" s="4"/>
      <c r="T196" s="4"/>
      <c r="U196" s="74"/>
      <c r="V196" s="3"/>
      <c r="W196" s="3"/>
      <c r="X196" s="3"/>
      <c r="Y196" s="3"/>
      <c r="Z196" s="58"/>
      <c r="AA196" s="3"/>
      <c r="AB196" s="3"/>
      <c r="AC196" s="4"/>
      <c r="AD196" s="4"/>
      <c r="AE196" s="4"/>
      <c r="AF196" s="4"/>
      <c r="AG196" s="4"/>
      <c r="AH196" s="4"/>
      <c r="AI196" s="4"/>
    </row>
    <row r="197">
      <c r="A197" s="57"/>
      <c r="B197" s="4"/>
      <c r="C197" s="4"/>
      <c r="D197" s="4"/>
      <c r="E197" s="4"/>
      <c r="F197" s="4"/>
      <c r="G197" s="4"/>
      <c r="H197" s="52"/>
      <c r="I197" s="4"/>
      <c r="J197" s="52"/>
      <c r="K197" s="52"/>
      <c r="L197" s="52"/>
      <c r="M197" s="52"/>
      <c r="N197" s="52"/>
      <c r="O197" s="52"/>
      <c r="P197" s="52"/>
      <c r="Q197" s="52"/>
      <c r="R197" s="4"/>
      <c r="S197" s="4"/>
      <c r="T197" s="4"/>
      <c r="U197" s="74"/>
      <c r="V197" s="3"/>
      <c r="W197" s="3"/>
      <c r="X197" s="3"/>
      <c r="Y197" s="3"/>
      <c r="Z197" s="58"/>
      <c r="AA197" s="3"/>
      <c r="AB197" s="3"/>
      <c r="AC197" s="4"/>
      <c r="AD197" s="4"/>
      <c r="AE197" s="4"/>
      <c r="AF197" s="4"/>
      <c r="AG197" s="4"/>
      <c r="AH197" s="4"/>
      <c r="AI197" s="4"/>
    </row>
    <row r="198">
      <c r="A198" s="57"/>
      <c r="B198" s="4"/>
      <c r="C198" s="4"/>
      <c r="D198" s="4"/>
      <c r="E198" s="4"/>
      <c r="F198" s="4"/>
      <c r="G198" s="4"/>
      <c r="H198" s="52"/>
      <c r="I198" s="4"/>
      <c r="J198" s="52"/>
      <c r="K198" s="52"/>
      <c r="L198" s="52"/>
      <c r="M198" s="52"/>
      <c r="N198" s="52"/>
      <c r="O198" s="52"/>
      <c r="P198" s="52"/>
      <c r="Q198" s="52"/>
      <c r="R198" s="4"/>
      <c r="S198" s="4"/>
      <c r="T198" s="4"/>
      <c r="U198" s="74"/>
      <c r="V198" s="3"/>
      <c r="W198" s="3"/>
      <c r="X198" s="3"/>
      <c r="Y198" s="3"/>
      <c r="Z198" s="58"/>
      <c r="AA198" s="3"/>
      <c r="AB198" s="3"/>
      <c r="AC198" s="4"/>
      <c r="AD198" s="4"/>
      <c r="AE198" s="4"/>
      <c r="AF198" s="4"/>
      <c r="AG198" s="4"/>
      <c r="AH198" s="4"/>
      <c r="AI198" s="4"/>
    </row>
    <row r="199">
      <c r="A199" s="57"/>
      <c r="B199" s="4"/>
      <c r="C199" s="4"/>
      <c r="D199" s="4"/>
      <c r="E199" s="4"/>
      <c r="F199" s="4"/>
      <c r="G199" s="4"/>
      <c r="H199" s="52"/>
      <c r="I199" s="4"/>
      <c r="J199" s="52"/>
      <c r="K199" s="52"/>
      <c r="L199" s="52"/>
      <c r="M199" s="52"/>
      <c r="N199" s="52"/>
      <c r="O199" s="52"/>
      <c r="P199" s="52"/>
      <c r="Q199" s="52"/>
      <c r="R199" s="4"/>
      <c r="S199" s="4"/>
      <c r="T199" s="4"/>
      <c r="U199" s="74"/>
      <c r="V199" s="3"/>
      <c r="W199" s="3"/>
      <c r="X199" s="3"/>
      <c r="Y199" s="3"/>
      <c r="Z199" s="58"/>
      <c r="AA199" s="3"/>
      <c r="AB199" s="3"/>
      <c r="AC199" s="4"/>
      <c r="AD199" s="4"/>
      <c r="AE199" s="4"/>
      <c r="AF199" s="4"/>
      <c r="AG199" s="4"/>
      <c r="AH199" s="4"/>
      <c r="AI199" s="4"/>
    </row>
    <row r="200">
      <c r="A200" s="57"/>
      <c r="B200" s="4"/>
      <c r="C200" s="4"/>
      <c r="D200" s="4"/>
      <c r="E200" s="4"/>
      <c r="F200" s="4"/>
      <c r="G200" s="4"/>
      <c r="H200" s="52"/>
      <c r="I200" s="4"/>
      <c r="J200" s="52"/>
      <c r="K200" s="52"/>
      <c r="L200" s="52"/>
      <c r="M200" s="52"/>
      <c r="N200" s="52"/>
      <c r="O200" s="52"/>
      <c r="P200" s="52"/>
      <c r="Q200" s="52"/>
      <c r="R200" s="4"/>
      <c r="S200" s="4"/>
      <c r="T200" s="4"/>
      <c r="U200" s="74"/>
      <c r="V200" s="3"/>
      <c r="W200" s="3"/>
      <c r="X200" s="3"/>
      <c r="Y200" s="3"/>
      <c r="Z200" s="58"/>
      <c r="AA200" s="3"/>
      <c r="AB200" s="3"/>
      <c r="AC200" s="4"/>
      <c r="AD200" s="4"/>
      <c r="AE200" s="4"/>
      <c r="AF200" s="4"/>
      <c r="AG200" s="4"/>
      <c r="AH200" s="4"/>
      <c r="AI200" s="4"/>
    </row>
    <row r="201">
      <c r="A201" s="57"/>
      <c r="B201" s="4"/>
      <c r="C201" s="4"/>
      <c r="D201" s="4"/>
      <c r="E201" s="4"/>
      <c r="F201" s="4"/>
      <c r="G201" s="4"/>
      <c r="H201" s="52"/>
      <c r="I201" s="4"/>
      <c r="J201" s="52"/>
      <c r="K201" s="52"/>
      <c r="L201" s="52"/>
      <c r="M201" s="52"/>
      <c r="N201" s="52"/>
      <c r="O201" s="52"/>
      <c r="P201" s="52"/>
      <c r="Q201" s="52"/>
      <c r="R201" s="4"/>
      <c r="S201" s="4"/>
      <c r="T201" s="4"/>
      <c r="U201" s="74"/>
      <c r="V201" s="3"/>
      <c r="W201" s="3"/>
      <c r="X201" s="3"/>
      <c r="Y201" s="3"/>
      <c r="Z201" s="58"/>
      <c r="AA201" s="3"/>
      <c r="AB201" s="3"/>
      <c r="AC201" s="4"/>
      <c r="AD201" s="4"/>
      <c r="AE201" s="4"/>
      <c r="AF201" s="4"/>
      <c r="AG201" s="4"/>
      <c r="AH201" s="4"/>
      <c r="AI201" s="4"/>
    </row>
    <row r="202">
      <c r="A202" s="57"/>
      <c r="B202" s="4"/>
      <c r="C202" s="4"/>
      <c r="D202" s="4"/>
      <c r="E202" s="4"/>
      <c r="F202" s="4"/>
      <c r="G202" s="4"/>
      <c r="H202" s="52"/>
      <c r="I202" s="4"/>
      <c r="J202" s="52"/>
      <c r="K202" s="52"/>
      <c r="L202" s="52"/>
      <c r="M202" s="52"/>
      <c r="N202" s="52"/>
      <c r="O202" s="52"/>
      <c r="P202" s="52"/>
      <c r="Q202" s="52"/>
      <c r="R202" s="4"/>
      <c r="S202" s="4"/>
      <c r="T202" s="4"/>
      <c r="U202" s="74"/>
      <c r="V202" s="3"/>
      <c r="W202" s="3"/>
      <c r="X202" s="3"/>
      <c r="Y202" s="3"/>
      <c r="Z202" s="58"/>
      <c r="AA202" s="3"/>
      <c r="AB202" s="3"/>
      <c r="AC202" s="4"/>
      <c r="AD202" s="4"/>
      <c r="AE202" s="4"/>
      <c r="AF202" s="4"/>
      <c r="AG202" s="4"/>
      <c r="AH202" s="4"/>
      <c r="AI202" s="4"/>
    </row>
    <row r="203">
      <c r="A203" s="57"/>
      <c r="B203" s="4"/>
      <c r="C203" s="4"/>
      <c r="D203" s="4"/>
      <c r="E203" s="4"/>
      <c r="F203" s="4"/>
      <c r="G203" s="4"/>
      <c r="H203" s="52"/>
      <c r="I203" s="4"/>
      <c r="J203" s="52"/>
      <c r="K203" s="52"/>
      <c r="L203" s="52"/>
      <c r="M203" s="52"/>
      <c r="N203" s="52"/>
      <c r="O203" s="52"/>
      <c r="P203" s="52"/>
      <c r="Q203" s="52"/>
      <c r="R203" s="4"/>
      <c r="S203" s="4"/>
      <c r="T203" s="4"/>
      <c r="U203" s="74"/>
      <c r="V203" s="3"/>
      <c r="W203" s="3"/>
      <c r="X203" s="3"/>
      <c r="Y203" s="3"/>
      <c r="Z203" s="58"/>
      <c r="AA203" s="3"/>
      <c r="AB203" s="3"/>
      <c r="AC203" s="4"/>
      <c r="AD203" s="4"/>
      <c r="AE203" s="4"/>
      <c r="AF203" s="4"/>
      <c r="AG203" s="4"/>
      <c r="AH203" s="4"/>
      <c r="AI203" s="4"/>
    </row>
    <row r="204">
      <c r="A204" s="57"/>
      <c r="B204" s="4"/>
      <c r="C204" s="4"/>
      <c r="D204" s="4"/>
      <c r="E204" s="4"/>
      <c r="F204" s="4"/>
      <c r="G204" s="4"/>
      <c r="H204" s="52"/>
      <c r="I204" s="4"/>
      <c r="J204" s="52"/>
      <c r="K204" s="52"/>
      <c r="L204" s="52"/>
      <c r="M204" s="52"/>
      <c r="N204" s="52"/>
      <c r="O204" s="52"/>
      <c r="P204" s="52"/>
      <c r="Q204" s="52"/>
      <c r="R204" s="4"/>
      <c r="S204" s="4"/>
      <c r="T204" s="4"/>
      <c r="U204" s="74"/>
      <c r="V204" s="3"/>
      <c r="W204" s="3"/>
      <c r="X204" s="3"/>
      <c r="Y204" s="3"/>
      <c r="Z204" s="58"/>
      <c r="AA204" s="3"/>
      <c r="AB204" s="3"/>
      <c r="AC204" s="4"/>
      <c r="AD204" s="4"/>
      <c r="AE204" s="4"/>
      <c r="AF204" s="4"/>
      <c r="AG204" s="4"/>
      <c r="AH204" s="4"/>
      <c r="AI204" s="4"/>
    </row>
    <row r="205">
      <c r="A205" s="57"/>
      <c r="B205" s="4"/>
      <c r="C205" s="4"/>
      <c r="D205" s="4"/>
      <c r="E205" s="4"/>
      <c r="F205" s="4"/>
      <c r="G205" s="4"/>
      <c r="H205" s="52"/>
      <c r="I205" s="4"/>
      <c r="J205" s="52"/>
      <c r="K205" s="52"/>
      <c r="L205" s="52"/>
      <c r="M205" s="52"/>
      <c r="N205" s="52"/>
      <c r="O205" s="52"/>
      <c r="P205" s="52"/>
      <c r="Q205" s="52"/>
      <c r="R205" s="4"/>
      <c r="S205" s="4"/>
      <c r="T205" s="4"/>
      <c r="U205" s="74"/>
      <c r="V205" s="3"/>
      <c r="W205" s="3"/>
      <c r="X205" s="3"/>
      <c r="Y205" s="3"/>
      <c r="Z205" s="58"/>
      <c r="AA205" s="3"/>
      <c r="AB205" s="3"/>
      <c r="AC205" s="4"/>
      <c r="AD205" s="4"/>
      <c r="AE205" s="4"/>
      <c r="AF205" s="4"/>
      <c r="AG205" s="4"/>
      <c r="AH205" s="4"/>
      <c r="AI205" s="4"/>
    </row>
    <row r="206">
      <c r="A206" s="57"/>
      <c r="B206" s="4"/>
      <c r="C206" s="4"/>
      <c r="D206" s="4"/>
      <c r="E206" s="4"/>
      <c r="F206" s="4"/>
      <c r="G206" s="4"/>
      <c r="H206" s="52"/>
      <c r="I206" s="4"/>
      <c r="J206" s="52"/>
      <c r="K206" s="52"/>
      <c r="L206" s="52"/>
      <c r="M206" s="52"/>
      <c r="N206" s="52"/>
      <c r="O206" s="52"/>
      <c r="P206" s="52"/>
      <c r="Q206" s="52"/>
      <c r="R206" s="4"/>
      <c r="S206" s="4"/>
      <c r="T206" s="4"/>
      <c r="U206" s="74"/>
      <c r="V206" s="3"/>
      <c r="W206" s="3"/>
      <c r="X206" s="3"/>
      <c r="Y206" s="3"/>
      <c r="Z206" s="58"/>
      <c r="AA206" s="3"/>
      <c r="AB206" s="3"/>
      <c r="AC206" s="4"/>
      <c r="AD206" s="4"/>
      <c r="AE206" s="4"/>
      <c r="AF206" s="4"/>
      <c r="AG206" s="4"/>
      <c r="AH206" s="4"/>
      <c r="AI206" s="4"/>
    </row>
    <row r="207">
      <c r="A207" s="57"/>
      <c r="B207" s="4"/>
      <c r="C207" s="4"/>
      <c r="D207" s="4"/>
      <c r="E207" s="4"/>
      <c r="F207" s="4"/>
      <c r="G207" s="4"/>
      <c r="H207" s="52"/>
      <c r="I207" s="4"/>
      <c r="J207" s="52"/>
      <c r="K207" s="52"/>
      <c r="L207" s="52"/>
      <c r="M207" s="52"/>
      <c r="N207" s="52"/>
      <c r="O207" s="52"/>
      <c r="P207" s="52"/>
      <c r="Q207" s="52"/>
      <c r="R207" s="4"/>
      <c r="S207" s="4"/>
      <c r="T207" s="4"/>
      <c r="U207" s="74"/>
      <c r="V207" s="3"/>
      <c r="W207" s="3"/>
      <c r="X207" s="3"/>
      <c r="Y207" s="3"/>
      <c r="Z207" s="58"/>
      <c r="AA207" s="3"/>
      <c r="AB207" s="3"/>
      <c r="AC207" s="4"/>
      <c r="AD207" s="4"/>
      <c r="AE207" s="4"/>
      <c r="AF207" s="4"/>
      <c r="AG207" s="4"/>
      <c r="AH207" s="4"/>
      <c r="AI207" s="4"/>
    </row>
    <row r="208">
      <c r="A208" s="57"/>
      <c r="B208" s="4"/>
      <c r="C208" s="4"/>
      <c r="D208" s="4"/>
      <c r="E208" s="4"/>
      <c r="F208" s="4"/>
      <c r="G208" s="4"/>
      <c r="H208" s="52"/>
      <c r="I208" s="4"/>
      <c r="J208" s="52"/>
      <c r="K208" s="52"/>
      <c r="L208" s="52"/>
      <c r="M208" s="52"/>
      <c r="N208" s="52"/>
      <c r="O208" s="52"/>
      <c r="P208" s="52"/>
      <c r="Q208" s="52"/>
      <c r="R208" s="4"/>
      <c r="S208" s="4"/>
      <c r="T208" s="4"/>
      <c r="U208" s="74"/>
      <c r="V208" s="3"/>
      <c r="W208" s="3"/>
      <c r="X208" s="3"/>
      <c r="Y208" s="3"/>
      <c r="Z208" s="58"/>
      <c r="AA208" s="3"/>
      <c r="AB208" s="3"/>
      <c r="AC208" s="4"/>
      <c r="AD208" s="4"/>
      <c r="AE208" s="4"/>
      <c r="AF208" s="4"/>
      <c r="AG208" s="4"/>
      <c r="AH208" s="4"/>
      <c r="AI208" s="4"/>
    </row>
    <row r="209">
      <c r="A209" s="57"/>
      <c r="B209" s="4"/>
      <c r="C209" s="4"/>
      <c r="D209" s="4"/>
      <c r="E209" s="4"/>
      <c r="F209" s="4"/>
      <c r="G209" s="4"/>
      <c r="H209" s="52"/>
      <c r="I209" s="4"/>
      <c r="J209" s="52"/>
      <c r="K209" s="52"/>
      <c r="L209" s="52"/>
      <c r="M209" s="52"/>
      <c r="N209" s="52"/>
      <c r="O209" s="52"/>
      <c r="P209" s="52"/>
      <c r="Q209" s="52"/>
      <c r="R209" s="4"/>
      <c r="S209" s="4"/>
      <c r="T209" s="4"/>
      <c r="U209" s="74"/>
      <c r="V209" s="3"/>
      <c r="W209" s="3"/>
      <c r="X209" s="3"/>
      <c r="Y209" s="3"/>
      <c r="Z209" s="58"/>
      <c r="AA209" s="3"/>
      <c r="AB209" s="3"/>
      <c r="AC209" s="4"/>
      <c r="AD209" s="4"/>
      <c r="AE209" s="4"/>
      <c r="AF209" s="4"/>
      <c r="AG209" s="4"/>
      <c r="AH209" s="4"/>
      <c r="AI209" s="4"/>
    </row>
    <row r="210">
      <c r="A210" s="57"/>
      <c r="B210" s="4"/>
      <c r="C210" s="4"/>
      <c r="D210" s="4"/>
      <c r="E210" s="4"/>
      <c r="F210" s="4"/>
      <c r="G210" s="4"/>
      <c r="H210" s="52"/>
      <c r="I210" s="4"/>
      <c r="J210" s="52"/>
      <c r="K210" s="52"/>
      <c r="L210" s="52"/>
      <c r="M210" s="52"/>
      <c r="N210" s="52"/>
      <c r="O210" s="52"/>
      <c r="P210" s="52"/>
      <c r="Q210" s="52"/>
      <c r="R210" s="4"/>
      <c r="S210" s="4"/>
      <c r="T210" s="4"/>
      <c r="U210" s="74"/>
      <c r="V210" s="3"/>
      <c r="W210" s="3"/>
      <c r="X210" s="3"/>
      <c r="Y210" s="3"/>
      <c r="Z210" s="58"/>
      <c r="AA210" s="3"/>
      <c r="AB210" s="3"/>
      <c r="AC210" s="4"/>
      <c r="AD210" s="4"/>
      <c r="AE210" s="4"/>
      <c r="AF210" s="4"/>
      <c r="AG210" s="4"/>
      <c r="AH210" s="4"/>
      <c r="AI210" s="4"/>
    </row>
    <row r="211">
      <c r="A211" s="57"/>
      <c r="B211" s="4"/>
      <c r="C211" s="4"/>
      <c r="D211" s="4"/>
      <c r="E211" s="4"/>
      <c r="F211" s="4"/>
      <c r="G211" s="4"/>
      <c r="H211" s="52"/>
      <c r="I211" s="4"/>
      <c r="J211" s="52"/>
      <c r="K211" s="52"/>
      <c r="L211" s="52"/>
      <c r="M211" s="52"/>
      <c r="N211" s="52"/>
      <c r="O211" s="52"/>
      <c r="P211" s="52"/>
      <c r="Q211" s="52"/>
      <c r="R211" s="4"/>
      <c r="S211" s="4"/>
      <c r="T211" s="4"/>
      <c r="U211" s="74"/>
      <c r="V211" s="3"/>
      <c r="W211" s="3"/>
      <c r="X211" s="3"/>
      <c r="Y211" s="3"/>
      <c r="Z211" s="58"/>
      <c r="AA211" s="3"/>
      <c r="AB211" s="3"/>
      <c r="AC211" s="4"/>
      <c r="AD211" s="4"/>
      <c r="AE211" s="4"/>
      <c r="AF211" s="4"/>
      <c r="AG211" s="4"/>
      <c r="AH211" s="4"/>
      <c r="AI211" s="4"/>
    </row>
    <row r="212">
      <c r="A212" s="57"/>
      <c r="B212" s="4"/>
      <c r="C212" s="4"/>
      <c r="D212" s="4"/>
      <c r="E212" s="4"/>
      <c r="F212" s="4"/>
      <c r="G212" s="4"/>
      <c r="H212" s="52"/>
      <c r="I212" s="4"/>
      <c r="J212" s="52"/>
      <c r="K212" s="52"/>
      <c r="L212" s="52"/>
      <c r="M212" s="52"/>
      <c r="N212" s="52"/>
      <c r="O212" s="52"/>
      <c r="P212" s="52"/>
      <c r="Q212" s="52"/>
      <c r="R212" s="4"/>
      <c r="S212" s="4"/>
      <c r="T212" s="4"/>
      <c r="U212" s="74"/>
      <c r="V212" s="3"/>
      <c r="W212" s="3"/>
      <c r="X212" s="3"/>
      <c r="Y212" s="3"/>
      <c r="Z212" s="58"/>
      <c r="AA212" s="3"/>
      <c r="AB212" s="3"/>
      <c r="AC212" s="4"/>
      <c r="AD212" s="4"/>
      <c r="AE212" s="4"/>
      <c r="AF212" s="4"/>
      <c r="AG212" s="4"/>
      <c r="AH212" s="4"/>
      <c r="AI212" s="4"/>
    </row>
    <row r="213">
      <c r="A213" s="57"/>
      <c r="B213" s="4"/>
      <c r="C213" s="4"/>
      <c r="D213" s="4"/>
      <c r="E213" s="4"/>
      <c r="F213" s="4"/>
      <c r="G213" s="4"/>
      <c r="H213" s="52"/>
      <c r="I213" s="4"/>
      <c r="J213" s="52"/>
      <c r="K213" s="52"/>
      <c r="L213" s="52"/>
      <c r="M213" s="52"/>
      <c r="N213" s="52"/>
      <c r="O213" s="52"/>
      <c r="P213" s="52"/>
      <c r="Q213" s="52"/>
      <c r="R213" s="4"/>
      <c r="S213" s="4"/>
      <c r="T213" s="4"/>
      <c r="U213" s="74"/>
      <c r="V213" s="3"/>
      <c r="W213" s="3"/>
      <c r="X213" s="3"/>
      <c r="Y213" s="3"/>
      <c r="Z213" s="58"/>
      <c r="AA213" s="3"/>
      <c r="AB213" s="3"/>
      <c r="AC213" s="4"/>
      <c r="AD213" s="4"/>
      <c r="AE213" s="4"/>
      <c r="AF213" s="4"/>
      <c r="AG213" s="4"/>
      <c r="AH213" s="4"/>
      <c r="AI213" s="4"/>
    </row>
    <row r="214">
      <c r="A214" s="57"/>
      <c r="B214" s="4"/>
      <c r="C214" s="4"/>
      <c r="D214" s="4"/>
      <c r="E214" s="4"/>
      <c r="F214" s="4"/>
      <c r="G214" s="4"/>
      <c r="H214" s="52"/>
      <c r="I214" s="4"/>
      <c r="J214" s="52"/>
      <c r="K214" s="52"/>
      <c r="L214" s="52"/>
      <c r="M214" s="52"/>
      <c r="N214" s="52"/>
      <c r="O214" s="52"/>
      <c r="P214" s="52"/>
      <c r="Q214" s="52"/>
      <c r="R214" s="4"/>
      <c r="S214" s="4"/>
      <c r="T214" s="4"/>
      <c r="U214" s="74"/>
      <c r="V214" s="3"/>
      <c r="W214" s="3"/>
      <c r="X214" s="3"/>
      <c r="Y214" s="3"/>
      <c r="Z214" s="58"/>
      <c r="AA214" s="3"/>
      <c r="AB214" s="3"/>
      <c r="AC214" s="4"/>
      <c r="AD214" s="4"/>
      <c r="AE214" s="4"/>
      <c r="AF214" s="4"/>
      <c r="AG214" s="4"/>
      <c r="AH214" s="4"/>
      <c r="AI214" s="4"/>
    </row>
    <row r="215">
      <c r="A215" s="57"/>
      <c r="B215" s="4"/>
      <c r="C215" s="4"/>
      <c r="D215" s="4"/>
      <c r="E215" s="4"/>
      <c r="F215" s="4"/>
      <c r="G215" s="4"/>
      <c r="H215" s="52"/>
      <c r="I215" s="4"/>
      <c r="J215" s="52"/>
      <c r="K215" s="52"/>
      <c r="L215" s="52"/>
      <c r="M215" s="52"/>
      <c r="N215" s="52"/>
      <c r="O215" s="52"/>
      <c r="P215" s="52"/>
      <c r="Q215" s="52"/>
      <c r="R215" s="4"/>
      <c r="S215" s="4"/>
      <c r="T215" s="4"/>
      <c r="U215" s="74"/>
      <c r="V215" s="3"/>
      <c r="W215" s="3"/>
      <c r="X215" s="3"/>
      <c r="Y215" s="3"/>
      <c r="Z215" s="58"/>
      <c r="AA215" s="3"/>
      <c r="AB215" s="3"/>
      <c r="AC215" s="4"/>
      <c r="AD215" s="4"/>
      <c r="AE215" s="4"/>
      <c r="AF215" s="4"/>
      <c r="AG215" s="4"/>
      <c r="AH215" s="4"/>
      <c r="AI215" s="4"/>
    </row>
    <row r="216">
      <c r="A216" s="57"/>
      <c r="B216" s="4"/>
      <c r="C216" s="4"/>
      <c r="D216" s="4"/>
      <c r="E216" s="4"/>
      <c r="F216" s="4"/>
      <c r="G216" s="4"/>
      <c r="H216" s="52"/>
      <c r="I216" s="4"/>
      <c r="J216" s="52"/>
      <c r="K216" s="52"/>
      <c r="L216" s="52"/>
      <c r="M216" s="52"/>
      <c r="N216" s="52"/>
      <c r="O216" s="52"/>
      <c r="P216" s="52"/>
      <c r="Q216" s="52"/>
      <c r="R216" s="4"/>
      <c r="S216" s="4"/>
      <c r="T216" s="4"/>
      <c r="U216" s="74"/>
      <c r="V216" s="3"/>
      <c r="W216" s="3"/>
      <c r="X216" s="3"/>
      <c r="Y216" s="3"/>
      <c r="Z216" s="58"/>
      <c r="AA216" s="3"/>
      <c r="AB216" s="3"/>
      <c r="AC216" s="4"/>
      <c r="AD216" s="4"/>
      <c r="AE216" s="4"/>
      <c r="AF216" s="4"/>
      <c r="AG216" s="4"/>
      <c r="AH216" s="4"/>
      <c r="AI216" s="4"/>
    </row>
    <row r="217">
      <c r="A217" s="57"/>
      <c r="B217" s="4"/>
      <c r="C217" s="4"/>
      <c r="D217" s="4"/>
      <c r="E217" s="4"/>
      <c r="F217" s="4"/>
      <c r="G217" s="4"/>
      <c r="H217" s="52"/>
      <c r="I217" s="4"/>
      <c r="J217" s="52"/>
      <c r="K217" s="52"/>
      <c r="L217" s="52"/>
      <c r="M217" s="52"/>
      <c r="N217" s="52"/>
      <c r="O217" s="52"/>
      <c r="P217" s="52"/>
      <c r="Q217" s="52"/>
      <c r="R217" s="4"/>
      <c r="S217" s="4"/>
      <c r="T217" s="4"/>
      <c r="U217" s="74"/>
      <c r="V217" s="3"/>
      <c r="W217" s="3"/>
      <c r="X217" s="3"/>
      <c r="Y217" s="3"/>
      <c r="Z217" s="58"/>
      <c r="AA217" s="3"/>
      <c r="AB217" s="3"/>
      <c r="AC217" s="4"/>
      <c r="AD217" s="4"/>
      <c r="AE217" s="4"/>
      <c r="AF217" s="4"/>
      <c r="AG217" s="4"/>
      <c r="AH217" s="4"/>
      <c r="AI217" s="4"/>
    </row>
    <row r="218">
      <c r="A218" s="57"/>
      <c r="B218" s="4"/>
      <c r="C218" s="4"/>
      <c r="D218" s="4"/>
      <c r="E218" s="4"/>
      <c r="F218" s="4"/>
      <c r="G218" s="4"/>
      <c r="H218" s="52"/>
      <c r="I218" s="4"/>
      <c r="J218" s="52"/>
      <c r="K218" s="52"/>
      <c r="L218" s="52"/>
      <c r="M218" s="52"/>
      <c r="N218" s="52"/>
      <c r="O218" s="52"/>
      <c r="P218" s="52"/>
      <c r="Q218" s="52"/>
      <c r="R218" s="4"/>
      <c r="S218" s="4"/>
      <c r="T218" s="4"/>
      <c r="U218" s="74"/>
      <c r="V218" s="3"/>
      <c r="W218" s="3"/>
      <c r="X218" s="3"/>
      <c r="Y218" s="3"/>
      <c r="Z218" s="58"/>
      <c r="AA218" s="3"/>
      <c r="AB218" s="3"/>
      <c r="AC218" s="4"/>
      <c r="AD218" s="4"/>
      <c r="AE218" s="4"/>
      <c r="AF218" s="4"/>
      <c r="AG218" s="4"/>
      <c r="AH218" s="4"/>
      <c r="AI218" s="4"/>
    </row>
    <row r="219">
      <c r="A219" s="57"/>
      <c r="B219" s="4"/>
      <c r="C219" s="4"/>
      <c r="D219" s="4"/>
      <c r="E219" s="4"/>
      <c r="F219" s="4"/>
      <c r="G219" s="4"/>
      <c r="H219" s="52"/>
      <c r="I219" s="4"/>
      <c r="J219" s="52"/>
      <c r="K219" s="52"/>
      <c r="L219" s="52"/>
      <c r="M219" s="52"/>
      <c r="N219" s="52"/>
      <c r="O219" s="52"/>
      <c r="P219" s="52"/>
      <c r="Q219" s="52"/>
      <c r="R219" s="4"/>
      <c r="S219" s="4"/>
      <c r="T219" s="4"/>
      <c r="U219" s="74"/>
      <c r="V219" s="3"/>
      <c r="W219" s="3"/>
      <c r="X219" s="3"/>
      <c r="Y219" s="3"/>
      <c r="Z219" s="58"/>
      <c r="AA219" s="3"/>
      <c r="AB219" s="3"/>
      <c r="AC219" s="4"/>
      <c r="AD219" s="4"/>
      <c r="AE219" s="4"/>
      <c r="AF219" s="4"/>
      <c r="AG219" s="4"/>
      <c r="AH219" s="4"/>
      <c r="AI219" s="4"/>
    </row>
    <row r="220">
      <c r="A220" s="57"/>
      <c r="B220" s="4"/>
      <c r="C220" s="4"/>
      <c r="D220" s="4"/>
      <c r="E220" s="4"/>
      <c r="F220" s="4"/>
      <c r="G220" s="4"/>
      <c r="H220" s="52"/>
      <c r="I220" s="4"/>
      <c r="J220" s="52"/>
      <c r="K220" s="52"/>
      <c r="L220" s="52"/>
      <c r="M220" s="52"/>
      <c r="N220" s="52"/>
      <c r="O220" s="52"/>
      <c r="P220" s="52"/>
      <c r="Q220" s="52"/>
      <c r="R220" s="4"/>
      <c r="S220" s="4"/>
      <c r="T220" s="4"/>
      <c r="U220" s="74"/>
      <c r="V220" s="3"/>
      <c r="W220" s="3"/>
      <c r="X220" s="3"/>
      <c r="Y220" s="3"/>
      <c r="Z220" s="58"/>
      <c r="AA220" s="3"/>
      <c r="AB220" s="3"/>
      <c r="AC220" s="4"/>
      <c r="AD220" s="4"/>
      <c r="AE220" s="4"/>
      <c r="AF220" s="4"/>
      <c r="AG220" s="4"/>
      <c r="AH220" s="4"/>
      <c r="AI220" s="4"/>
    </row>
    <row r="221">
      <c r="A221" s="57"/>
      <c r="B221" s="4"/>
      <c r="C221" s="4"/>
      <c r="D221" s="4"/>
      <c r="E221" s="4"/>
      <c r="F221" s="4"/>
      <c r="G221" s="4"/>
      <c r="H221" s="52"/>
      <c r="I221" s="4"/>
      <c r="J221" s="52"/>
      <c r="K221" s="52"/>
      <c r="L221" s="52"/>
      <c r="M221" s="52"/>
      <c r="N221" s="52"/>
      <c r="O221" s="52"/>
      <c r="P221" s="52"/>
      <c r="Q221" s="52"/>
      <c r="R221" s="4"/>
      <c r="S221" s="4"/>
      <c r="T221" s="4"/>
      <c r="U221" s="74"/>
      <c r="V221" s="3"/>
      <c r="W221" s="3"/>
      <c r="X221" s="3"/>
      <c r="Y221" s="3"/>
      <c r="Z221" s="58"/>
      <c r="AA221" s="3"/>
      <c r="AB221" s="3"/>
      <c r="AC221" s="4"/>
      <c r="AD221" s="4"/>
      <c r="AE221" s="4"/>
      <c r="AF221" s="4"/>
      <c r="AG221" s="4"/>
      <c r="AH221" s="4"/>
      <c r="AI221" s="4"/>
    </row>
    <row r="222">
      <c r="A222" s="57"/>
      <c r="B222" s="4"/>
      <c r="C222" s="4"/>
      <c r="D222" s="4"/>
      <c r="E222" s="4"/>
      <c r="F222" s="4"/>
      <c r="G222" s="4"/>
      <c r="H222" s="52"/>
      <c r="I222" s="4"/>
      <c r="J222" s="52"/>
      <c r="K222" s="52"/>
      <c r="L222" s="52"/>
      <c r="M222" s="52"/>
      <c r="N222" s="52"/>
      <c r="O222" s="52"/>
      <c r="P222" s="52"/>
      <c r="Q222" s="52"/>
      <c r="R222" s="4"/>
      <c r="S222" s="4"/>
      <c r="T222" s="4"/>
      <c r="U222" s="74"/>
      <c r="V222" s="3"/>
      <c r="W222" s="3"/>
      <c r="X222" s="3"/>
      <c r="Y222" s="3"/>
      <c r="Z222" s="58"/>
      <c r="AA222" s="3"/>
      <c r="AB222" s="3"/>
      <c r="AC222" s="4"/>
      <c r="AD222" s="4"/>
      <c r="AE222" s="4"/>
      <c r="AF222" s="4"/>
      <c r="AG222" s="4"/>
      <c r="AH222" s="4"/>
      <c r="AI222" s="4"/>
    </row>
    <row r="223">
      <c r="A223" s="57"/>
      <c r="B223" s="4"/>
      <c r="C223" s="4"/>
      <c r="D223" s="4"/>
      <c r="E223" s="4"/>
      <c r="F223" s="4"/>
      <c r="G223" s="4"/>
      <c r="H223" s="52"/>
      <c r="I223" s="4"/>
      <c r="J223" s="52"/>
      <c r="K223" s="52"/>
      <c r="L223" s="52"/>
      <c r="M223" s="52"/>
      <c r="N223" s="52"/>
      <c r="O223" s="52"/>
      <c r="P223" s="52"/>
      <c r="Q223" s="52"/>
      <c r="R223" s="4"/>
      <c r="S223" s="4"/>
      <c r="T223" s="4"/>
      <c r="U223" s="74"/>
      <c r="V223" s="3"/>
      <c r="W223" s="3"/>
      <c r="X223" s="3"/>
      <c r="Y223" s="3"/>
      <c r="Z223" s="58"/>
      <c r="AA223" s="3"/>
      <c r="AB223" s="3"/>
      <c r="AC223" s="4"/>
      <c r="AD223" s="4"/>
      <c r="AE223" s="4"/>
      <c r="AF223" s="4"/>
      <c r="AG223" s="4"/>
      <c r="AH223" s="4"/>
      <c r="AI223" s="4"/>
    </row>
    <row r="224">
      <c r="A224" s="57"/>
      <c r="B224" s="4"/>
      <c r="C224" s="4"/>
      <c r="D224" s="4"/>
      <c r="E224" s="4"/>
      <c r="F224" s="4"/>
      <c r="G224" s="4"/>
      <c r="H224" s="52"/>
      <c r="I224" s="4"/>
      <c r="J224" s="52"/>
      <c r="K224" s="52"/>
      <c r="L224" s="52"/>
      <c r="M224" s="52"/>
      <c r="N224" s="52"/>
      <c r="O224" s="52"/>
      <c r="P224" s="52"/>
      <c r="Q224" s="52"/>
      <c r="R224" s="4"/>
      <c r="S224" s="4"/>
      <c r="T224" s="4"/>
      <c r="U224" s="74"/>
      <c r="V224" s="3"/>
      <c r="W224" s="3"/>
      <c r="X224" s="3"/>
      <c r="Y224" s="3"/>
      <c r="Z224" s="58"/>
      <c r="AA224" s="3"/>
      <c r="AB224" s="3"/>
      <c r="AC224" s="4"/>
      <c r="AD224" s="4"/>
      <c r="AE224" s="4"/>
      <c r="AF224" s="4"/>
      <c r="AG224" s="4"/>
      <c r="AH224" s="4"/>
      <c r="AI224" s="4"/>
    </row>
    <row r="225">
      <c r="A225" s="57"/>
      <c r="B225" s="4"/>
      <c r="C225" s="4"/>
      <c r="D225" s="4"/>
      <c r="E225" s="4"/>
      <c r="F225" s="4"/>
      <c r="G225" s="4"/>
      <c r="H225" s="52"/>
      <c r="I225" s="4"/>
      <c r="J225" s="52"/>
      <c r="K225" s="52"/>
      <c r="L225" s="52"/>
      <c r="M225" s="52"/>
      <c r="N225" s="52"/>
      <c r="O225" s="52"/>
      <c r="P225" s="52"/>
      <c r="Q225" s="52"/>
      <c r="R225" s="4"/>
      <c r="S225" s="4"/>
      <c r="T225" s="4"/>
      <c r="U225" s="74"/>
      <c r="V225" s="3"/>
      <c r="W225" s="3"/>
      <c r="X225" s="3"/>
      <c r="Y225" s="3"/>
      <c r="Z225" s="58"/>
      <c r="AA225" s="3"/>
      <c r="AB225" s="3"/>
      <c r="AC225" s="4"/>
      <c r="AD225" s="4"/>
      <c r="AE225" s="4"/>
      <c r="AF225" s="4"/>
      <c r="AG225" s="4"/>
      <c r="AH225" s="4"/>
      <c r="AI225" s="4"/>
    </row>
    <row r="226">
      <c r="A226" s="57"/>
      <c r="B226" s="4"/>
      <c r="C226" s="4"/>
      <c r="D226" s="4"/>
      <c r="E226" s="4"/>
      <c r="F226" s="4"/>
      <c r="G226" s="4"/>
      <c r="H226" s="52"/>
      <c r="I226" s="4"/>
      <c r="J226" s="52"/>
      <c r="K226" s="52"/>
      <c r="L226" s="52"/>
      <c r="M226" s="52"/>
      <c r="N226" s="52"/>
      <c r="O226" s="52"/>
      <c r="P226" s="52"/>
      <c r="Q226" s="52"/>
      <c r="R226" s="4"/>
      <c r="S226" s="4"/>
      <c r="T226" s="4"/>
      <c r="U226" s="74"/>
      <c r="V226" s="3"/>
      <c r="W226" s="3"/>
      <c r="X226" s="3"/>
      <c r="Y226" s="3"/>
      <c r="Z226" s="58"/>
      <c r="AA226" s="3"/>
      <c r="AB226" s="3"/>
      <c r="AC226" s="4"/>
      <c r="AD226" s="4"/>
      <c r="AE226" s="4"/>
      <c r="AF226" s="4"/>
      <c r="AG226" s="4"/>
      <c r="AH226" s="4"/>
      <c r="AI226" s="4"/>
    </row>
    <row r="227">
      <c r="A227" s="57"/>
      <c r="B227" s="4"/>
      <c r="C227" s="4"/>
      <c r="D227" s="4"/>
      <c r="E227" s="4"/>
      <c r="F227" s="4"/>
      <c r="G227" s="4"/>
      <c r="H227" s="52"/>
      <c r="I227" s="4"/>
      <c r="J227" s="52"/>
      <c r="K227" s="52"/>
      <c r="L227" s="52"/>
      <c r="M227" s="52"/>
      <c r="N227" s="52"/>
      <c r="O227" s="52"/>
      <c r="P227" s="52"/>
      <c r="Q227" s="52"/>
      <c r="R227" s="4"/>
      <c r="S227" s="4"/>
      <c r="T227" s="4"/>
      <c r="U227" s="74"/>
      <c r="V227" s="3"/>
      <c r="W227" s="3"/>
      <c r="X227" s="3"/>
      <c r="Y227" s="3"/>
      <c r="Z227" s="58"/>
      <c r="AA227" s="3"/>
      <c r="AB227" s="3"/>
      <c r="AC227" s="4"/>
      <c r="AD227" s="4"/>
      <c r="AE227" s="4"/>
      <c r="AF227" s="4"/>
      <c r="AG227" s="4"/>
      <c r="AH227" s="4"/>
      <c r="AI227" s="4"/>
    </row>
    <row r="228">
      <c r="A228" s="57"/>
      <c r="B228" s="4"/>
      <c r="C228" s="4"/>
      <c r="D228" s="4"/>
      <c r="E228" s="4"/>
      <c r="F228" s="4"/>
      <c r="G228" s="4"/>
      <c r="H228" s="52"/>
      <c r="I228" s="4"/>
      <c r="J228" s="52"/>
      <c r="K228" s="52"/>
      <c r="L228" s="52"/>
      <c r="M228" s="52"/>
      <c r="N228" s="52"/>
      <c r="O228" s="52"/>
      <c r="P228" s="52"/>
      <c r="Q228" s="52"/>
      <c r="R228" s="4"/>
      <c r="S228" s="4"/>
      <c r="T228" s="4"/>
      <c r="U228" s="74"/>
      <c r="V228" s="3"/>
      <c r="W228" s="3"/>
      <c r="X228" s="3"/>
      <c r="Y228" s="3"/>
      <c r="Z228" s="58"/>
      <c r="AA228" s="3"/>
      <c r="AB228" s="3"/>
      <c r="AC228" s="4"/>
      <c r="AD228" s="4"/>
      <c r="AE228" s="4"/>
      <c r="AF228" s="4"/>
      <c r="AG228" s="4"/>
      <c r="AH228" s="4"/>
      <c r="AI228" s="4"/>
    </row>
    <row r="229">
      <c r="A229" s="57"/>
      <c r="B229" s="4"/>
      <c r="C229" s="4"/>
      <c r="D229" s="4"/>
      <c r="E229" s="4"/>
      <c r="F229" s="4"/>
      <c r="G229" s="4"/>
      <c r="H229" s="52"/>
      <c r="I229" s="4"/>
      <c r="J229" s="52"/>
      <c r="K229" s="52"/>
      <c r="L229" s="52"/>
      <c r="M229" s="52"/>
      <c r="N229" s="52"/>
      <c r="O229" s="52"/>
      <c r="P229" s="52"/>
      <c r="Q229" s="52"/>
      <c r="R229" s="4"/>
      <c r="S229" s="4"/>
      <c r="T229" s="4"/>
      <c r="U229" s="74"/>
      <c r="V229" s="3"/>
      <c r="W229" s="3"/>
      <c r="X229" s="3"/>
      <c r="Y229" s="3"/>
      <c r="Z229" s="58"/>
      <c r="AA229" s="3"/>
      <c r="AB229" s="3"/>
      <c r="AC229" s="4"/>
      <c r="AD229" s="4"/>
      <c r="AE229" s="4"/>
      <c r="AF229" s="4"/>
      <c r="AG229" s="4"/>
      <c r="AH229" s="4"/>
      <c r="AI229" s="4"/>
    </row>
    <row r="230">
      <c r="A230" s="57"/>
      <c r="B230" s="4"/>
      <c r="C230" s="4"/>
      <c r="D230" s="4"/>
      <c r="E230" s="4"/>
      <c r="F230" s="4"/>
      <c r="G230" s="4"/>
      <c r="H230" s="52"/>
      <c r="I230" s="4"/>
      <c r="J230" s="52"/>
      <c r="K230" s="52"/>
      <c r="L230" s="52"/>
      <c r="M230" s="52"/>
      <c r="N230" s="52"/>
      <c r="O230" s="52"/>
      <c r="P230" s="52"/>
      <c r="Q230" s="52"/>
      <c r="R230" s="4"/>
      <c r="S230" s="4"/>
      <c r="T230" s="4"/>
      <c r="U230" s="74"/>
      <c r="V230" s="3"/>
      <c r="W230" s="3"/>
      <c r="X230" s="3"/>
      <c r="Y230" s="3"/>
      <c r="Z230" s="58"/>
      <c r="AA230" s="3"/>
      <c r="AB230" s="3"/>
      <c r="AC230" s="4"/>
      <c r="AD230" s="4"/>
      <c r="AE230" s="4"/>
      <c r="AF230" s="4"/>
      <c r="AG230" s="4"/>
      <c r="AH230" s="4"/>
      <c r="AI230" s="4"/>
    </row>
    <row r="231">
      <c r="A231" s="57"/>
      <c r="B231" s="4"/>
      <c r="C231" s="4"/>
      <c r="D231" s="4"/>
      <c r="E231" s="4"/>
      <c r="F231" s="4"/>
      <c r="G231" s="4"/>
      <c r="H231" s="52"/>
      <c r="I231" s="4"/>
      <c r="J231" s="52"/>
      <c r="K231" s="52"/>
      <c r="L231" s="52"/>
      <c r="M231" s="52"/>
      <c r="N231" s="52"/>
      <c r="O231" s="52"/>
      <c r="P231" s="52"/>
      <c r="Q231" s="52"/>
      <c r="R231" s="4"/>
      <c r="S231" s="4"/>
      <c r="T231" s="4"/>
      <c r="U231" s="74"/>
      <c r="V231" s="3"/>
      <c r="W231" s="3"/>
      <c r="X231" s="3"/>
      <c r="Y231" s="3"/>
      <c r="Z231" s="58"/>
      <c r="AA231" s="3"/>
      <c r="AB231" s="3"/>
      <c r="AC231" s="4"/>
      <c r="AD231" s="4"/>
      <c r="AE231" s="4"/>
      <c r="AF231" s="4"/>
      <c r="AG231" s="4"/>
      <c r="AH231" s="4"/>
      <c r="AI231" s="4"/>
    </row>
    <row r="232">
      <c r="A232" s="57"/>
      <c r="B232" s="4"/>
      <c r="C232" s="4"/>
      <c r="D232" s="4"/>
      <c r="E232" s="4"/>
      <c r="F232" s="4"/>
      <c r="G232" s="4"/>
      <c r="H232" s="52"/>
      <c r="I232" s="4"/>
      <c r="J232" s="52"/>
      <c r="K232" s="52"/>
      <c r="L232" s="52"/>
      <c r="M232" s="52"/>
      <c r="N232" s="52"/>
      <c r="O232" s="52"/>
      <c r="P232" s="52"/>
      <c r="Q232" s="52"/>
      <c r="R232" s="4"/>
      <c r="S232" s="4"/>
      <c r="T232" s="4"/>
      <c r="U232" s="74"/>
      <c r="V232" s="3"/>
      <c r="W232" s="3"/>
      <c r="X232" s="3"/>
      <c r="Y232" s="3"/>
      <c r="Z232" s="58"/>
      <c r="AA232" s="3"/>
      <c r="AB232" s="3"/>
      <c r="AC232" s="4"/>
      <c r="AD232" s="4"/>
      <c r="AE232" s="4"/>
      <c r="AF232" s="4"/>
      <c r="AG232" s="4"/>
      <c r="AH232" s="4"/>
      <c r="AI232" s="4"/>
    </row>
    <row r="233">
      <c r="A233" s="57"/>
      <c r="B233" s="4"/>
      <c r="C233" s="4"/>
      <c r="D233" s="4"/>
      <c r="E233" s="4"/>
      <c r="F233" s="4"/>
      <c r="G233" s="4"/>
      <c r="H233" s="52"/>
      <c r="I233" s="4"/>
      <c r="J233" s="52"/>
      <c r="K233" s="52"/>
      <c r="L233" s="52"/>
      <c r="M233" s="52"/>
      <c r="N233" s="52"/>
      <c r="O233" s="52"/>
      <c r="P233" s="52"/>
      <c r="Q233" s="52"/>
      <c r="R233" s="4"/>
      <c r="S233" s="4"/>
      <c r="T233" s="4"/>
      <c r="U233" s="74"/>
      <c r="V233" s="3"/>
      <c r="W233" s="3"/>
      <c r="X233" s="3"/>
      <c r="Y233" s="3"/>
      <c r="Z233" s="58"/>
      <c r="AA233" s="3"/>
      <c r="AB233" s="3"/>
      <c r="AC233" s="4"/>
      <c r="AD233" s="4"/>
      <c r="AE233" s="4"/>
      <c r="AF233" s="4"/>
      <c r="AG233" s="4"/>
      <c r="AH233" s="4"/>
      <c r="AI233" s="4"/>
    </row>
    <row r="234">
      <c r="A234" s="57"/>
      <c r="B234" s="4"/>
      <c r="C234" s="4"/>
      <c r="D234" s="4"/>
      <c r="E234" s="4"/>
      <c r="F234" s="4"/>
      <c r="G234" s="4"/>
      <c r="H234" s="52"/>
      <c r="I234" s="4"/>
      <c r="J234" s="52"/>
      <c r="K234" s="52"/>
      <c r="L234" s="52"/>
      <c r="M234" s="52"/>
      <c r="N234" s="52"/>
      <c r="O234" s="52"/>
      <c r="P234" s="52"/>
      <c r="Q234" s="52"/>
      <c r="R234" s="4"/>
      <c r="S234" s="4"/>
      <c r="T234" s="4"/>
      <c r="U234" s="74"/>
      <c r="V234" s="3"/>
      <c r="W234" s="3"/>
      <c r="X234" s="3"/>
      <c r="Y234" s="3"/>
      <c r="Z234" s="58"/>
      <c r="AA234" s="3"/>
      <c r="AB234" s="3"/>
      <c r="AC234" s="4"/>
      <c r="AD234" s="4"/>
      <c r="AE234" s="4"/>
      <c r="AF234" s="4"/>
      <c r="AG234" s="4"/>
      <c r="AH234" s="4"/>
      <c r="AI234" s="4"/>
    </row>
    <row r="235">
      <c r="A235" s="57"/>
      <c r="B235" s="4"/>
      <c r="C235" s="4"/>
      <c r="D235" s="4"/>
      <c r="E235" s="4"/>
      <c r="F235" s="4"/>
      <c r="G235" s="4"/>
      <c r="H235" s="52"/>
      <c r="I235" s="4"/>
      <c r="J235" s="52"/>
      <c r="K235" s="52"/>
      <c r="L235" s="52"/>
      <c r="M235" s="52"/>
      <c r="N235" s="52"/>
      <c r="O235" s="52"/>
      <c r="P235" s="52"/>
      <c r="Q235" s="52"/>
      <c r="R235" s="4"/>
      <c r="S235" s="4"/>
      <c r="T235" s="4"/>
      <c r="U235" s="74"/>
      <c r="V235" s="3"/>
      <c r="W235" s="3"/>
      <c r="X235" s="3"/>
      <c r="Y235" s="3"/>
      <c r="Z235" s="58"/>
      <c r="AA235" s="3"/>
      <c r="AB235" s="3"/>
      <c r="AC235" s="4"/>
      <c r="AD235" s="4"/>
      <c r="AE235" s="4"/>
      <c r="AF235" s="4"/>
      <c r="AG235" s="4"/>
      <c r="AH235" s="4"/>
      <c r="AI235" s="4"/>
    </row>
    <row r="236">
      <c r="A236" s="57"/>
      <c r="B236" s="4"/>
      <c r="C236" s="4"/>
      <c r="D236" s="4"/>
      <c r="E236" s="4"/>
      <c r="F236" s="4"/>
      <c r="G236" s="4"/>
      <c r="H236" s="52"/>
      <c r="I236" s="4"/>
      <c r="J236" s="52"/>
      <c r="K236" s="52"/>
      <c r="L236" s="52"/>
      <c r="M236" s="52"/>
      <c r="N236" s="52"/>
      <c r="O236" s="52"/>
      <c r="P236" s="52"/>
      <c r="Q236" s="52"/>
      <c r="R236" s="4"/>
      <c r="S236" s="4"/>
      <c r="T236" s="4"/>
      <c r="U236" s="74"/>
      <c r="V236" s="3"/>
      <c r="W236" s="3"/>
      <c r="X236" s="3"/>
      <c r="Y236" s="3"/>
      <c r="Z236" s="58"/>
      <c r="AA236" s="3"/>
      <c r="AB236" s="3"/>
      <c r="AC236" s="4"/>
      <c r="AD236" s="4"/>
      <c r="AE236" s="4"/>
      <c r="AF236" s="4"/>
      <c r="AG236" s="4"/>
      <c r="AH236" s="4"/>
      <c r="AI236" s="4"/>
    </row>
    <row r="237">
      <c r="A237" s="57"/>
      <c r="B237" s="4"/>
      <c r="C237" s="4"/>
      <c r="D237" s="4"/>
      <c r="E237" s="4"/>
      <c r="F237" s="4"/>
      <c r="G237" s="4"/>
      <c r="H237" s="52"/>
      <c r="I237" s="4"/>
      <c r="J237" s="52"/>
      <c r="K237" s="52"/>
      <c r="L237" s="52"/>
      <c r="M237" s="52"/>
      <c r="N237" s="52"/>
      <c r="O237" s="52"/>
      <c r="P237" s="52"/>
      <c r="Q237" s="52"/>
      <c r="R237" s="4"/>
      <c r="S237" s="4"/>
      <c r="T237" s="4"/>
      <c r="U237" s="74"/>
      <c r="V237" s="3"/>
      <c r="W237" s="3"/>
      <c r="X237" s="3"/>
      <c r="Y237" s="3"/>
      <c r="Z237" s="58"/>
      <c r="AA237" s="3"/>
      <c r="AB237" s="3"/>
      <c r="AC237" s="4"/>
      <c r="AD237" s="4"/>
      <c r="AE237" s="4"/>
      <c r="AF237" s="4"/>
      <c r="AG237" s="4"/>
      <c r="AH237" s="4"/>
      <c r="AI237" s="4"/>
    </row>
    <row r="238">
      <c r="A238" s="57"/>
      <c r="B238" s="4"/>
      <c r="C238" s="4"/>
      <c r="D238" s="4"/>
      <c r="E238" s="4"/>
      <c r="F238" s="4"/>
      <c r="G238" s="4"/>
      <c r="H238" s="52"/>
      <c r="I238" s="4"/>
      <c r="J238" s="52"/>
      <c r="K238" s="52"/>
      <c r="L238" s="52"/>
      <c r="M238" s="52"/>
      <c r="N238" s="52"/>
      <c r="O238" s="52"/>
      <c r="P238" s="52"/>
      <c r="Q238" s="52"/>
      <c r="R238" s="4"/>
      <c r="S238" s="4"/>
      <c r="T238" s="4"/>
      <c r="U238" s="74"/>
      <c r="V238" s="3"/>
      <c r="W238" s="3"/>
      <c r="X238" s="3"/>
      <c r="Y238" s="3"/>
      <c r="Z238" s="58"/>
      <c r="AA238" s="3"/>
      <c r="AB238" s="3"/>
      <c r="AC238" s="4"/>
      <c r="AD238" s="4"/>
      <c r="AE238" s="4"/>
      <c r="AF238" s="4"/>
      <c r="AG238" s="4"/>
      <c r="AH238" s="4"/>
      <c r="AI238" s="4"/>
    </row>
    <row r="239">
      <c r="A239" s="57"/>
      <c r="B239" s="4"/>
      <c r="C239" s="4"/>
      <c r="D239" s="4"/>
      <c r="E239" s="4"/>
      <c r="F239" s="4"/>
      <c r="G239" s="4"/>
      <c r="H239" s="52"/>
      <c r="I239" s="4"/>
      <c r="J239" s="52"/>
      <c r="K239" s="52"/>
      <c r="L239" s="52"/>
      <c r="M239" s="52"/>
      <c r="N239" s="52"/>
      <c r="O239" s="52"/>
      <c r="P239" s="52"/>
      <c r="Q239" s="52"/>
      <c r="R239" s="4"/>
      <c r="S239" s="4"/>
      <c r="T239" s="4"/>
      <c r="U239" s="74"/>
      <c r="V239" s="3"/>
      <c r="W239" s="3"/>
      <c r="X239" s="3"/>
      <c r="Y239" s="3"/>
      <c r="Z239" s="58"/>
      <c r="AA239" s="3"/>
      <c r="AB239" s="3"/>
      <c r="AC239" s="4"/>
      <c r="AD239" s="4"/>
      <c r="AE239" s="4"/>
      <c r="AF239" s="4"/>
      <c r="AG239" s="4"/>
      <c r="AH239" s="4"/>
      <c r="AI239" s="4"/>
    </row>
    <row r="240">
      <c r="A240" s="57"/>
      <c r="B240" s="4"/>
      <c r="C240" s="4"/>
      <c r="D240" s="4"/>
      <c r="E240" s="4"/>
      <c r="F240" s="4"/>
      <c r="G240" s="4"/>
      <c r="H240" s="52"/>
      <c r="I240" s="4"/>
      <c r="J240" s="52"/>
      <c r="K240" s="52"/>
      <c r="L240" s="52"/>
      <c r="M240" s="52"/>
      <c r="N240" s="52"/>
      <c r="O240" s="52"/>
      <c r="P240" s="52"/>
      <c r="Q240" s="52"/>
      <c r="R240" s="4"/>
      <c r="S240" s="4"/>
      <c r="T240" s="4"/>
      <c r="U240" s="74"/>
      <c r="V240" s="3"/>
      <c r="W240" s="3"/>
      <c r="X240" s="3"/>
      <c r="Y240" s="3"/>
      <c r="Z240" s="58"/>
      <c r="AA240" s="3"/>
      <c r="AB240" s="3"/>
      <c r="AC240" s="4"/>
      <c r="AD240" s="4"/>
      <c r="AE240" s="4"/>
      <c r="AF240" s="4"/>
      <c r="AG240" s="4"/>
      <c r="AH240" s="4"/>
      <c r="AI240" s="4"/>
    </row>
    <row r="241">
      <c r="A241" s="57"/>
      <c r="B241" s="4"/>
      <c r="C241" s="4"/>
      <c r="D241" s="4"/>
      <c r="E241" s="4"/>
      <c r="F241" s="4"/>
      <c r="G241" s="4"/>
      <c r="H241" s="52"/>
      <c r="I241" s="4"/>
      <c r="J241" s="52"/>
      <c r="K241" s="52"/>
      <c r="L241" s="52"/>
      <c r="M241" s="52"/>
      <c r="N241" s="52"/>
      <c r="O241" s="52"/>
      <c r="P241" s="52"/>
      <c r="Q241" s="52"/>
      <c r="R241" s="4"/>
      <c r="S241" s="4"/>
      <c r="T241" s="4"/>
      <c r="U241" s="74"/>
      <c r="V241" s="3"/>
      <c r="W241" s="3"/>
      <c r="X241" s="3"/>
      <c r="Y241" s="3"/>
      <c r="Z241" s="58"/>
      <c r="AA241" s="3"/>
      <c r="AB241" s="3"/>
      <c r="AC241" s="4"/>
      <c r="AD241" s="4"/>
      <c r="AE241" s="4"/>
      <c r="AF241" s="4"/>
      <c r="AG241" s="4"/>
      <c r="AH241" s="4"/>
      <c r="AI241" s="4"/>
    </row>
    <row r="242">
      <c r="A242" s="57"/>
      <c r="B242" s="4"/>
      <c r="C242" s="4"/>
      <c r="D242" s="4"/>
      <c r="E242" s="4"/>
      <c r="F242" s="4"/>
      <c r="G242" s="4"/>
      <c r="H242" s="52"/>
      <c r="I242" s="4"/>
      <c r="J242" s="52"/>
      <c r="K242" s="52"/>
      <c r="L242" s="52"/>
      <c r="M242" s="52"/>
      <c r="N242" s="52"/>
      <c r="O242" s="52"/>
      <c r="P242" s="52"/>
      <c r="Q242" s="52"/>
      <c r="R242" s="4"/>
      <c r="S242" s="4"/>
      <c r="T242" s="4"/>
      <c r="U242" s="74"/>
      <c r="V242" s="3"/>
      <c r="W242" s="3"/>
      <c r="X242" s="3"/>
      <c r="Y242" s="3"/>
      <c r="Z242" s="58"/>
      <c r="AA242" s="3"/>
      <c r="AB242" s="3"/>
      <c r="AC242" s="4"/>
      <c r="AD242" s="4"/>
      <c r="AE242" s="4"/>
      <c r="AF242" s="4"/>
      <c r="AG242" s="4"/>
      <c r="AH242" s="4"/>
      <c r="AI242" s="4"/>
    </row>
    <row r="243">
      <c r="A243" s="57"/>
      <c r="B243" s="4"/>
      <c r="C243" s="4"/>
      <c r="D243" s="4"/>
      <c r="E243" s="4"/>
      <c r="F243" s="4"/>
      <c r="G243" s="4"/>
      <c r="H243" s="52"/>
      <c r="I243" s="4"/>
      <c r="J243" s="52"/>
      <c r="K243" s="52"/>
      <c r="L243" s="52"/>
      <c r="M243" s="52"/>
      <c r="N243" s="52"/>
      <c r="O243" s="52"/>
      <c r="P243" s="52"/>
      <c r="Q243" s="52"/>
      <c r="R243" s="4"/>
      <c r="S243" s="4"/>
      <c r="T243" s="4"/>
      <c r="U243" s="74"/>
      <c r="V243" s="3"/>
      <c r="W243" s="3"/>
      <c r="X243" s="3"/>
      <c r="Y243" s="3"/>
      <c r="Z243" s="58"/>
      <c r="AA243" s="3"/>
      <c r="AB243" s="3"/>
      <c r="AC243" s="4"/>
      <c r="AD243" s="4"/>
      <c r="AE243" s="4"/>
      <c r="AF243" s="4"/>
      <c r="AG243" s="4"/>
      <c r="AH243" s="4"/>
      <c r="AI243" s="4"/>
    </row>
    <row r="244">
      <c r="A244" s="57"/>
      <c r="B244" s="4"/>
      <c r="C244" s="4"/>
      <c r="D244" s="4"/>
      <c r="E244" s="4"/>
      <c r="F244" s="4"/>
      <c r="G244" s="4"/>
      <c r="H244" s="52"/>
      <c r="I244" s="4"/>
      <c r="J244" s="52"/>
      <c r="K244" s="52"/>
      <c r="L244" s="52"/>
      <c r="M244" s="52"/>
      <c r="N244" s="52"/>
      <c r="O244" s="52"/>
      <c r="P244" s="52"/>
      <c r="Q244" s="52"/>
      <c r="R244" s="4"/>
      <c r="S244" s="4"/>
      <c r="T244" s="4"/>
      <c r="U244" s="74"/>
      <c r="V244" s="3"/>
      <c r="W244" s="3"/>
      <c r="X244" s="3"/>
      <c r="Y244" s="3"/>
      <c r="Z244" s="58"/>
      <c r="AA244" s="3"/>
      <c r="AB244" s="3"/>
      <c r="AC244" s="4"/>
      <c r="AD244" s="4"/>
      <c r="AE244" s="4"/>
      <c r="AF244" s="4"/>
      <c r="AG244" s="4"/>
      <c r="AH244" s="4"/>
      <c r="AI244" s="4"/>
    </row>
    <row r="245">
      <c r="A245" s="57"/>
      <c r="B245" s="4"/>
      <c r="C245" s="4"/>
      <c r="D245" s="4"/>
      <c r="E245" s="4"/>
      <c r="F245" s="4"/>
      <c r="G245" s="4"/>
      <c r="H245" s="52"/>
      <c r="I245" s="4"/>
      <c r="J245" s="52"/>
      <c r="K245" s="52"/>
      <c r="L245" s="52"/>
      <c r="M245" s="52"/>
      <c r="N245" s="52"/>
      <c r="O245" s="52"/>
      <c r="P245" s="52"/>
      <c r="Q245" s="52"/>
      <c r="R245" s="4"/>
      <c r="S245" s="4"/>
      <c r="T245" s="4"/>
      <c r="U245" s="74"/>
      <c r="V245" s="3"/>
      <c r="W245" s="3"/>
      <c r="X245" s="3"/>
      <c r="Y245" s="3"/>
      <c r="Z245" s="58"/>
      <c r="AA245" s="3"/>
      <c r="AB245" s="3"/>
      <c r="AC245" s="4"/>
      <c r="AD245" s="4"/>
      <c r="AE245" s="4"/>
      <c r="AF245" s="4"/>
      <c r="AG245" s="4"/>
      <c r="AH245" s="4"/>
      <c r="AI245" s="4"/>
    </row>
    <row r="246">
      <c r="A246" s="57"/>
      <c r="B246" s="4"/>
      <c r="C246" s="4"/>
      <c r="D246" s="4"/>
      <c r="E246" s="4"/>
      <c r="F246" s="4"/>
      <c r="G246" s="4"/>
      <c r="H246" s="52"/>
      <c r="I246" s="4"/>
      <c r="J246" s="52"/>
      <c r="K246" s="52"/>
      <c r="L246" s="52"/>
      <c r="M246" s="52"/>
      <c r="N246" s="52"/>
      <c r="O246" s="52"/>
      <c r="P246" s="52"/>
      <c r="Q246" s="52"/>
      <c r="R246" s="4"/>
      <c r="S246" s="4"/>
      <c r="T246" s="4"/>
      <c r="U246" s="74"/>
      <c r="V246" s="3"/>
      <c r="W246" s="3"/>
      <c r="X246" s="3"/>
      <c r="Y246" s="3"/>
      <c r="Z246" s="58"/>
      <c r="AA246" s="3"/>
      <c r="AB246" s="3"/>
      <c r="AC246" s="4"/>
      <c r="AD246" s="4"/>
      <c r="AE246" s="4"/>
      <c r="AF246" s="4"/>
      <c r="AG246" s="4"/>
      <c r="AH246" s="4"/>
      <c r="AI246" s="4"/>
    </row>
    <row r="247">
      <c r="A247" s="57"/>
      <c r="B247" s="4"/>
      <c r="C247" s="4"/>
      <c r="D247" s="4"/>
      <c r="E247" s="4"/>
      <c r="F247" s="4"/>
      <c r="G247" s="4"/>
      <c r="H247" s="52"/>
      <c r="I247" s="4"/>
      <c r="J247" s="52"/>
      <c r="K247" s="52"/>
      <c r="L247" s="52"/>
      <c r="M247" s="52"/>
      <c r="N247" s="52"/>
      <c r="O247" s="52"/>
      <c r="P247" s="52"/>
      <c r="Q247" s="52"/>
      <c r="R247" s="4"/>
      <c r="S247" s="4"/>
      <c r="T247" s="4"/>
      <c r="U247" s="74"/>
      <c r="V247" s="3"/>
      <c r="W247" s="3"/>
      <c r="X247" s="3"/>
      <c r="Y247" s="3"/>
      <c r="Z247" s="58"/>
      <c r="AA247" s="3"/>
      <c r="AB247" s="3"/>
      <c r="AC247" s="4"/>
      <c r="AD247" s="4"/>
      <c r="AE247" s="4"/>
      <c r="AF247" s="4"/>
      <c r="AG247" s="4"/>
      <c r="AH247" s="4"/>
      <c r="AI247" s="4"/>
    </row>
    <row r="248">
      <c r="A248" s="57"/>
      <c r="B248" s="4"/>
      <c r="C248" s="4"/>
      <c r="D248" s="4"/>
      <c r="E248" s="4"/>
      <c r="F248" s="4"/>
      <c r="G248" s="4"/>
      <c r="H248" s="52"/>
      <c r="I248" s="4"/>
      <c r="J248" s="52"/>
      <c r="K248" s="52"/>
      <c r="L248" s="52"/>
      <c r="M248" s="52"/>
      <c r="N248" s="52"/>
      <c r="O248" s="52"/>
      <c r="P248" s="52"/>
      <c r="Q248" s="52"/>
      <c r="R248" s="4"/>
      <c r="S248" s="4"/>
      <c r="T248" s="4"/>
      <c r="U248" s="74"/>
      <c r="V248" s="3"/>
      <c r="W248" s="3"/>
      <c r="X248" s="3"/>
      <c r="Y248" s="3"/>
      <c r="Z248" s="58"/>
      <c r="AA248" s="3"/>
      <c r="AB248" s="3"/>
      <c r="AC248" s="4"/>
      <c r="AD248" s="4"/>
      <c r="AE248" s="4"/>
      <c r="AF248" s="4"/>
      <c r="AG248" s="4"/>
      <c r="AH248" s="4"/>
      <c r="AI248" s="4"/>
    </row>
    <row r="249">
      <c r="A249" s="57"/>
      <c r="B249" s="4"/>
      <c r="C249" s="4"/>
      <c r="D249" s="4"/>
      <c r="E249" s="4"/>
      <c r="F249" s="4"/>
      <c r="G249" s="4"/>
      <c r="H249" s="52"/>
      <c r="I249" s="4"/>
      <c r="J249" s="52"/>
      <c r="K249" s="52"/>
      <c r="L249" s="52"/>
      <c r="M249" s="52"/>
      <c r="N249" s="52"/>
      <c r="O249" s="52"/>
      <c r="P249" s="52"/>
      <c r="Q249" s="52"/>
      <c r="R249" s="4"/>
      <c r="S249" s="4"/>
      <c r="T249" s="4"/>
      <c r="U249" s="74"/>
      <c r="V249" s="3"/>
      <c r="W249" s="3"/>
      <c r="X249" s="3"/>
      <c r="Y249" s="3"/>
      <c r="Z249" s="58"/>
      <c r="AA249" s="3"/>
      <c r="AB249" s="3"/>
      <c r="AC249" s="4"/>
      <c r="AD249" s="4"/>
      <c r="AE249" s="4"/>
      <c r="AF249" s="4"/>
      <c r="AG249" s="4"/>
      <c r="AH249" s="4"/>
      <c r="AI249" s="4"/>
    </row>
    <row r="250">
      <c r="A250" s="57"/>
      <c r="B250" s="4"/>
      <c r="C250" s="4"/>
      <c r="D250" s="4"/>
      <c r="E250" s="4"/>
      <c r="F250" s="4"/>
      <c r="G250" s="4"/>
      <c r="H250" s="52"/>
      <c r="I250" s="4"/>
      <c r="J250" s="52"/>
      <c r="K250" s="52"/>
      <c r="L250" s="52"/>
      <c r="M250" s="52"/>
      <c r="N250" s="52"/>
      <c r="O250" s="52"/>
      <c r="P250" s="52"/>
      <c r="Q250" s="52"/>
      <c r="R250" s="4"/>
      <c r="S250" s="4"/>
      <c r="T250" s="4"/>
      <c r="U250" s="74"/>
      <c r="V250" s="3"/>
      <c r="W250" s="3"/>
      <c r="X250" s="3"/>
      <c r="Y250" s="3"/>
      <c r="Z250" s="58"/>
      <c r="AA250" s="3"/>
      <c r="AB250" s="3"/>
      <c r="AC250" s="4"/>
      <c r="AD250" s="4"/>
      <c r="AE250" s="4"/>
      <c r="AF250" s="4"/>
      <c r="AG250" s="4"/>
      <c r="AH250" s="4"/>
      <c r="AI250" s="4"/>
    </row>
    <row r="251">
      <c r="A251" s="57"/>
      <c r="B251" s="4"/>
      <c r="C251" s="4"/>
      <c r="D251" s="4"/>
      <c r="E251" s="4"/>
      <c r="F251" s="4"/>
      <c r="G251" s="4"/>
      <c r="H251" s="52"/>
      <c r="I251" s="4"/>
      <c r="J251" s="52"/>
      <c r="K251" s="52"/>
      <c r="L251" s="52"/>
      <c r="M251" s="52"/>
      <c r="N251" s="52"/>
      <c r="O251" s="52"/>
      <c r="P251" s="52"/>
      <c r="Q251" s="52"/>
      <c r="R251" s="4"/>
      <c r="S251" s="4"/>
      <c r="T251" s="4"/>
      <c r="U251" s="74"/>
      <c r="V251" s="3"/>
      <c r="W251" s="3"/>
      <c r="X251" s="3"/>
      <c r="Y251" s="3"/>
      <c r="Z251" s="58"/>
      <c r="AA251" s="3"/>
      <c r="AB251" s="3"/>
      <c r="AC251" s="4"/>
      <c r="AD251" s="4"/>
      <c r="AE251" s="4"/>
      <c r="AF251" s="4"/>
      <c r="AG251" s="4"/>
      <c r="AH251" s="4"/>
      <c r="AI251" s="4"/>
    </row>
    <row r="252">
      <c r="A252" s="57"/>
      <c r="B252" s="4"/>
      <c r="C252" s="4"/>
      <c r="D252" s="4"/>
      <c r="E252" s="4"/>
      <c r="F252" s="4"/>
      <c r="G252" s="4"/>
      <c r="H252" s="52"/>
      <c r="I252" s="4"/>
      <c r="J252" s="52"/>
      <c r="K252" s="52"/>
      <c r="L252" s="52"/>
      <c r="M252" s="52"/>
      <c r="N252" s="52"/>
      <c r="O252" s="52"/>
      <c r="P252" s="52"/>
      <c r="Q252" s="52"/>
      <c r="R252" s="4"/>
      <c r="S252" s="4"/>
      <c r="T252" s="4"/>
      <c r="U252" s="74"/>
      <c r="V252" s="3"/>
      <c r="W252" s="3"/>
      <c r="X252" s="3"/>
      <c r="Y252" s="3"/>
      <c r="Z252" s="58"/>
      <c r="AA252" s="3"/>
      <c r="AB252" s="3"/>
      <c r="AC252" s="4"/>
      <c r="AD252" s="4"/>
      <c r="AE252" s="4"/>
      <c r="AF252" s="4"/>
      <c r="AG252" s="4"/>
      <c r="AH252" s="4"/>
      <c r="AI252" s="4"/>
    </row>
    <row r="253">
      <c r="A253" s="57"/>
      <c r="B253" s="4"/>
      <c r="C253" s="4"/>
      <c r="D253" s="4"/>
      <c r="E253" s="4"/>
      <c r="F253" s="4"/>
      <c r="G253" s="4"/>
      <c r="H253" s="52"/>
      <c r="I253" s="4"/>
      <c r="J253" s="52"/>
      <c r="K253" s="52"/>
      <c r="L253" s="52"/>
      <c r="M253" s="52"/>
      <c r="N253" s="52"/>
      <c r="O253" s="52"/>
      <c r="P253" s="52"/>
      <c r="Q253" s="52"/>
      <c r="R253" s="4"/>
      <c r="S253" s="4"/>
      <c r="T253" s="4"/>
      <c r="U253" s="74"/>
      <c r="V253" s="3"/>
      <c r="W253" s="3"/>
      <c r="X253" s="3"/>
      <c r="Y253" s="3"/>
      <c r="Z253" s="58"/>
      <c r="AA253" s="3"/>
      <c r="AB253" s="3"/>
      <c r="AC253" s="4"/>
      <c r="AD253" s="4"/>
      <c r="AE253" s="4"/>
      <c r="AF253" s="4"/>
      <c r="AG253" s="4"/>
      <c r="AH253" s="4"/>
      <c r="AI253" s="4"/>
    </row>
    <row r="254">
      <c r="A254" s="57"/>
      <c r="B254" s="4"/>
      <c r="C254" s="4"/>
      <c r="D254" s="4"/>
      <c r="E254" s="4"/>
      <c r="F254" s="4"/>
      <c r="G254" s="4"/>
      <c r="H254" s="52"/>
      <c r="I254" s="4"/>
      <c r="J254" s="52"/>
      <c r="K254" s="52"/>
      <c r="L254" s="52"/>
      <c r="M254" s="52"/>
      <c r="N254" s="52"/>
      <c r="O254" s="52"/>
      <c r="P254" s="52"/>
      <c r="Q254" s="52"/>
      <c r="R254" s="4"/>
      <c r="S254" s="4"/>
      <c r="T254" s="4"/>
      <c r="U254" s="74"/>
      <c r="V254" s="3"/>
      <c r="W254" s="3"/>
      <c r="X254" s="3"/>
      <c r="Y254" s="3"/>
      <c r="Z254" s="58"/>
      <c r="AA254" s="3"/>
      <c r="AB254" s="3"/>
      <c r="AC254" s="4"/>
      <c r="AD254" s="4"/>
      <c r="AE254" s="4"/>
      <c r="AF254" s="4"/>
      <c r="AG254" s="4"/>
      <c r="AH254" s="4"/>
      <c r="AI254" s="4"/>
    </row>
    <row r="255">
      <c r="A255" s="57"/>
      <c r="B255" s="4"/>
      <c r="C255" s="4"/>
      <c r="D255" s="4"/>
      <c r="E255" s="4"/>
      <c r="F255" s="4"/>
      <c r="G255" s="4"/>
      <c r="H255" s="52"/>
      <c r="I255" s="4"/>
      <c r="J255" s="52"/>
      <c r="K255" s="52"/>
      <c r="L255" s="52"/>
      <c r="M255" s="52"/>
      <c r="N255" s="52"/>
      <c r="O255" s="52"/>
      <c r="P255" s="52"/>
      <c r="Q255" s="52"/>
      <c r="R255" s="4"/>
      <c r="S255" s="4"/>
      <c r="T255" s="4"/>
      <c r="U255" s="74"/>
      <c r="V255" s="3"/>
      <c r="W255" s="3"/>
      <c r="X255" s="3"/>
      <c r="Y255" s="3"/>
      <c r="Z255" s="58"/>
      <c r="AA255" s="3"/>
      <c r="AB255" s="3"/>
      <c r="AC255" s="4"/>
      <c r="AD255" s="4"/>
      <c r="AE255" s="4"/>
      <c r="AF255" s="4"/>
      <c r="AG255" s="4"/>
      <c r="AH255" s="4"/>
      <c r="AI255" s="4"/>
    </row>
    <row r="256">
      <c r="A256" s="57"/>
      <c r="B256" s="4"/>
      <c r="C256" s="4"/>
      <c r="D256" s="4"/>
      <c r="E256" s="4"/>
      <c r="F256" s="4"/>
      <c r="G256" s="4"/>
      <c r="H256" s="52"/>
      <c r="I256" s="4"/>
      <c r="J256" s="52"/>
      <c r="K256" s="52"/>
      <c r="L256" s="52"/>
      <c r="M256" s="52"/>
      <c r="N256" s="52"/>
      <c r="O256" s="52"/>
      <c r="P256" s="52"/>
      <c r="Q256" s="52"/>
      <c r="R256" s="4"/>
      <c r="S256" s="4"/>
      <c r="T256" s="4"/>
      <c r="U256" s="74"/>
      <c r="V256" s="3"/>
      <c r="W256" s="3"/>
      <c r="X256" s="3"/>
      <c r="Y256" s="3"/>
      <c r="Z256" s="58"/>
      <c r="AA256" s="3"/>
      <c r="AB256" s="3"/>
      <c r="AC256" s="4"/>
      <c r="AD256" s="4"/>
      <c r="AE256" s="4"/>
      <c r="AF256" s="4"/>
      <c r="AG256" s="4"/>
      <c r="AH256" s="4"/>
      <c r="AI256" s="4"/>
    </row>
    <row r="257">
      <c r="A257" s="57"/>
      <c r="B257" s="4"/>
      <c r="C257" s="4"/>
      <c r="D257" s="4"/>
      <c r="E257" s="4"/>
      <c r="F257" s="4"/>
      <c r="G257" s="4"/>
      <c r="H257" s="52"/>
      <c r="I257" s="4"/>
      <c r="J257" s="52"/>
      <c r="K257" s="52"/>
      <c r="L257" s="52"/>
      <c r="M257" s="52"/>
      <c r="N257" s="52"/>
      <c r="O257" s="52"/>
      <c r="P257" s="52"/>
      <c r="Q257" s="52"/>
      <c r="R257" s="4"/>
      <c r="S257" s="4"/>
      <c r="T257" s="4"/>
      <c r="U257" s="74"/>
      <c r="V257" s="3"/>
      <c r="W257" s="3"/>
      <c r="X257" s="3"/>
      <c r="Y257" s="3"/>
      <c r="Z257" s="58"/>
      <c r="AA257" s="3"/>
      <c r="AB257" s="3"/>
      <c r="AC257" s="4"/>
      <c r="AD257" s="4"/>
      <c r="AE257" s="4"/>
      <c r="AF257" s="4"/>
      <c r="AG257" s="4"/>
      <c r="AH257" s="4"/>
      <c r="AI257" s="4"/>
    </row>
    <row r="258">
      <c r="A258" s="57"/>
      <c r="B258" s="4"/>
      <c r="C258" s="4"/>
      <c r="D258" s="4"/>
      <c r="E258" s="4"/>
      <c r="F258" s="4"/>
      <c r="G258" s="4"/>
      <c r="H258" s="52"/>
      <c r="I258" s="4"/>
      <c r="J258" s="52"/>
      <c r="K258" s="52"/>
      <c r="L258" s="52"/>
      <c r="M258" s="52"/>
      <c r="N258" s="52"/>
      <c r="O258" s="52"/>
      <c r="P258" s="52"/>
      <c r="Q258" s="52"/>
      <c r="R258" s="4"/>
      <c r="S258" s="4"/>
      <c r="T258" s="4"/>
      <c r="U258" s="74"/>
      <c r="V258" s="3"/>
      <c r="W258" s="3"/>
      <c r="X258" s="3"/>
      <c r="Y258" s="3"/>
      <c r="Z258" s="58"/>
      <c r="AA258" s="3"/>
      <c r="AB258" s="3"/>
      <c r="AC258" s="4"/>
      <c r="AD258" s="4"/>
      <c r="AE258" s="4"/>
      <c r="AF258" s="4"/>
      <c r="AG258" s="4"/>
      <c r="AH258" s="4"/>
      <c r="AI258" s="4"/>
    </row>
    <row r="259">
      <c r="A259" s="57"/>
      <c r="B259" s="4"/>
      <c r="C259" s="4"/>
      <c r="D259" s="4"/>
      <c r="E259" s="4"/>
      <c r="F259" s="4"/>
      <c r="G259" s="4"/>
      <c r="H259" s="52"/>
      <c r="I259" s="4"/>
      <c r="J259" s="52"/>
      <c r="K259" s="52"/>
      <c r="L259" s="52"/>
      <c r="M259" s="52"/>
      <c r="N259" s="52"/>
      <c r="O259" s="52"/>
      <c r="P259" s="52"/>
      <c r="Q259" s="52"/>
      <c r="R259" s="4"/>
      <c r="S259" s="4"/>
      <c r="T259" s="4"/>
      <c r="U259" s="74"/>
      <c r="V259" s="3"/>
      <c r="W259" s="3"/>
      <c r="X259" s="3"/>
      <c r="Y259" s="3"/>
      <c r="Z259" s="58"/>
      <c r="AA259" s="3"/>
      <c r="AB259" s="3"/>
      <c r="AC259" s="4"/>
      <c r="AD259" s="4"/>
      <c r="AE259" s="4"/>
      <c r="AF259" s="4"/>
      <c r="AG259" s="4"/>
      <c r="AH259" s="4"/>
      <c r="AI259" s="4"/>
    </row>
    <row r="260">
      <c r="A260" s="57"/>
      <c r="B260" s="4"/>
      <c r="C260" s="4"/>
      <c r="D260" s="4"/>
      <c r="E260" s="4"/>
      <c r="F260" s="4"/>
      <c r="G260" s="4"/>
      <c r="H260" s="52"/>
      <c r="I260" s="4"/>
      <c r="J260" s="52"/>
      <c r="K260" s="52"/>
      <c r="L260" s="52"/>
      <c r="M260" s="52"/>
      <c r="N260" s="52"/>
      <c r="O260" s="52"/>
      <c r="P260" s="52"/>
      <c r="Q260" s="52"/>
      <c r="R260" s="4"/>
      <c r="S260" s="4"/>
      <c r="T260" s="4"/>
      <c r="U260" s="74"/>
      <c r="V260" s="3"/>
      <c r="W260" s="3"/>
      <c r="X260" s="3"/>
      <c r="Y260" s="3"/>
      <c r="Z260" s="58"/>
      <c r="AA260" s="3"/>
      <c r="AB260" s="3"/>
      <c r="AC260" s="4"/>
      <c r="AD260" s="4"/>
      <c r="AE260" s="4"/>
      <c r="AF260" s="4"/>
      <c r="AG260" s="4"/>
      <c r="AH260" s="4"/>
      <c r="AI260" s="4"/>
    </row>
    <row r="261">
      <c r="A261" s="57"/>
      <c r="B261" s="4"/>
      <c r="C261" s="4"/>
      <c r="D261" s="4"/>
      <c r="E261" s="4"/>
      <c r="F261" s="4"/>
      <c r="G261" s="4"/>
      <c r="H261" s="52"/>
      <c r="I261" s="4"/>
      <c r="J261" s="52"/>
      <c r="K261" s="52"/>
      <c r="L261" s="52"/>
      <c r="M261" s="52"/>
      <c r="N261" s="52"/>
      <c r="O261" s="52"/>
      <c r="P261" s="52"/>
      <c r="Q261" s="52"/>
      <c r="R261" s="4"/>
      <c r="S261" s="4"/>
      <c r="T261" s="4"/>
      <c r="U261" s="74"/>
      <c r="V261" s="3"/>
      <c r="W261" s="3"/>
      <c r="X261" s="3"/>
      <c r="Y261" s="3"/>
      <c r="Z261" s="58"/>
      <c r="AA261" s="3"/>
      <c r="AB261" s="3"/>
      <c r="AC261" s="4"/>
      <c r="AD261" s="4"/>
      <c r="AE261" s="4"/>
      <c r="AF261" s="4"/>
      <c r="AG261" s="4"/>
      <c r="AH261" s="4"/>
      <c r="AI261" s="4"/>
    </row>
    <row r="262">
      <c r="A262" s="57"/>
      <c r="B262" s="4"/>
      <c r="C262" s="4"/>
      <c r="D262" s="4"/>
      <c r="E262" s="4"/>
      <c r="F262" s="4"/>
      <c r="G262" s="4"/>
      <c r="H262" s="52"/>
      <c r="I262" s="4"/>
      <c r="J262" s="52"/>
      <c r="K262" s="52"/>
      <c r="L262" s="52"/>
      <c r="M262" s="52"/>
      <c r="N262" s="52"/>
      <c r="O262" s="52"/>
      <c r="P262" s="52"/>
      <c r="Q262" s="52"/>
      <c r="R262" s="4"/>
      <c r="S262" s="4"/>
      <c r="T262" s="4"/>
      <c r="U262" s="74"/>
      <c r="V262" s="3"/>
      <c r="W262" s="3"/>
      <c r="X262" s="3"/>
      <c r="Y262" s="3"/>
      <c r="Z262" s="58"/>
      <c r="AA262" s="3"/>
      <c r="AB262" s="3"/>
      <c r="AC262" s="4"/>
      <c r="AD262" s="4"/>
      <c r="AE262" s="4"/>
      <c r="AF262" s="4"/>
      <c r="AG262" s="4"/>
      <c r="AH262" s="4"/>
      <c r="AI262" s="4"/>
    </row>
    <row r="263">
      <c r="A263" s="57"/>
      <c r="B263" s="4"/>
      <c r="C263" s="4"/>
      <c r="D263" s="4"/>
      <c r="E263" s="4"/>
      <c r="F263" s="4"/>
      <c r="G263" s="4"/>
      <c r="H263" s="52"/>
      <c r="I263" s="4"/>
      <c r="J263" s="52"/>
      <c r="K263" s="52"/>
      <c r="L263" s="52"/>
      <c r="M263" s="52"/>
      <c r="N263" s="52"/>
      <c r="O263" s="52"/>
      <c r="P263" s="52"/>
      <c r="Q263" s="52"/>
      <c r="R263" s="4"/>
      <c r="S263" s="4"/>
      <c r="T263" s="4"/>
      <c r="U263" s="74"/>
      <c r="V263" s="3"/>
      <c r="W263" s="3"/>
      <c r="X263" s="3"/>
      <c r="Y263" s="3"/>
      <c r="Z263" s="58"/>
      <c r="AA263" s="3"/>
      <c r="AB263" s="3"/>
      <c r="AC263" s="4"/>
      <c r="AD263" s="4"/>
      <c r="AE263" s="4"/>
      <c r="AF263" s="4"/>
      <c r="AG263" s="4"/>
      <c r="AH263" s="4"/>
      <c r="AI263" s="4"/>
    </row>
    <row r="264">
      <c r="A264" s="57"/>
      <c r="B264" s="4"/>
      <c r="C264" s="4"/>
      <c r="D264" s="4"/>
      <c r="E264" s="4"/>
      <c r="F264" s="4"/>
      <c r="G264" s="4"/>
      <c r="H264" s="52"/>
      <c r="I264" s="4"/>
      <c r="J264" s="52"/>
      <c r="K264" s="52"/>
      <c r="L264" s="52"/>
      <c r="M264" s="52"/>
      <c r="N264" s="52"/>
      <c r="O264" s="52"/>
      <c r="P264" s="52"/>
      <c r="Q264" s="52"/>
      <c r="R264" s="4"/>
      <c r="S264" s="4"/>
      <c r="T264" s="4"/>
      <c r="U264" s="74"/>
      <c r="V264" s="3"/>
      <c r="W264" s="3"/>
      <c r="X264" s="3"/>
      <c r="Y264" s="3"/>
      <c r="Z264" s="58"/>
      <c r="AA264" s="3"/>
      <c r="AB264" s="3"/>
      <c r="AC264" s="4"/>
      <c r="AD264" s="4"/>
      <c r="AE264" s="4"/>
      <c r="AF264" s="4"/>
      <c r="AG264" s="4"/>
      <c r="AH264" s="4"/>
      <c r="AI264" s="4"/>
    </row>
    <row r="265">
      <c r="A265" s="57"/>
      <c r="B265" s="4"/>
      <c r="C265" s="4"/>
      <c r="D265" s="4"/>
      <c r="E265" s="4"/>
      <c r="F265" s="4"/>
      <c r="G265" s="4"/>
      <c r="H265" s="52"/>
      <c r="I265" s="4"/>
      <c r="J265" s="52"/>
      <c r="K265" s="52"/>
      <c r="L265" s="52"/>
      <c r="M265" s="52"/>
      <c r="N265" s="52"/>
      <c r="O265" s="52"/>
      <c r="P265" s="52"/>
      <c r="Q265" s="52"/>
      <c r="R265" s="4"/>
      <c r="S265" s="4"/>
      <c r="T265" s="4"/>
      <c r="U265" s="74"/>
      <c r="V265" s="3"/>
      <c r="W265" s="3"/>
      <c r="X265" s="3"/>
      <c r="Y265" s="3"/>
      <c r="Z265" s="58"/>
      <c r="AA265" s="3"/>
      <c r="AB265" s="3"/>
      <c r="AC265" s="4"/>
      <c r="AD265" s="4"/>
      <c r="AE265" s="4"/>
      <c r="AF265" s="4"/>
      <c r="AG265" s="4"/>
      <c r="AH265" s="4"/>
      <c r="AI265" s="4"/>
    </row>
    <row r="266">
      <c r="A266" s="57"/>
      <c r="B266" s="4"/>
      <c r="C266" s="4"/>
      <c r="D266" s="4"/>
      <c r="E266" s="4"/>
      <c r="F266" s="4"/>
      <c r="G266" s="4"/>
      <c r="H266" s="52"/>
      <c r="I266" s="4"/>
      <c r="J266" s="52"/>
      <c r="K266" s="52"/>
      <c r="L266" s="52"/>
      <c r="M266" s="52"/>
      <c r="N266" s="52"/>
      <c r="O266" s="52"/>
      <c r="P266" s="52"/>
      <c r="Q266" s="52"/>
      <c r="R266" s="4"/>
      <c r="S266" s="4"/>
      <c r="T266" s="4"/>
      <c r="U266" s="74"/>
      <c r="V266" s="3"/>
      <c r="W266" s="3"/>
      <c r="X266" s="3"/>
      <c r="Y266" s="3"/>
      <c r="Z266" s="58"/>
      <c r="AA266" s="3"/>
      <c r="AB266" s="3"/>
      <c r="AC266" s="4"/>
      <c r="AD266" s="4"/>
      <c r="AE266" s="4"/>
      <c r="AF266" s="4"/>
      <c r="AG266" s="4"/>
      <c r="AH266" s="4"/>
      <c r="AI266" s="4"/>
    </row>
    <row r="267">
      <c r="A267" s="57"/>
      <c r="B267" s="4"/>
      <c r="C267" s="4"/>
      <c r="D267" s="4"/>
      <c r="E267" s="4"/>
      <c r="F267" s="4"/>
      <c r="G267" s="4"/>
      <c r="H267" s="52"/>
      <c r="I267" s="4"/>
      <c r="J267" s="52"/>
      <c r="K267" s="52"/>
      <c r="L267" s="52"/>
      <c r="M267" s="52"/>
      <c r="N267" s="52"/>
      <c r="O267" s="52"/>
      <c r="P267" s="52"/>
      <c r="Q267" s="52"/>
      <c r="R267" s="4"/>
      <c r="S267" s="4"/>
      <c r="T267" s="4"/>
      <c r="U267" s="74"/>
      <c r="V267" s="3"/>
      <c r="W267" s="3"/>
      <c r="X267" s="3"/>
      <c r="Y267" s="3"/>
      <c r="Z267" s="58"/>
      <c r="AA267" s="3"/>
      <c r="AB267" s="3"/>
      <c r="AC267" s="4"/>
      <c r="AD267" s="4"/>
      <c r="AE267" s="4"/>
      <c r="AF267" s="4"/>
      <c r="AG267" s="4"/>
      <c r="AH267" s="4"/>
      <c r="AI267" s="4"/>
    </row>
    <row r="268">
      <c r="A268" s="57"/>
      <c r="B268" s="4"/>
      <c r="C268" s="4"/>
      <c r="D268" s="4"/>
      <c r="E268" s="4"/>
      <c r="F268" s="4"/>
      <c r="G268" s="4"/>
      <c r="H268" s="52"/>
      <c r="I268" s="4"/>
      <c r="J268" s="52"/>
      <c r="K268" s="52"/>
      <c r="L268" s="52"/>
      <c r="M268" s="52"/>
      <c r="N268" s="52"/>
      <c r="O268" s="52"/>
      <c r="P268" s="52"/>
      <c r="Q268" s="52"/>
      <c r="R268" s="4"/>
      <c r="S268" s="4"/>
      <c r="T268" s="4"/>
      <c r="U268" s="74"/>
      <c r="V268" s="3"/>
      <c r="W268" s="3"/>
      <c r="X268" s="3"/>
      <c r="Y268" s="3"/>
      <c r="Z268" s="58"/>
      <c r="AA268" s="3"/>
      <c r="AB268" s="3"/>
      <c r="AC268" s="4"/>
      <c r="AD268" s="4"/>
      <c r="AE268" s="4"/>
      <c r="AF268" s="4"/>
      <c r="AG268" s="4"/>
      <c r="AH268" s="4"/>
      <c r="AI268" s="4"/>
    </row>
    <row r="269">
      <c r="A269" s="57"/>
      <c r="B269" s="4"/>
      <c r="C269" s="4"/>
      <c r="D269" s="4"/>
      <c r="E269" s="4"/>
      <c r="F269" s="4"/>
      <c r="G269" s="4"/>
      <c r="H269" s="52"/>
      <c r="I269" s="4"/>
      <c r="J269" s="52"/>
      <c r="K269" s="52"/>
      <c r="L269" s="52"/>
      <c r="M269" s="52"/>
      <c r="N269" s="52"/>
      <c r="O269" s="52"/>
      <c r="P269" s="52"/>
      <c r="Q269" s="52"/>
      <c r="R269" s="4"/>
      <c r="S269" s="4"/>
      <c r="T269" s="4"/>
      <c r="U269" s="74"/>
      <c r="V269" s="3"/>
      <c r="W269" s="3"/>
      <c r="X269" s="3"/>
      <c r="Y269" s="3"/>
      <c r="Z269" s="58"/>
      <c r="AA269" s="3"/>
      <c r="AB269" s="3"/>
      <c r="AC269" s="4"/>
      <c r="AD269" s="4"/>
      <c r="AE269" s="4"/>
      <c r="AF269" s="4"/>
      <c r="AG269" s="4"/>
      <c r="AH269" s="4"/>
      <c r="AI269" s="4"/>
    </row>
    <row r="270">
      <c r="A270" s="57"/>
      <c r="B270" s="4"/>
      <c r="C270" s="4"/>
      <c r="D270" s="4"/>
      <c r="E270" s="4"/>
      <c r="F270" s="4"/>
      <c r="G270" s="4"/>
      <c r="H270" s="52"/>
      <c r="I270" s="4"/>
      <c r="J270" s="52"/>
      <c r="K270" s="52"/>
      <c r="L270" s="52"/>
      <c r="M270" s="52"/>
      <c r="N270" s="52"/>
      <c r="O270" s="52"/>
      <c r="P270" s="52"/>
      <c r="Q270" s="52"/>
      <c r="R270" s="4"/>
      <c r="S270" s="4"/>
      <c r="T270" s="4"/>
      <c r="U270" s="74"/>
      <c r="V270" s="3"/>
      <c r="W270" s="3"/>
      <c r="X270" s="3"/>
      <c r="Y270" s="3"/>
      <c r="Z270" s="58"/>
      <c r="AA270" s="3"/>
      <c r="AB270" s="3"/>
      <c r="AC270" s="4"/>
      <c r="AD270" s="4"/>
      <c r="AE270" s="4"/>
      <c r="AF270" s="4"/>
      <c r="AG270" s="4"/>
      <c r="AH270" s="4"/>
      <c r="AI270" s="4"/>
    </row>
    <row r="271">
      <c r="A271" s="57"/>
      <c r="B271" s="4"/>
      <c r="C271" s="4"/>
      <c r="D271" s="4"/>
      <c r="E271" s="4"/>
      <c r="F271" s="4"/>
      <c r="G271" s="4"/>
      <c r="H271" s="52"/>
      <c r="I271" s="4"/>
      <c r="J271" s="52"/>
      <c r="K271" s="52"/>
      <c r="L271" s="52"/>
      <c r="M271" s="52"/>
      <c r="N271" s="52"/>
      <c r="O271" s="52"/>
      <c r="P271" s="52"/>
      <c r="Q271" s="52"/>
      <c r="R271" s="4"/>
      <c r="S271" s="4"/>
      <c r="T271" s="4"/>
      <c r="U271" s="74"/>
      <c r="V271" s="3"/>
      <c r="W271" s="3"/>
      <c r="X271" s="3"/>
      <c r="Y271" s="3"/>
      <c r="Z271" s="58"/>
      <c r="AA271" s="3"/>
      <c r="AB271" s="3"/>
      <c r="AC271" s="4"/>
      <c r="AD271" s="4"/>
      <c r="AE271" s="4"/>
      <c r="AF271" s="4"/>
      <c r="AG271" s="4"/>
      <c r="AH271" s="4"/>
      <c r="AI271" s="4"/>
    </row>
    <row r="272">
      <c r="A272" s="57"/>
      <c r="B272" s="4"/>
      <c r="C272" s="4"/>
      <c r="D272" s="4"/>
      <c r="E272" s="4"/>
      <c r="F272" s="4"/>
      <c r="G272" s="4"/>
      <c r="H272" s="52"/>
      <c r="I272" s="4"/>
      <c r="J272" s="52"/>
      <c r="K272" s="52"/>
      <c r="L272" s="52"/>
      <c r="M272" s="52"/>
      <c r="N272" s="52"/>
      <c r="O272" s="52"/>
      <c r="P272" s="52"/>
      <c r="Q272" s="52"/>
      <c r="R272" s="4"/>
      <c r="S272" s="4"/>
      <c r="T272" s="4"/>
      <c r="U272" s="74"/>
      <c r="V272" s="3"/>
      <c r="W272" s="3"/>
      <c r="X272" s="3"/>
      <c r="Y272" s="3"/>
      <c r="Z272" s="58"/>
      <c r="AA272" s="3"/>
      <c r="AB272" s="3"/>
      <c r="AC272" s="4"/>
      <c r="AD272" s="4"/>
      <c r="AE272" s="4"/>
      <c r="AF272" s="4"/>
      <c r="AG272" s="4"/>
      <c r="AH272" s="4"/>
      <c r="AI272" s="4"/>
    </row>
    <row r="273">
      <c r="A273" s="57"/>
      <c r="B273" s="4"/>
      <c r="C273" s="4"/>
      <c r="D273" s="4"/>
      <c r="E273" s="4"/>
      <c r="F273" s="4"/>
      <c r="G273" s="4"/>
      <c r="H273" s="52"/>
      <c r="I273" s="4"/>
      <c r="J273" s="52"/>
      <c r="K273" s="52"/>
      <c r="L273" s="52"/>
      <c r="M273" s="52"/>
      <c r="N273" s="52"/>
      <c r="O273" s="52"/>
      <c r="P273" s="52"/>
      <c r="Q273" s="52"/>
      <c r="R273" s="4"/>
      <c r="S273" s="4"/>
      <c r="T273" s="4"/>
      <c r="U273" s="74"/>
      <c r="V273" s="3"/>
      <c r="W273" s="3"/>
      <c r="X273" s="3"/>
      <c r="Y273" s="3"/>
      <c r="Z273" s="58"/>
      <c r="AA273" s="3"/>
      <c r="AB273" s="3"/>
      <c r="AC273" s="4"/>
      <c r="AD273" s="4"/>
      <c r="AE273" s="4"/>
      <c r="AF273" s="4"/>
      <c r="AG273" s="4"/>
      <c r="AH273" s="4"/>
      <c r="AI273" s="4"/>
    </row>
    <row r="274">
      <c r="A274" s="57"/>
      <c r="B274" s="4"/>
      <c r="C274" s="4"/>
      <c r="D274" s="4"/>
      <c r="E274" s="4"/>
      <c r="F274" s="4"/>
      <c r="G274" s="4"/>
      <c r="H274" s="52"/>
      <c r="I274" s="4"/>
      <c r="J274" s="52"/>
      <c r="K274" s="52"/>
      <c r="L274" s="52"/>
      <c r="M274" s="52"/>
      <c r="N274" s="52"/>
      <c r="O274" s="52"/>
      <c r="P274" s="52"/>
      <c r="Q274" s="52"/>
      <c r="R274" s="4"/>
      <c r="S274" s="4"/>
      <c r="T274" s="4"/>
      <c r="U274" s="74"/>
      <c r="V274" s="3"/>
      <c r="W274" s="3"/>
      <c r="X274" s="3"/>
      <c r="Y274" s="3"/>
      <c r="Z274" s="58"/>
      <c r="AA274" s="3"/>
      <c r="AB274" s="3"/>
      <c r="AC274" s="4"/>
      <c r="AD274" s="4"/>
      <c r="AE274" s="4"/>
      <c r="AF274" s="4"/>
      <c r="AG274" s="4"/>
      <c r="AH274" s="4"/>
      <c r="AI274" s="4"/>
    </row>
    <row r="275">
      <c r="A275" s="57"/>
      <c r="B275" s="4"/>
      <c r="C275" s="4"/>
      <c r="D275" s="4"/>
      <c r="E275" s="4"/>
      <c r="F275" s="4"/>
      <c r="G275" s="4"/>
      <c r="H275" s="52"/>
      <c r="I275" s="4"/>
      <c r="J275" s="52"/>
      <c r="K275" s="52"/>
      <c r="L275" s="52"/>
      <c r="M275" s="52"/>
      <c r="N275" s="52"/>
      <c r="O275" s="52"/>
      <c r="P275" s="52"/>
      <c r="Q275" s="52"/>
      <c r="R275" s="4"/>
      <c r="S275" s="4"/>
      <c r="T275" s="4"/>
      <c r="U275" s="74"/>
      <c r="V275" s="3"/>
      <c r="W275" s="3"/>
      <c r="X275" s="3"/>
      <c r="Y275" s="3"/>
      <c r="Z275" s="58"/>
      <c r="AA275" s="3"/>
      <c r="AB275" s="3"/>
      <c r="AC275" s="4"/>
      <c r="AD275" s="4"/>
      <c r="AE275" s="4"/>
      <c r="AF275" s="4"/>
      <c r="AG275" s="4"/>
      <c r="AH275" s="4"/>
      <c r="AI275" s="4"/>
    </row>
    <row r="276">
      <c r="A276" s="57"/>
      <c r="B276" s="4"/>
      <c r="C276" s="4"/>
      <c r="D276" s="4"/>
      <c r="E276" s="4"/>
      <c r="F276" s="4"/>
      <c r="G276" s="4"/>
      <c r="H276" s="52"/>
      <c r="I276" s="4"/>
      <c r="J276" s="52"/>
      <c r="K276" s="52"/>
      <c r="L276" s="52"/>
      <c r="M276" s="52"/>
      <c r="N276" s="52"/>
      <c r="O276" s="52"/>
      <c r="P276" s="52"/>
      <c r="Q276" s="52"/>
      <c r="R276" s="4"/>
      <c r="S276" s="4"/>
      <c r="T276" s="4"/>
      <c r="U276" s="74"/>
      <c r="V276" s="3"/>
      <c r="W276" s="3"/>
      <c r="X276" s="3"/>
      <c r="Y276" s="3"/>
      <c r="Z276" s="58"/>
      <c r="AA276" s="3"/>
      <c r="AB276" s="3"/>
      <c r="AC276" s="4"/>
      <c r="AD276" s="4"/>
      <c r="AE276" s="4"/>
      <c r="AF276" s="4"/>
      <c r="AG276" s="4"/>
      <c r="AH276" s="4"/>
      <c r="AI276" s="4"/>
    </row>
    <row r="277">
      <c r="A277" s="57"/>
      <c r="B277" s="4"/>
      <c r="C277" s="4"/>
      <c r="D277" s="4"/>
      <c r="E277" s="4"/>
      <c r="F277" s="4"/>
      <c r="G277" s="4"/>
      <c r="H277" s="52"/>
      <c r="I277" s="4"/>
      <c r="J277" s="52"/>
      <c r="K277" s="52"/>
      <c r="L277" s="52"/>
      <c r="M277" s="52"/>
      <c r="N277" s="52"/>
      <c r="O277" s="52"/>
      <c r="P277" s="52"/>
      <c r="Q277" s="52"/>
      <c r="R277" s="4"/>
      <c r="S277" s="4"/>
      <c r="T277" s="4"/>
      <c r="U277" s="74"/>
      <c r="V277" s="3"/>
      <c r="W277" s="3"/>
      <c r="X277" s="3"/>
      <c r="Y277" s="3"/>
      <c r="Z277" s="58"/>
      <c r="AA277" s="3"/>
      <c r="AB277" s="3"/>
      <c r="AC277" s="4"/>
      <c r="AD277" s="4"/>
      <c r="AE277" s="4"/>
      <c r="AF277" s="4"/>
      <c r="AG277" s="4"/>
      <c r="AH277" s="4"/>
      <c r="AI277" s="4"/>
    </row>
    <row r="278">
      <c r="A278" s="57"/>
      <c r="B278" s="4"/>
      <c r="C278" s="4"/>
      <c r="D278" s="4"/>
      <c r="E278" s="4"/>
      <c r="F278" s="4"/>
      <c r="G278" s="4"/>
      <c r="H278" s="52"/>
      <c r="I278" s="4"/>
      <c r="J278" s="52"/>
      <c r="K278" s="52"/>
      <c r="L278" s="52"/>
      <c r="M278" s="52"/>
      <c r="N278" s="52"/>
      <c r="O278" s="52"/>
      <c r="P278" s="52"/>
      <c r="Q278" s="52"/>
      <c r="R278" s="4"/>
      <c r="S278" s="4"/>
      <c r="T278" s="4"/>
      <c r="U278" s="74"/>
      <c r="V278" s="3"/>
      <c r="W278" s="3"/>
      <c r="X278" s="3"/>
      <c r="Y278" s="3"/>
      <c r="Z278" s="58"/>
      <c r="AA278" s="3"/>
      <c r="AB278" s="3"/>
      <c r="AC278" s="4"/>
      <c r="AD278" s="4"/>
      <c r="AE278" s="4"/>
      <c r="AF278" s="4"/>
      <c r="AG278" s="4"/>
      <c r="AH278" s="4"/>
      <c r="AI278" s="4"/>
    </row>
    <row r="279">
      <c r="A279" s="57"/>
      <c r="B279" s="4"/>
      <c r="C279" s="4"/>
      <c r="D279" s="4"/>
      <c r="E279" s="4"/>
      <c r="F279" s="4"/>
      <c r="G279" s="4"/>
      <c r="H279" s="52"/>
      <c r="I279" s="4"/>
      <c r="J279" s="52"/>
      <c r="K279" s="52"/>
      <c r="L279" s="52"/>
      <c r="M279" s="52"/>
      <c r="N279" s="52"/>
      <c r="O279" s="52"/>
      <c r="P279" s="52"/>
      <c r="Q279" s="52"/>
      <c r="R279" s="4"/>
      <c r="S279" s="4"/>
      <c r="T279" s="4"/>
      <c r="U279" s="74"/>
      <c r="V279" s="3"/>
      <c r="W279" s="3"/>
      <c r="X279" s="3"/>
      <c r="Y279" s="3"/>
      <c r="Z279" s="58"/>
      <c r="AA279" s="3"/>
      <c r="AB279" s="3"/>
      <c r="AC279" s="4"/>
      <c r="AD279" s="4"/>
      <c r="AE279" s="4"/>
      <c r="AF279" s="4"/>
      <c r="AG279" s="4"/>
      <c r="AH279" s="4"/>
      <c r="AI279" s="4"/>
    </row>
    <row r="280">
      <c r="A280" s="57"/>
      <c r="B280" s="4"/>
      <c r="C280" s="4"/>
      <c r="D280" s="4"/>
      <c r="E280" s="4"/>
      <c r="F280" s="4"/>
      <c r="G280" s="4"/>
      <c r="H280" s="52"/>
      <c r="I280" s="4"/>
      <c r="J280" s="52"/>
      <c r="K280" s="52"/>
      <c r="L280" s="52"/>
      <c r="M280" s="52"/>
      <c r="N280" s="52"/>
      <c r="O280" s="52"/>
      <c r="P280" s="52"/>
      <c r="Q280" s="52"/>
      <c r="R280" s="4"/>
      <c r="S280" s="4"/>
      <c r="T280" s="4"/>
      <c r="U280" s="74"/>
      <c r="V280" s="3"/>
      <c r="W280" s="3"/>
      <c r="X280" s="3"/>
      <c r="Y280" s="3"/>
      <c r="Z280" s="58"/>
      <c r="AA280" s="3"/>
      <c r="AB280" s="3"/>
      <c r="AC280" s="4"/>
      <c r="AD280" s="4"/>
      <c r="AE280" s="4"/>
      <c r="AF280" s="4"/>
      <c r="AG280" s="4"/>
      <c r="AH280" s="4"/>
      <c r="AI280" s="4"/>
    </row>
    <row r="281">
      <c r="A281" s="57"/>
      <c r="B281" s="4"/>
      <c r="C281" s="4"/>
      <c r="D281" s="4"/>
      <c r="E281" s="4"/>
      <c r="F281" s="4"/>
      <c r="G281" s="4"/>
      <c r="H281" s="52"/>
      <c r="I281" s="4"/>
      <c r="J281" s="52"/>
      <c r="K281" s="52"/>
      <c r="L281" s="52"/>
      <c r="M281" s="52"/>
      <c r="N281" s="52"/>
      <c r="O281" s="52"/>
      <c r="P281" s="52"/>
      <c r="Q281" s="52"/>
      <c r="R281" s="4"/>
      <c r="S281" s="4"/>
      <c r="T281" s="4"/>
      <c r="U281" s="74"/>
      <c r="V281" s="3"/>
      <c r="W281" s="3"/>
      <c r="X281" s="3"/>
      <c r="Y281" s="3"/>
      <c r="Z281" s="58"/>
      <c r="AA281" s="3"/>
      <c r="AB281" s="3"/>
      <c r="AC281" s="4"/>
      <c r="AD281" s="4"/>
      <c r="AE281" s="4"/>
      <c r="AF281" s="4"/>
      <c r="AG281" s="4"/>
      <c r="AH281" s="4"/>
      <c r="AI281" s="4"/>
    </row>
    <row r="282">
      <c r="A282" s="57"/>
      <c r="B282" s="4"/>
      <c r="C282" s="4"/>
      <c r="D282" s="4"/>
      <c r="E282" s="4"/>
      <c r="F282" s="4"/>
      <c r="G282" s="4"/>
      <c r="H282" s="52"/>
      <c r="I282" s="4"/>
      <c r="J282" s="52"/>
      <c r="K282" s="52"/>
      <c r="L282" s="52"/>
      <c r="M282" s="52"/>
      <c r="N282" s="52"/>
      <c r="O282" s="52"/>
      <c r="P282" s="52"/>
      <c r="Q282" s="52"/>
      <c r="R282" s="4"/>
      <c r="S282" s="4"/>
      <c r="T282" s="4"/>
      <c r="U282" s="74"/>
      <c r="V282" s="3"/>
      <c r="W282" s="3"/>
      <c r="X282" s="3"/>
      <c r="Y282" s="3"/>
      <c r="Z282" s="58"/>
      <c r="AA282" s="3"/>
      <c r="AB282" s="3"/>
      <c r="AC282" s="4"/>
      <c r="AD282" s="4"/>
      <c r="AE282" s="4"/>
      <c r="AF282" s="4"/>
      <c r="AG282" s="4"/>
      <c r="AH282" s="4"/>
      <c r="AI282" s="4"/>
    </row>
    <row r="283">
      <c r="A283" s="57"/>
      <c r="B283" s="4"/>
      <c r="C283" s="4"/>
      <c r="D283" s="4"/>
      <c r="E283" s="4"/>
      <c r="F283" s="4"/>
      <c r="G283" s="4"/>
      <c r="H283" s="52"/>
      <c r="I283" s="4"/>
      <c r="J283" s="52"/>
      <c r="K283" s="52"/>
      <c r="L283" s="52"/>
      <c r="M283" s="52"/>
      <c r="N283" s="52"/>
      <c r="O283" s="52"/>
      <c r="P283" s="52"/>
      <c r="Q283" s="52"/>
      <c r="R283" s="4"/>
      <c r="S283" s="4"/>
      <c r="T283" s="4"/>
      <c r="U283" s="74"/>
      <c r="V283" s="3"/>
      <c r="W283" s="3"/>
      <c r="X283" s="3"/>
      <c r="Y283" s="3"/>
      <c r="Z283" s="58"/>
      <c r="AA283" s="3"/>
      <c r="AB283" s="3"/>
      <c r="AC283" s="4"/>
      <c r="AD283" s="4"/>
      <c r="AE283" s="4"/>
      <c r="AF283" s="4"/>
      <c r="AG283" s="4"/>
      <c r="AH283" s="4"/>
      <c r="AI283" s="4"/>
    </row>
    <row r="284">
      <c r="A284" s="57"/>
      <c r="B284" s="4"/>
      <c r="C284" s="4"/>
      <c r="D284" s="4"/>
      <c r="E284" s="4"/>
      <c r="F284" s="4"/>
      <c r="G284" s="4"/>
      <c r="H284" s="52"/>
      <c r="I284" s="4"/>
      <c r="J284" s="52"/>
      <c r="K284" s="52"/>
      <c r="L284" s="52"/>
      <c r="M284" s="52"/>
      <c r="N284" s="52"/>
      <c r="O284" s="52"/>
      <c r="P284" s="52"/>
      <c r="Q284" s="52"/>
      <c r="R284" s="4"/>
      <c r="S284" s="4"/>
      <c r="T284" s="4"/>
      <c r="U284" s="74"/>
      <c r="V284" s="3"/>
      <c r="W284" s="3"/>
      <c r="X284" s="3"/>
      <c r="Y284" s="3"/>
      <c r="Z284" s="58"/>
      <c r="AA284" s="3"/>
      <c r="AB284" s="3"/>
      <c r="AC284" s="4"/>
      <c r="AD284" s="4"/>
      <c r="AE284" s="4"/>
      <c r="AF284" s="4"/>
      <c r="AG284" s="4"/>
      <c r="AH284" s="4"/>
      <c r="AI284" s="4"/>
    </row>
    <row r="285">
      <c r="A285" s="57"/>
      <c r="B285" s="4"/>
      <c r="C285" s="4"/>
      <c r="D285" s="4"/>
      <c r="E285" s="4"/>
      <c r="F285" s="4"/>
      <c r="G285" s="4"/>
      <c r="H285" s="52"/>
      <c r="I285" s="4"/>
      <c r="J285" s="52"/>
      <c r="K285" s="52"/>
      <c r="L285" s="52"/>
      <c r="M285" s="52"/>
      <c r="N285" s="52"/>
      <c r="O285" s="52"/>
      <c r="P285" s="52"/>
      <c r="Q285" s="52"/>
      <c r="R285" s="4"/>
      <c r="S285" s="4"/>
      <c r="T285" s="4"/>
      <c r="U285" s="74"/>
      <c r="V285" s="3"/>
      <c r="W285" s="3"/>
      <c r="X285" s="3"/>
      <c r="Y285" s="3"/>
      <c r="Z285" s="58"/>
      <c r="AA285" s="3"/>
      <c r="AB285" s="3"/>
      <c r="AC285" s="4"/>
      <c r="AD285" s="4"/>
      <c r="AE285" s="4"/>
      <c r="AF285" s="4"/>
      <c r="AG285" s="4"/>
      <c r="AH285" s="4"/>
      <c r="AI285" s="4"/>
    </row>
    <row r="286">
      <c r="A286" s="57"/>
      <c r="B286" s="4"/>
      <c r="C286" s="4"/>
      <c r="D286" s="4"/>
      <c r="E286" s="4"/>
      <c r="F286" s="4"/>
      <c r="G286" s="4"/>
      <c r="H286" s="52"/>
      <c r="I286" s="4"/>
      <c r="J286" s="52"/>
      <c r="K286" s="52"/>
      <c r="L286" s="52"/>
      <c r="M286" s="52"/>
      <c r="N286" s="52"/>
      <c r="O286" s="52"/>
      <c r="P286" s="52"/>
      <c r="Q286" s="52"/>
      <c r="R286" s="4"/>
      <c r="S286" s="4"/>
      <c r="T286" s="4"/>
      <c r="U286" s="74"/>
      <c r="V286" s="3"/>
      <c r="W286" s="3"/>
      <c r="X286" s="3"/>
      <c r="Y286" s="3"/>
      <c r="Z286" s="58"/>
      <c r="AA286" s="3"/>
      <c r="AB286" s="3"/>
      <c r="AC286" s="4"/>
      <c r="AD286" s="4"/>
      <c r="AE286" s="4"/>
      <c r="AF286" s="4"/>
      <c r="AG286" s="4"/>
      <c r="AH286" s="4"/>
      <c r="AI286" s="4"/>
    </row>
    <row r="287">
      <c r="A287" s="57"/>
      <c r="B287" s="4"/>
      <c r="C287" s="4"/>
      <c r="D287" s="4"/>
      <c r="E287" s="4"/>
      <c r="F287" s="4"/>
      <c r="G287" s="4"/>
      <c r="H287" s="52"/>
      <c r="I287" s="4"/>
      <c r="J287" s="52"/>
      <c r="K287" s="52"/>
      <c r="L287" s="52"/>
      <c r="M287" s="52"/>
      <c r="N287" s="52"/>
      <c r="O287" s="52"/>
      <c r="P287" s="52"/>
      <c r="Q287" s="52"/>
      <c r="R287" s="4"/>
      <c r="S287" s="4"/>
      <c r="T287" s="4"/>
      <c r="U287" s="74"/>
      <c r="V287" s="3"/>
      <c r="W287" s="3"/>
      <c r="X287" s="3"/>
      <c r="Y287" s="3"/>
      <c r="Z287" s="58"/>
      <c r="AA287" s="3"/>
      <c r="AB287" s="3"/>
      <c r="AC287" s="4"/>
      <c r="AD287" s="4"/>
      <c r="AE287" s="4"/>
      <c r="AF287" s="4"/>
      <c r="AG287" s="4"/>
      <c r="AH287" s="4"/>
      <c r="AI287" s="4"/>
    </row>
    <row r="288">
      <c r="A288" s="57"/>
      <c r="B288" s="4"/>
      <c r="C288" s="4"/>
      <c r="D288" s="4"/>
      <c r="E288" s="4"/>
      <c r="F288" s="4"/>
      <c r="G288" s="4"/>
      <c r="H288" s="52"/>
      <c r="I288" s="4"/>
      <c r="J288" s="52"/>
      <c r="K288" s="52"/>
      <c r="L288" s="52"/>
      <c r="M288" s="52"/>
      <c r="N288" s="52"/>
      <c r="O288" s="52"/>
      <c r="P288" s="52"/>
      <c r="Q288" s="52"/>
      <c r="R288" s="4"/>
      <c r="S288" s="4"/>
      <c r="T288" s="4"/>
      <c r="U288" s="74"/>
      <c r="V288" s="3"/>
      <c r="W288" s="3"/>
      <c r="X288" s="3"/>
      <c r="Y288" s="3"/>
      <c r="Z288" s="58"/>
      <c r="AA288" s="3"/>
      <c r="AB288" s="3"/>
      <c r="AC288" s="4"/>
      <c r="AD288" s="4"/>
      <c r="AE288" s="4"/>
      <c r="AF288" s="4"/>
      <c r="AG288" s="4"/>
      <c r="AH288" s="4"/>
      <c r="AI288" s="4"/>
    </row>
    <row r="289">
      <c r="A289" s="57"/>
      <c r="B289" s="4"/>
      <c r="C289" s="4"/>
      <c r="D289" s="4"/>
      <c r="E289" s="4"/>
      <c r="F289" s="4"/>
      <c r="G289" s="4"/>
      <c r="H289" s="52"/>
      <c r="I289" s="4"/>
      <c r="J289" s="52"/>
      <c r="K289" s="52"/>
      <c r="L289" s="52"/>
      <c r="M289" s="52"/>
      <c r="N289" s="52"/>
      <c r="O289" s="52"/>
      <c r="P289" s="52"/>
      <c r="Q289" s="52"/>
      <c r="R289" s="4"/>
      <c r="S289" s="4"/>
      <c r="T289" s="4"/>
      <c r="U289" s="74"/>
      <c r="V289" s="3"/>
      <c r="W289" s="3"/>
      <c r="X289" s="3"/>
      <c r="Y289" s="3"/>
      <c r="Z289" s="58"/>
      <c r="AA289" s="3"/>
      <c r="AB289" s="3"/>
      <c r="AC289" s="4"/>
      <c r="AD289" s="4"/>
      <c r="AE289" s="4"/>
      <c r="AF289" s="4"/>
      <c r="AG289" s="4"/>
      <c r="AH289" s="4"/>
      <c r="AI289" s="4"/>
    </row>
    <row r="290">
      <c r="A290" s="57"/>
      <c r="B290" s="4"/>
      <c r="C290" s="4"/>
      <c r="D290" s="4"/>
      <c r="E290" s="4"/>
      <c r="F290" s="4"/>
      <c r="G290" s="4"/>
      <c r="H290" s="52"/>
      <c r="I290" s="4"/>
      <c r="J290" s="52"/>
      <c r="K290" s="52"/>
      <c r="L290" s="52"/>
      <c r="M290" s="52"/>
      <c r="N290" s="52"/>
      <c r="O290" s="52"/>
      <c r="P290" s="52"/>
      <c r="Q290" s="52"/>
      <c r="R290" s="4"/>
      <c r="S290" s="4"/>
      <c r="T290" s="4"/>
      <c r="U290" s="74"/>
      <c r="V290" s="3"/>
      <c r="W290" s="3"/>
      <c r="X290" s="3"/>
      <c r="Y290" s="3"/>
      <c r="Z290" s="58"/>
      <c r="AA290" s="3"/>
      <c r="AB290" s="3"/>
      <c r="AC290" s="4"/>
      <c r="AD290" s="4"/>
      <c r="AE290" s="4"/>
      <c r="AF290" s="4"/>
      <c r="AG290" s="4"/>
      <c r="AH290" s="4"/>
      <c r="AI290" s="4"/>
    </row>
    <row r="291">
      <c r="A291" s="57"/>
      <c r="B291" s="4"/>
      <c r="C291" s="4"/>
      <c r="D291" s="4"/>
      <c r="E291" s="4"/>
      <c r="F291" s="4"/>
      <c r="G291" s="4"/>
      <c r="H291" s="52"/>
      <c r="I291" s="4"/>
      <c r="J291" s="52"/>
      <c r="K291" s="52"/>
      <c r="L291" s="52"/>
      <c r="M291" s="52"/>
      <c r="N291" s="52"/>
      <c r="O291" s="52"/>
      <c r="P291" s="52"/>
      <c r="Q291" s="52"/>
      <c r="R291" s="4"/>
      <c r="S291" s="4"/>
      <c r="T291" s="4"/>
      <c r="U291" s="74"/>
      <c r="V291" s="3"/>
      <c r="W291" s="3"/>
      <c r="X291" s="3"/>
      <c r="Y291" s="3"/>
      <c r="Z291" s="58"/>
      <c r="AA291" s="3"/>
      <c r="AB291" s="3"/>
      <c r="AC291" s="4"/>
      <c r="AD291" s="4"/>
      <c r="AE291" s="4"/>
      <c r="AF291" s="4"/>
      <c r="AG291" s="4"/>
      <c r="AH291" s="4"/>
      <c r="AI291" s="4"/>
    </row>
    <row r="292">
      <c r="A292" s="57"/>
      <c r="B292" s="4"/>
      <c r="C292" s="4"/>
      <c r="D292" s="4"/>
      <c r="E292" s="4"/>
      <c r="F292" s="4"/>
      <c r="G292" s="4"/>
      <c r="H292" s="52"/>
      <c r="I292" s="4"/>
      <c r="J292" s="52"/>
      <c r="K292" s="52"/>
      <c r="L292" s="52"/>
      <c r="M292" s="52"/>
      <c r="N292" s="52"/>
      <c r="O292" s="52"/>
      <c r="P292" s="52"/>
      <c r="Q292" s="52"/>
      <c r="R292" s="4"/>
      <c r="S292" s="4"/>
      <c r="T292" s="4"/>
      <c r="U292" s="74"/>
      <c r="V292" s="3"/>
      <c r="W292" s="3"/>
      <c r="X292" s="3"/>
      <c r="Y292" s="3"/>
      <c r="Z292" s="58"/>
      <c r="AA292" s="3"/>
      <c r="AB292" s="3"/>
      <c r="AC292" s="4"/>
      <c r="AD292" s="4"/>
      <c r="AE292" s="4"/>
      <c r="AF292" s="4"/>
      <c r="AG292" s="4"/>
      <c r="AH292" s="4"/>
      <c r="AI292" s="4"/>
    </row>
    <row r="293">
      <c r="A293" s="57"/>
      <c r="B293" s="4"/>
      <c r="C293" s="4"/>
      <c r="D293" s="4"/>
      <c r="E293" s="4"/>
      <c r="F293" s="4"/>
      <c r="G293" s="4"/>
      <c r="H293" s="52"/>
      <c r="I293" s="4"/>
      <c r="J293" s="52"/>
      <c r="K293" s="52"/>
      <c r="L293" s="52"/>
      <c r="M293" s="52"/>
      <c r="N293" s="52"/>
      <c r="O293" s="52"/>
      <c r="P293" s="52"/>
      <c r="Q293" s="52"/>
      <c r="R293" s="4"/>
      <c r="S293" s="4"/>
      <c r="T293" s="4"/>
      <c r="U293" s="74"/>
      <c r="V293" s="3"/>
      <c r="W293" s="3"/>
      <c r="X293" s="3"/>
      <c r="Y293" s="3"/>
      <c r="Z293" s="58"/>
      <c r="AA293" s="3"/>
      <c r="AB293" s="3"/>
      <c r="AC293" s="4"/>
      <c r="AD293" s="4"/>
      <c r="AE293" s="4"/>
      <c r="AF293" s="4"/>
      <c r="AG293" s="4"/>
      <c r="AH293" s="4"/>
      <c r="AI293" s="4"/>
    </row>
    <row r="294">
      <c r="A294" s="57"/>
      <c r="B294" s="4"/>
      <c r="C294" s="4"/>
      <c r="D294" s="4"/>
      <c r="E294" s="4"/>
      <c r="F294" s="4"/>
      <c r="G294" s="4"/>
      <c r="H294" s="52"/>
      <c r="I294" s="4"/>
      <c r="J294" s="52"/>
      <c r="K294" s="52"/>
      <c r="L294" s="52"/>
      <c r="M294" s="52"/>
      <c r="N294" s="52"/>
      <c r="O294" s="52"/>
      <c r="P294" s="52"/>
      <c r="Q294" s="52"/>
      <c r="R294" s="4"/>
      <c r="S294" s="4"/>
      <c r="T294" s="4"/>
      <c r="U294" s="74"/>
      <c r="V294" s="3"/>
      <c r="W294" s="3"/>
      <c r="X294" s="3"/>
      <c r="Y294" s="3"/>
      <c r="Z294" s="58"/>
      <c r="AA294" s="3"/>
      <c r="AB294" s="3"/>
      <c r="AC294" s="4"/>
      <c r="AD294" s="4"/>
      <c r="AE294" s="4"/>
      <c r="AF294" s="4"/>
      <c r="AG294" s="4"/>
      <c r="AH294" s="4"/>
      <c r="AI294" s="4"/>
    </row>
    <row r="295">
      <c r="A295" s="57"/>
      <c r="B295" s="4"/>
      <c r="C295" s="4"/>
      <c r="D295" s="4"/>
      <c r="E295" s="4"/>
      <c r="F295" s="4"/>
      <c r="G295" s="4"/>
      <c r="H295" s="52"/>
      <c r="I295" s="4"/>
      <c r="J295" s="52"/>
      <c r="K295" s="52"/>
      <c r="L295" s="52"/>
      <c r="M295" s="52"/>
      <c r="N295" s="52"/>
      <c r="O295" s="52"/>
      <c r="P295" s="52"/>
      <c r="Q295" s="52"/>
      <c r="R295" s="4"/>
      <c r="S295" s="4"/>
      <c r="T295" s="4"/>
      <c r="U295" s="74"/>
      <c r="V295" s="3"/>
      <c r="W295" s="3"/>
      <c r="X295" s="3"/>
      <c r="Y295" s="3"/>
      <c r="Z295" s="58"/>
      <c r="AA295" s="3"/>
      <c r="AB295" s="3"/>
      <c r="AC295" s="4"/>
      <c r="AD295" s="4"/>
      <c r="AE295" s="4"/>
      <c r="AF295" s="4"/>
      <c r="AG295" s="4"/>
      <c r="AH295" s="4"/>
      <c r="AI295" s="4"/>
    </row>
    <row r="296">
      <c r="A296" s="57"/>
      <c r="B296" s="4"/>
      <c r="C296" s="4"/>
      <c r="D296" s="4"/>
      <c r="E296" s="4"/>
      <c r="F296" s="4"/>
      <c r="G296" s="4"/>
      <c r="H296" s="52"/>
      <c r="I296" s="4"/>
      <c r="J296" s="52"/>
      <c r="K296" s="52"/>
      <c r="L296" s="52"/>
      <c r="M296" s="52"/>
      <c r="N296" s="52"/>
      <c r="O296" s="52"/>
      <c r="P296" s="52"/>
      <c r="Q296" s="52"/>
      <c r="R296" s="4"/>
      <c r="S296" s="4"/>
      <c r="T296" s="4"/>
      <c r="U296" s="74"/>
      <c r="V296" s="3"/>
      <c r="W296" s="3"/>
      <c r="X296" s="3"/>
      <c r="Y296" s="3"/>
      <c r="Z296" s="58"/>
      <c r="AA296" s="3"/>
      <c r="AB296" s="3"/>
      <c r="AC296" s="4"/>
      <c r="AD296" s="4"/>
      <c r="AE296" s="4"/>
      <c r="AF296" s="4"/>
      <c r="AG296" s="4"/>
      <c r="AH296" s="4"/>
      <c r="AI296" s="4"/>
    </row>
    <row r="297">
      <c r="A297" s="57"/>
      <c r="B297" s="4"/>
      <c r="C297" s="4"/>
      <c r="D297" s="4"/>
      <c r="E297" s="4"/>
      <c r="F297" s="4"/>
      <c r="G297" s="4"/>
      <c r="H297" s="52"/>
      <c r="I297" s="4"/>
      <c r="J297" s="52"/>
      <c r="K297" s="52"/>
      <c r="L297" s="52"/>
      <c r="M297" s="52"/>
      <c r="N297" s="52"/>
      <c r="O297" s="52"/>
      <c r="P297" s="52"/>
      <c r="Q297" s="52"/>
      <c r="R297" s="4"/>
      <c r="S297" s="4"/>
      <c r="T297" s="4"/>
      <c r="U297" s="74"/>
      <c r="V297" s="3"/>
      <c r="W297" s="3"/>
      <c r="X297" s="3"/>
      <c r="Y297" s="3"/>
      <c r="Z297" s="58"/>
      <c r="AA297" s="3"/>
      <c r="AB297" s="3"/>
      <c r="AC297" s="4"/>
      <c r="AD297" s="4"/>
      <c r="AE297" s="4"/>
      <c r="AF297" s="4"/>
      <c r="AG297" s="4"/>
      <c r="AH297" s="4"/>
      <c r="AI297" s="4"/>
    </row>
    <row r="298">
      <c r="A298" s="57"/>
      <c r="B298" s="4"/>
      <c r="C298" s="4"/>
      <c r="D298" s="4"/>
      <c r="E298" s="4"/>
      <c r="F298" s="4"/>
      <c r="G298" s="4"/>
      <c r="H298" s="52"/>
      <c r="I298" s="4"/>
      <c r="J298" s="52"/>
      <c r="K298" s="52"/>
      <c r="L298" s="52"/>
      <c r="M298" s="52"/>
      <c r="N298" s="52"/>
      <c r="O298" s="52"/>
      <c r="P298" s="52"/>
      <c r="Q298" s="52"/>
      <c r="R298" s="4"/>
      <c r="S298" s="4"/>
      <c r="T298" s="4"/>
      <c r="U298" s="74"/>
      <c r="V298" s="3"/>
      <c r="W298" s="3"/>
      <c r="X298" s="3"/>
      <c r="Y298" s="3"/>
      <c r="Z298" s="58"/>
      <c r="AA298" s="3"/>
      <c r="AB298" s="3"/>
      <c r="AC298" s="4"/>
      <c r="AD298" s="4"/>
      <c r="AE298" s="4"/>
      <c r="AF298" s="4"/>
      <c r="AG298" s="4"/>
      <c r="AH298" s="4"/>
      <c r="AI298" s="4"/>
    </row>
    <row r="299">
      <c r="A299" s="57"/>
      <c r="B299" s="4"/>
      <c r="C299" s="4"/>
      <c r="D299" s="4"/>
      <c r="E299" s="4"/>
      <c r="F299" s="4"/>
      <c r="G299" s="4"/>
      <c r="H299" s="52"/>
      <c r="I299" s="4"/>
      <c r="J299" s="52"/>
      <c r="K299" s="52"/>
      <c r="L299" s="52"/>
      <c r="M299" s="52"/>
      <c r="N299" s="52"/>
      <c r="O299" s="52"/>
      <c r="P299" s="52"/>
      <c r="Q299" s="52"/>
      <c r="R299" s="4"/>
      <c r="S299" s="4"/>
      <c r="T299" s="4"/>
      <c r="U299" s="74"/>
      <c r="V299" s="3"/>
      <c r="W299" s="3"/>
      <c r="X299" s="3"/>
      <c r="Y299" s="3"/>
      <c r="Z299" s="58"/>
      <c r="AA299" s="3"/>
      <c r="AB299" s="3"/>
      <c r="AC299" s="4"/>
      <c r="AD299" s="4"/>
      <c r="AE299" s="4"/>
      <c r="AF299" s="4"/>
      <c r="AG299" s="4"/>
      <c r="AH299" s="4"/>
      <c r="AI299" s="4"/>
    </row>
    <row r="300">
      <c r="A300" s="57"/>
      <c r="B300" s="4"/>
      <c r="C300" s="4"/>
      <c r="D300" s="4"/>
      <c r="E300" s="4"/>
      <c r="F300" s="4"/>
      <c r="G300" s="4"/>
      <c r="H300" s="52"/>
      <c r="I300" s="4"/>
      <c r="J300" s="52"/>
      <c r="K300" s="52"/>
      <c r="L300" s="52"/>
      <c r="M300" s="52"/>
      <c r="N300" s="52"/>
      <c r="O300" s="52"/>
      <c r="P300" s="52"/>
      <c r="Q300" s="52"/>
      <c r="R300" s="4"/>
      <c r="S300" s="4"/>
      <c r="T300" s="4"/>
      <c r="U300" s="74"/>
      <c r="V300" s="3"/>
      <c r="W300" s="3"/>
      <c r="X300" s="3"/>
      <c r="Y300" s="3"/>
      <c r="Z300" s="58"/>
      <c r="AA300" s="3"/>
      <c r="AB300" s="3"/>
      <c r="AC300" s="4"/>
      <c r="AD300" s="4"/>
      <c r="AE300" s="4"/>
      <c r="AF300" s="4"/>
      <c r="AG300" s="4"/>
      <c r="AH300" s="4"/>
      <c r="AI300" s="4"/>
    </row>
    <row r="301">
      <c r="A301" s="57"/>
      <c r="B301" s="4"/>
      <c r="C301" s="4"/>
      <c r="D301" s="4"/>
      <c r="E301" s="4"/>
      <c r="F301" s="4"/>
      <c r="G301" s="4"/>
      <c r="H301" s="52"/>
      <c r="I301" s="4"/>
      <c r="J301" s="52"/>
      <c r="K301" s="52"/>
      <c r="L301" s="52"/>
      <c r="M301" s="52"/>
      <c r="N301" s="52"/>
      <c r="O301" s="52"/>
      <c r="P301" s="52"/>
      <c r="Q301" s="52"/>
      <c r="R301" s="4"/>
      <c r="S301" s="4"/>
      <c r="T301" s="4"/>
      <c r="U301" s="74"/>
      <c r="V301" s="3"/>
      <c r="W301" s="3"/>
      <c r="X301" s="3"/>
      <c r="Y301" s="3"/>
      <c r="Z301" s="58"/>
      <c r="AA301" s="3"/>
      <c r="AB301" s="3"/>
      <c r="AC301" s="4"/>
      <c r="AD301" s="4"/>
      <c r="AE301" s="4"/>
      <c r="AF301" s="4"/>
      <c r="AG301" s="4"/>
      <c r="AH301" s="4"/>
      <c r="AI301" s="4"/>
    </row>
    <row r="302">
      <c r="A302" s="57"/>
      <c r="B302" s="4"/>
      <c r="C302" s="4"/>
      <c r="D302" s="4"/>
      <c r="E302" s="4"/>
      <c r="F302" s="4"/>
      <c r="G302" s="4"/>
      <c r="H302" s="52"/>
      <c r="I302" s="4"/>
      <c r="J302" s="52"/>
      <c r="K302" s="52"/>
      <c r="L302" s="52"/>
      <c r="M302" s="52"/>
      <c r="N302" s="52"/>
      <c r="O302" s="52"/>
      <c r="P302" s="52"/>
      <c r="Q302" s="52"/>
      <c r="R302" s="4"/>
      <c r="S302" s="4"/>
      <c r="T302" s="4"/>
      <c r="U302" s="74"/>
      <c r="V302" s="3"/>
      <c r="W302" s="3"/>
      <c r="X302" s="3"/>
      <c r="Y302" s="3"/>
      <c r="Z302" s="58"/>
      <c r="AA302" s="3"/>
      <c r="AB302" s="3"/>
      <c r="AC302" s="4"/>
      <c r="AD302" s="4"/>
      <c r="AE302" s="4"/>
      <c r="AF302" s="4"/>
      <c r="AG302" s="4"/>
      <c r="AH302" s="4"/>
      <c r="AI302" s="4"/>
    </row>
    <row r="303">
      <c r="A303" s="57"/>
      <c r="B303" s="4"/>
      <c r="C303" s="4"/>
      <c r="D303" s="4"/>
      <c r="E303" s="4"/>
      <c r="F303" s="4"/>
      <c r="G303" s="4"/>
      <c r="H303" s="52"/>
      <c r="I303" s="4"/>
      <c r="J303" s="52"/>
      <c r="K303" s="52"/>
      <c r="L303" s="52"/>
      <c r="M303" s="52"/>
      <c r="N303" s="52"/>
      <c r="O303" s="52"/>
      <c r="P303" s="52"/>
      <c r="Q303" s="52"/>
      <c r="R303" s="4"/>
      <c r="S303" s="4"/>
      <c r="T303" s="4"/>
      <c r="U303" s="74"/>
      <c r="V303" s="3"/>
      <c r="W303" s="3"/>
      <c r="X303" s="3"/>
      <c r="Y303" s="3"/>
      <c r="Z303" s="58"/>
      <c r="AA303" s="3"/>
      <c r="AB303" s="3"/>
      <c r="AC303" s="4"/>
      <c r="AD303" s="4"/>
      <c r="AE303" s="4"/>
      <c r="AF303" s="4"/>
      <c r="AG303" s="4"/>
      <c r="AH303" s="4"/>
      <c r="AI303" s="4"/>
    </row>
    <row r="304">
      <c r="A304" s="57"/>
      <c r="B304" s="4"/>
      <c r="C304" s="4"/>
      <c r="D304" s="4"/>
      <c r="E304" s="4"/>
      <c r="F304" s="4"/>
      <c r="G304" s="4"/>
      <c r="H304" s="52"/>
      <c r="I304" s="4"/>
      <c r="J304" s="52"/>
      <c r="K304" s="52"/>
      <c r="L304" s="52"/>
      <c r="M304" s="52"/>
      <c r="N304" s="52"/>
      <c r="O304" s="52"/>
      <c r="P304" s="52"/>
      <c r="Q304" s="52"/>
      <c r="R304" s="4"/>
      <c r="S304" s="4"/>
      <c r="T304" s="4"/>
      <c r="U304" s="74"/>
      <c r="V304" s="3"/>
      <c r="W304" s="3"/>
      <c r="X304" s="3"/>
      <c r="Y304" s="3"/>
      <c r="Z304" s="58"/>
      <c r="AA304" s="3"/>
      <c r="AB304" s="3"/>
      <c r="AC304" s="4"/>
      <c r="AD304" s="4"/>
      <c r="AE304" s="4"/>
      <c r="AF304" s="4"/>
      <c r="AG304" s="4"/>
      <c r="AH304" s="4"/>
      <c r="AI304" s="4"/>
    </row>
    <row r="305">
      <c r="A305" s="57"/>
      <c r="B305" s="4"/>
      <c r="C305" s="4"/>
      <c r="D305" s="4"/>
      <c r="E305" s="4"/>
      <c r="F305" s="4"/>
      <c r="G305" s="4"/>
      <c r="H305" s="52"/>
      <c r="I305" s="4"/>
      <c r="J305" s="52"/>
      <c r="K305" s="52"/>
      <c r="L305" s="52"/>
      <c r="M305" s="52"/>
      <c r="N305" s="52"/>
      <c r="O305" s="52"/>
      <c r="P305" s="52"/>
      <c r="Q305" s="52"/>
      <c r="R305" s="4"/>
      <c r="S305" s="4"/>
      <c r="T305" s="4"/>
      <c r="U305" s="74"/>
      <c r="V305" s="3"/>
      <c r="W305" s="3"/>
      <c r="X305" s="3"/>
      <c r="Y305" s="3"/>
      <c r="Z305" s="58"/>
      <c r="AA305" s="3"/>
      <c r="AB305" s="3"/>
      <c r="AC305" s="4"/>
      <c r="AD305" s="4"/>
      <c r="AE305" s="4"/>
      <c r="AF305" s="4"/>
      <c r="AG305" s="4"/>
      <c r="AH305" s="4"/>
      <c r="AI305" s="4"/>
    </row>
    <row r="306">
      <c r="A306" s="57"/>
      <c r="B306" s="4"/>
      <c r="C306" s="4"/>
      <c r="D306" s="4"/>
      <c r="E306" s="4"/>
      <c r="F306" s="4"/>
      <c r="G306" s="4"/>
      <c r="H306" s="52"/>
      <c r="I306" s="4"/>
      <c r="J306" s="52"/>
      <c r="K306" s="52"/>
      <c r="L306" s="52"/>
      <c r="M306" s="52"/>
      <c r="N306" s="52"/>
      <c r="O306" s="52"/>
      <c r="P306" s="52"/>
      <c r="Q306" s="52"/>
      <c r="R306" s="4"/>
      <c r="S306" s="4"/>
      <c r="T306" s="4"/>
      <c r="U306" s="74"/>
      <c r="V306" s="3"/>
      <c r="W306" s="3"/>
      <c r="X306" s="3"/>
      <c r="Y306" s="3"/>
      <c r="Z306" s="58"/>
      <c r="AA306" s="3"/>
      <c r="AB306" s="3"/>
      <c r="AC306" s="4"/>
      <c r="AD306" s="4"/>
      <c r="AE306" s="4"/>
      <c r="AF306" s="4"/>
      <c r="AG306" s="4"/>
      <c r="AH306" s="4"/>
      <c r="AI306" s="4"/>
    </row>
    <row r="307">
      <c r="A307" s="57"/>
      <c r="B307" s="4"/>
      <c r="C307" s="4"/>
      <c r="D307" s="4"/>
      <c r="E307" s="4"/>
      <c r="F307" s="4"/>
      <c r="G307" s="4"/>
      <c r="H307" s="52"/>
      <c r="I307" s="4"/>
      <c r="J307" s="52"/>
      <c r="K307" s="52"/>
      <c r="L307" s="52"/>
      <c r="M307" s="52"/>
      <c r="N307" s="52"/>
      <c r="O307" s="52"/>
      <c r="P307" s="52"/>
      <c r="Q307" s="52"/>
      <c r="R307" s="4"/>
      <c r="S307" s="4"/>
      <c r="T307" s="4"/>
      <c r="U307" s="74"/>
      <c r="V307" s="3"/>
      <c r="W307" s="3"/>
      <c r="X307" s="3"/>
      <c r="Y307" s="3"/>
      <c r="Z307" s="58"/>
      <c r="AA307" s="3"/>
      <c r="AB307" s="3"/>
      <c r="AC307" s="4"/>
      <c r="AD307" s="4"/>
      <c r="AE307" s="4"/>
      <c r="AF307" s="4"/>
      <c r="AG307" s="4"/>
      <c r="AH307" s="4"/>
      <c r="AI307" s="4"/>
    </row>
    <row r="308">
      <c r="A308" s="57"/>
      <c r="B308" s="4"/>
      <c r="C308" s="4"/>
      <c r="D308" s="4"/>
      <c r="E308" s="4"/>
      <c r="F308" s="4"/>
      <c r="G308" s="4"/>
      <c r="H308" s="52"/>
      <c r="I308" s="4"/>
      <c r="J308" s="52"/>
      <c r="K308" s="52"/>
      <c r="L308" s="52"/>
      <c r="M308" s="52"/>
      <c r="N308" s="52"/>
      <c r="O308" s="52"/>
      <c r="P308" s="52"/>
      <c r="Q308" s="52"/>
      <c r="R308" s="4"/>
      <c r="S308" s="4"/>
      <c r="T308" s="4"/>
      <c r="U308" s="74"/>
      <c r="V308" s="3"/>
      <c r="W308" s="3"/>
      <c r="X308" s="3"/>
      <c r="Y308" s="3"/>
      <c r="Z308" s="58"/>
      <c r="AA308" s="3"/>
      <c r="AB308" s="3"/>
      <c r="AC308" s="4"/>
      <c r="AD308" s="4"/>
      <c r="AE308" s="4"/>
      <c r="AF308" s="4"/>
      <c r="AG308" s="4"/>
      <c r="AH308" s="4"/>
      <c r="AI308" s="4"/>
    </row>
    <row r="309">
      <c r="A309" s="57"/>
      <c r="B309" s="4"/>
      <c r="C309" s="4"/>
      <c r="D309" s="4"/>
      <c r="E309" s="4"/>
      <c r="F309" s="4"/>
      <c r="G309" s="4"/>
      <c r="H309" s="52"/>
      <c r="I309" s="4"/>
      <c r="J309" s="52"/>
      <c r="K309" s="52"/>
      <c r="L309" s="52"/>
      <c r="M309" s="52"/>
      <c r="N309" s="52"/>
      <c r="O309" s="52"/>
      <c r="P309" s="52"/>
      <c r="Q309" s="52"/>
      <c r="R309" s="4"/>
      <c r="S309" s="4"/>
      <c r="T309" s="4"/>
      <c r="U309" s="74"/>
      <c r="V309" s="3"/>
      <c r="W309" s="3"/>
      <c r="X309" s="3"/>
      <c r="Y309" s="3"/>
      <c r="Z309" s="58"/>
      <c r="AA309" s="3"/>
      <c r="AB309" s="3"/>
      <c r="AC309" s="4"/>
      <c r="AD309" s="4"/>
      <c r="AE309" s="4"/>
      <c r="AF309" s="4"/>
      <c r="AG309" s="4"/>
      <c r="AH309" s="4"/>
      <c r="AI309" s="4"/>
    </row>
    <row r="310">
      <c r="A310" s="57"/>
      <c r="B310" s="4"/>
      <c r="C310" s="4"/>
      <c r="D310" s="4"/>
      <c r="E310" s="4"/>
      <c r="F310" s="4"/>
      <c r="G310" s="4"/>
      <c r="H310" s="52"/>
      <c r="I310" s="4"/>
      <c r="J310" s="52"/>
      <c r="K310" s="52"/>
      <c r="L310" s="52"/>
      <c r="M310" s="52"/>
      <c r="N310" s="52"/>
      <c r="O310" s="52"/>
      <c r="P310" s="52"/>
      <c r="Q310" s="52"/>
      <c r="R310" s="4"/>
      <c r="S310" s="4"/>
      <c r="T310" s="4"/>
      <c r="U310" s="74"/>
      <c r="V310" s="3"/>
      <c r="W310" s="3"/>
      <c r="X310" s="3"/>
      <c r="Y310" s="3"/>
      <c r="Z310" s="58"/>
      <c r="AA310" s="3"/>
      <c r="AB310" s="3"/>
      <c r="AC310" s="4"/>
      <c r="AD310" s="4"/>
      <c r="AE310" s="4"/>
      <c r="AF310" s="4"/>
      <c r="AG310" s="4"/>
      <c r="AH310" s="4"/>
      <c r="AI310" s="4"/>
    </row>
    <row r="311">
      <c r="A311" s="57"/>
      <c r="B311" s="4"/>
      <c r="C311" s="4"/>
      <c r="D311" s="4"/>
      <c r="E311" s="4"/>
      <c r="F311" s="4"/>
      <c r="G311" s="4"/>
      <c r="H311" s="52"/>
      <c r="I311" s="4"/>
      <c r="J311" s="52"/>
      <c r="K311" s="52"/>
      <c r="L311" s="52"/>
      <c r="M311" s="52"/>
      <c r="N311" s="52"/>
      <c r="O311" s="52"/>
      <c r="P311" s="52"/>
      <c r="Q311" s="52"/>
      <c r="R311" s="4"/>
      <c r="S311" s="4"/>
      <c r="T311" s="4"/>
      <c r="U311" s="74"/>
      <c r="V311" s="3"/>
      <c r="W311" s="3"/>
      <c r="X311" s="3"/>
      <c r="Y311" s="3"/>
      <c r="Z311" s="58"/>
      <c r="AA311" s="3"/>
      <c r="AB311" s="3"/>
      <c r="AC311" s="4"/>
      <c r="AD311" s="4"/>
      <c r="AE311" s="4"/>
      <c r="AF311" s="4"/>
      <c r="AG311" s="4"/>
      <c r="AH311" s="4"/>
      <c r="AI311" s="4"/>
    </row>
    <row r="312">
      <c r="A312" s="57"/>
      <c r="B312" s="4"/>
      <c r="C312" s="4"/>
      <c r="D312" s="4"/>
      <c r="E312" s="4"/>
      <c r="F312" s="4"/>
      <c r="G312" s="4"/>
      <c r="H312" s="52"/>
      <c r="I312" s="4"/>
      <c r="J312" s="52"/>
      <c r="K312" s="52"/>
      <c r="L312" s="52"/>
      <c r="M312" s="52"/>
      <c r="N312" s="52"/>
      <c r="O312" s="52"/>
      <c r="P312" s="52"/>
      <c r="Q312" s="52"/>
      <c r="R312" s="4"/>
      <c r="S312" s="4"/>
      <c r="T312" s="4"/>
      <c r="U312" s="74"/>
      <c r="V312" s="3"/>
      <c r="W312" s="3"/>
      <c r="X312" s="3"/>
      <c r="Y312" s="3"/>
      <c r="Z312" s="58"/>
      <c r="AA312" s="3"/>
      <c r="AB312" s="3"/>
      <c r="AC312" s="4"/>
      <c r="AD312" s="4"/>
      <c r="AE312" s="4"/>
      <c r="AF312" s="4"/>
      <c r="AG312" s="4"/>
      <c r="AH312" s="4"/>
      <c r="AI312" s="4"/>
    </row>
    <row r="313">
      <c r="A313" s="57"/>
      <c r="B313" s="4"/>
      <c r="C313" s="4"/>
      <c r="D313" s="4"/>
      <c r="E313" s="4"/>
      <c r="F313" s="4"/>
      <c r="G313" s="4"/>
      <c r="H313" s="52"/>
      <c r="I313" s="4"/>
      <c r="J313" s="52"/>
      <c r="K313" s="52"/>
      <c r="L313" s="52"/>
      <c r="M313" s="52"/>
      <c r="N313" s="52"/>
      <c r="O313" s="52"/>
      <c r="P313" s="52"/>
      <c r="Q313" s="52"/>
      <c r="R313" s="4"/>
      <c r="S313" s="4"/>
      <c r="T313" s="4"/>
      <c r="U313" s="74"/>
      <c r="V313" s="3"/>
      <c r="W313" s="3"/>
      <c r="X313" s="3"/>
      <c r="Y313" s="3"/>
      <c r="Z313" s="58"/>
      <c r="AA313" s="3"/>
      <c r="AB313" s="3"/>
      <c r="AC313" s="4"/>
      <c r="AD313" s="4"/>
      <c r="AE313" s="4"/>
      <c r="AF313" s="4"/>
      <c r="AG313" s="4"/>
      <c r="AH313" s="4"/>
      <c r="AI313" s="4"/>
    </row>
    <row r="314">
      <c r="A314" s="57"/>
      <c r="B314" s="4"/>
      <c r="C314" s="4"/>
      <c r="D314" s="4"/>
      <c r="E314" s="4"/>
      <c r="F314" s="4"/>
      <c r="G314" s="4"/>
      <c r="H314" s="52"/>
      <c r="I314" s="4"/>
      <c r="J314" s="52"/>
      <c r="K314" s="52"/>
      <c r="L314" s="52"/>
      <c r="M314" s="52"/>
      <c r="N314" s="52"/>
      <c r="O314" s="52"/>
      <c r="P314" s="52"/>
      <c r="Q314" s="52"/>
      <c r="R314" s="4"/>
      <c r="S314" s="4"/>
      <c r="T314" s="4"/>
      <c r="U314" s="74"/>
      <c r="V314" s="3"/>
      <c r="W314" s="3"/>
      <c r="X314" s="3"/>
      <c r="Y314" s="3"/>
      <c r="Z314" s="58"/>
      <c r="AA314" s="3"/>
      <c r="AB314" s="3"/>
      <c r="AC314" s="4"/>
      <c r="AD314" s="4"/>
      <c r="AE314" s="4"/>
      <c r="AF314" s="4"/>
      <c r="AG314" s="4"/>
      <c r="AH314" s="4"/>
      <c r="AI314" s="4"/>
    </row>
    <row r="315">
      <c r="A315" s="57"/>
      <c r="B315" s="4"/>
      <c r="C315" s="4"/>
      <c r="D315" s="4"/>
      <c r="E315" s="4"/>
      <c r="F315" s="4"/>
      <c r="G315" s="4"/>
      <c r="H315" s="52"/>
      <c r="I315" s="4"/>
      <c r="J315" s="52"/>
      <c r="K315" s="52"/>
      <c r="L315" s="52"/>
      <c r="M315" s="52"/>
      <c r="N315" s="52"/>
      <c r="O315" s="52"/>
      <c r="P315" s="52"/>
      <c r="Q315" s="52"/>
      <c r="R315" s="4"/>
      <c r="S315" s="4"/>
      <c r="T315" s="4"/>
      <c r="U315" s="74"/>
      <c r="V315" s="3"/>
      <c r="W315" s="3"/>
      <c r="X315" s="3"/>
      <c r="Y315" s="3"/>
      <c r="Z315" s="58"/>
      <c r="AA315" s="3"/>
      <c r="AB315" s="3"/>
      <c r="AC315" s="4"/>
      <c r="AD315" s="4"/>
      <c r="AE315" s="4"/>
      <c r="AF315" s="4"/>
      <c r="AG315" s="4"/>
      <c r="AH315" s="4"/>
      <c r="AI315" s="4"/>
    </row>
    <row r="316">
      <c r="A316" s="57"/>
      <c r="B316" s="4"/>
      <c r="C316" s="4"/>
      <c r="D316" s="4"/>
      <c r="E316" s="4"/>
      <c r="F316" s="4"/>
      <c r="G316" s="4"/>
      <c r="H316" s="52"/>
      <c r="I316" s="4"/>
      <c r="J316" s="52"/>
      <c r="K316" s="52"/>
      <c r="L316" s="52"/>
      <c r="M316" s="52"/>
      <c r="N316" s="52"/>
      <c r="O316" s="52"/>
      <c r="P316" s="52"/>
      <c r="Q316" s="52"/>
      <c r="R316" s="4"/>
      <c r="S316" s="4"/>
      <c r="T316" s="4"/>
      <c r="U316" s="74"/>
      <c r="V316" s="3"/>
      <c r="W316" s="3"/>
      <c r="X316" s="3"/>
      <c r="Y316" s="3"/>
      <c r="Z316" s="58"/>
      <c r="AA316" s="3"/>
      <c r="AB316" s="3"/>
      <c r="AC316" s="4"/>
      <c r="AD316" s="4"/>
      <c r="AE316" s="4"/>
      <c r="AF316" s="4"/>
      <c r="AG316" s="4"/>
      <c r="AH316" s="4"/>
      <c r="AI316" s="4"/>
    </row>
    <row r="317">
      <c r="A317" s="57"/>
      <c r="B317" s="4"/>
      <c r="C317" s="4"/>
      <c r="D317" s="4"/>
      <c r="E317" s="4"/>
      <c r="F317" s="4"/>
      <c r="G317" s="4"/>
      <c r="H317" s="52"/>
      <c r="I317" s="4"/>
      <c r="J317" s="52"/>
      <c r="K317" s="52"/>
      <c r="L317" s="52"/>
      <c r="M317" s="52"/>
      <c r="N317" s="52"/>
      <c r="O317" s="52"/>
      <c r="P317" s="52"/>
      <c r="Q317" s="52"/>
      <c r="R317" s="4"/>
      <c r="S317" s="4"/>
      <c r="T317" s="4"/>
      <c r="U317" s="74"/>
      <c r="V317" s="3"/>
      <c r="W317" s="3"/>
      <c r="X317" s="3"/>
      <c r="Y317" s="3"/>
      <c r="Z317" s="58"/>
      <c r="AA317" s="3"/>
      <c r="AB317" s="3"/>
      <c r="AC317" s="4"/>
      <c r="AD317" s="4"/>
      <c r="AE317" s="4"/>
      <c r="AF317" s="4"/>
      <c r="AG317" s="4"/>
      <c r="AH317" s="4"/>
      <c r="AI317" s="4"/>
    </row>
    <row r="318">
      <c r="A318" s="57"/>
      <c r="B318" s="4"/>
      <c r="C318" s="4"/>
      <c r="D318" s="4"/>
      <c r="E318" s="4"/>
      <c r="F318" s="4"/>
      <c r="G318" s="4"/>
      <c r="H318" s="52"/>
      <c r="I318" s="4"/>
      <c r="J318" s="52"/>
      <c r="K318" s="52"/>
      <c r="L318" s="52"/>
      <c r="M318" s="52"/>
      <c r="N318" s="52"/>
      <c r="O318" s="52"/>
      <c r="P318" s="52"/>
      <c r="Q318" s="52"/>
      <c r="R318" s="4"/>
      <c r="S318" s="4"/>
      <c r="T318" s="4"/>
      <c r="U318" s="74"/>
      <c r="V318" s="3"/>
      <c r="W318" s="3"/>
      <c r="X318" s="3"/>
      <c r="Y318" s="3"/>
      <c r="Z318" s="58"/>
      <c r="AA318" s="3"/>
      <c r="AB318" s="3"/>
      <c r="AC318" s="4"/>
      <c r="AD318" s="4"/>
      <c r="AE318" s="4"/>
      <c r="AF318" s="4"/>
      <c r="AG318" s="4"/>
      <c r="AH318" s="4"/>
      <c r="AI318" s="4"/>
    </row>
    <row r="319">
      <c r="A319" s="57"/>
      <c r="B319" s="4"/>
      <c r="C319" s="4"/>
      <c r="D319" s="4"/>
      <c r="E319" s="4"/>
      <c r="F319" s="4"/>
      <c r="G319" s="4"/>
      <c r="H319" s="52"/>
      <c r="I319" s="4"/>
      <c r="J319" s="52"/>
      <c r="K319" s="52"/>
      <c r="L319" s="52"/>
      <c r="M319" s="52"/>
      <c r="N319" s="52"/>
      <c r="O319" s="52"/>
      <c r="P319" s="52"/>
      <c r="Q319" s="52"/>
      <c r="R319" s="4"/>
      <c r="S319" s="4"/>
      <c r="T319" s="4"/>
      <c r="U319" s="74"/>
      <c r="V319" s="3"/>
      <c r="W319" s="3"/>
      <c r="X319" s="3"/>
      <c r="Y319" s="3"/>
      <c r="Z319" s="58"/>
      <c r="AA319" s="3"/>
      <c r="AB319" s="3"/>
      <c r="AC319" s="4"/>
      <c r="AD319" s="4"/>
      <c r="AE319" s="4"/>
      <c r="AF319" s="4"/>
      <c r="AG319" s="4"/>
      <c r="AH319" s="4"/>
      <c r="AI319" s="4"/>
    </row>
    <row r="320">
      <c r="A320" s="57"/>
      <c r="B320" s="4"/>
      <c r="C320" s="4"/>
      <c r="D320" s="4"/>
      <c r="E320" s="4"/>
      <c r="F320" s="4"/>
      <c r="G320" s="4"/>
      <c r="H320" s="52"/>
      <c r="I320" s="4"/>
      <c r="J320" s="52"/>
      <c r="K320" s="52"/>
      <c r="L320" s="52"/>
      <c r="M320" s="52"/>
      <c r="N320" s="52"/>
      <c r="O320" s="52"/>
      <c r="P320" s="52"/>
      <c r="Q320" s="52"/>
      <c r="R320" s="4"/>
      <c r="S320" s="4"/>
      <c r="T320" s="4"/>
      <c r="U320" s="74"/>
      <c r="V320" s="3"/>
      <c r="W320" s="3"/>
      <c r="X320" s="3"/>
      <c r="Y320" s="3"/>
      <c r="Z320" s="58"/>
      <c r="AA320" s="3"/>
      <c r="AB320" s="3"/>
      <c r="AC320" s="4"/>
      <c r="AD320" s="4"/>
      <c r="AE320" s="4"/>
      <c r="AF320" s="4"/>
      <c r="AG320" s="4"/>
      <c r="AH320" s="4"/>
      <c r="AI320" s="4"/>
    </row>
    <row r="321">
      <c r="A321" s="57"/>
      <c r="B321" s="4"/>
      <c r="C321" s="4"/>
      <c r="D321" s="4"/>
      <c r="E321" s="4"/>
      <c r="F321" s="4"/>
      <c r="G321" s="4"/>
      <c r="H321" s="52"/>
      <c r="I321" s="4"/>
      <c r="J321" s="52"/>
      <c r="K321" s="52"/>
      <c r="L321" s="52"/>
      <c r="M321" s="52"/>
      <c r="N321" s="52"/>
      <c r="O321" s="52"/>
      <c r="P321" s="52"/>
      <c r="Q321" s="52"/>
      <c r="R321" s="4"/>
      <c r="S321" s="4"/>
      <c r="T321" s="4"/>
      <c r="U321" s="74"/>
      <c r="V321" s="3"/>
      <c r="W321" s="3"/>
      <c r="X321" s="3"/>
      <c r="Y321" s="3"/>
      <c r="Z321" s="58"/>
      <c r="AA321" s="3"/>
      <c r="AB321" s="3"/>
      <c r="AC321" s="4"/>
      <c r="AD321" s="4"/>
      <c r="AE321" s="4"/>
      <c r="AF321" s="4"/>
      <c r="AG321" s="4"/>
      <c r="AH321" s="4"/>
      <c r="AI321" s="4"/>
    </row>
    <row r="322">
      <c r="A322" s="57"/>
      <c r="B322" s="4"/>
      <c r="C322" s="4"/>
      <c r="D322" s="4"/>
      <c r="E322" s="4"/>
      <c r="F322" s="4"/>
      <c r="G322" s="4"/>
      <c r="H322" s="52"/>
      <c r="I322" s="4"/>
      <c r="J322" s="52"/>
      <c r="K322" s="52"/>
      <c r="L322" s="52"/>
      <c r="M322" s="52"/>
      <c r="N322" s="52"/>
      <c r="O322" s="52"/>
      <c r="P322" s="52"/>
      <c r="Q322" s="52"/>
      <c r="R322" s="4"/>
      <c r="S322" s="4"/>
      <c r="T322" s="4"/>
      <c r="U322" s="74"/>
      <c r="V322" s="3"/>
      <c r="W322" s="3"/>
      <c r="X322" s="3"/>
      <c r="Y322" s="3"/>
      <c r="Z322" s="58"/>
      <c r="AA322" s="3"/>
      <c r="AB322" s="3"/>
      <c r="AC322" s="4"/>
      <c r="AD322" s="4"/>
      <c r="AE322" s="4"/>
      <c r="AF322" s="4"/>
      <c r="AG322" s="4"/>
      <c r="AH322" s="4"/>
      <c r="AI322" s="4"/>
    </row>
    <row r="323">
      <c r="A323" s="57"/>
      <c r="B323" s="4"/>
      <c r="C323" s="4"/>
      <c r="D323" s="4"/>
      <c r="E323" s="4"/>
      <c r="F323" s="4"/>
      <c r="G323" s="4"/>
      <c r="H323" s="52"/>
      <c r="I323" s="4"/>
      <c r="J323" s="52"/>
      <c r="K323" s="52"/>
      <c r="L323" s="52"/>
      <c r="M323" s="52"/>
      <c r="N323" s="52"/>
      <c r="O323" s="52"/>
      <c r="P323" s="52"/>
      <c r="Q323" s="52"/>
      <c r="R323" s="4"/>
      <c r="S323" s="4"/>
      <c r="T323" s="4"/>
      <c r="U323" s="74"/>
      <c r="V323" s="3"/>
      <c r="W323" s="3"/>
      <c r="X323" s="3"/>
      <c r="Y323" s="3"/>
      <c r="Z323" s="58"/>
      <c r="AA323" s="3"/>
      <c r="AB323" s="3"/>
      <c r="AC323" s="4"/>
      <c r="AD323" s="4"/>
      <c r="AE323" s="4"/>
      <c r="AF323" s="4"/>
      <c r="AG323" s="4"/>
      <c r="AH323" s="4"/>
      <c r="AI323" s="4"/>
    </row>
    <row r="324">
      <c r="A324" s="57"/>
      <c r="B324" s="4"/>
      <c r="C324" s="4"/>
      <c r="D324" s="4"/>
      <c r="E324" s="4"/>
      <c r="F324" s="4"/>
      <c r="G324" s="4"/>
      <c r="H324" s="52"/>
      <c r="I324" s="4"/>
      <c r="J324" s="52"/>
      <c r="K324" s="52"/>
      <c r="L324" s="52"/>
      <c r="M324" s="52"/>
      <c r="N324" s="52"/>
      <c r="O324" s="52"/>
      <c r="P324" s="52"/>
      <c r="Q324" s="52"/>
      <c r="R324" s="4"/>
      <c r="S324" s="4"/>
      <c r="T324" s="4"/>
      <c r="U324" s="74"/>
      <c r="V324" s="3"/>
      <c r="W324" s="3"/>
      <c r="X324" s="3"/>
      <c r="Y324" s="3"/>
      <c r="Z324" s="58"/>
      <c r="AA324" s="3"/>
      <c r="AB324" s="3"/>
      <c r="AC324" s="4"/>
      <c r="AD324" s="4"/>
      <c r="AE324" s="4"/>
      <c r="AF324" s="4"/>
      <c r="AG324" s="4"/>
      <c r="AH324" s="4"/>
      <c r="AI324" s="4"/>
    </row>
    <row r="325">
      <c r="A325" s="57"/>
      <c r="B325" s="4"/>
      <c r="C325" s="4"/>
      <c r="D325" s="4"/>
      <c r="E325" s="4"/>
      <c r="F325" s="4"/>
      <c r="G325" s="4"/>
      <c r="H325" s="52"/>
      <c r="I325" s="4"/>
      <c r="J325" s="52"/>
      <c r="K325" s="52"/>
      <c r="L325" s="52"/>
      <c r="M325" s="52"/>
      <c r="N325" s="52"/>
      <c r="O325" s="52"/>
      <c r="P325" s="52"/>
      <c r="Q325" s="52"/>
      <c r="R325" s="4"/>
      <c r="S325" s="4"/>
      <c r="T325" s="4"/>
      <c r="U325" s="74"/>
      <c r="V325" s="3"/>
      <c r="W325" s="3"/>
      <c r="X325" s="3"/>
      <c r="Y325" s="3"/>
      <c r="Z325" s="58"/>
      <c r="AA325" s="3"/>
      <c r="AB325" s="3"/>
      <c r="AC325" s="4"/>
      <c r="AD325" s="4"/>
      <c r="AE325" s="4"/>
      <c r="AF325" s="4"/>
      <c r="AG325" s="4"/>
      <c r="AH325" s="4"/>
      <c r="AI325" s="4"/>
    </row>
    <row r="326">
      <c r="A326" s="57"/>
      <c r="B326" s="4"/>
      <c r="C326" s="4"/>
      <c r="D326" s="4"/>
      <c r="E326" s="4"/>
      <c r="F326" s="4"/>
      <c r="G326" s="4"/>
      <c r="H326" s="52"/>
      <c r="I326" s="4"/>
      <c r="J326" s="52"/>
      <c r="K326" s="52"/>
      <c r="L326" s="52"/>
      <c r="M326" s="52"/>
      <c r="N326" s="52"/>
      <c r="O326" s="52"/>
      <c r="P326" s="52"/>
      <c r="Q326" s="52"/>
      <c r="R326" s="4"/>
      <c r="S326" s="4"/>
      <c r="T326" s="4"/>
      <c r="U326" s="74"/>
      <c r="V326" s="3"/>
      <c r="W326" s="3"/>
      <c r="X326" s="3"/>
      <c r="Y326" s="3"/>
      <c r="Z326" s="58"/>
      <c r="AA326" s="3"/>
      <c r="AB326" s="3"/>
      <c r="AC326" s="4"/>
      <c r="AD326" s="4"/>
      <c r="AE326" s="4"/>
      <c r="AF326" s="4"/>
      <c r="AG326" s="4"/>
      <c r="AH326" s="4"/>
      <c r="AI326" s="4"/>
    </row>
    <row r="327">
      <c r="A327" s="57"/>
      <c r="B327" s="4"/>
      <c r="C327" s="4"/>
      <c r="D327" s="4"/>
      <c r="E327" s="4"/>
      <c r="F327" s="4"/>
      <c r="G327" s="4"/>
      <c r="H327" s="52"/>
      <c r="I327" s="4"/>
      <c r="J327" s="52"/>
      <c r="K327" s="52"/>
      <c r="L327" s="52"/>
      <c r="M327" s="52"/>
      <c r="N327" s="52"/>
      <c r="O327" s="52"/>
      <c r="P327" s="52"/>
      <c r="Q327" s="52"/>
      <c r="R327" s="4"/>
      <c r="S327" s="4"/>
      <c r="T327" s="4"/>
      <c r="U327" s="74"/>
      <c r="V327" s="3"/>
      <c r="W327" s="3"/>
      <c r="X327" s="3"/>
      <c r="Y327" s="3"/>
      <c r="Z327" s="58"/>
      <c r="AA327" s="3"/>
      <c r="AB327" s="3"/>
      <c r="AC327" s="4"/>
      <c r="AD327" s="4"/>
      <c r="AE327" s="4"/>
      <c r="AF327" s="4"/>
      <c r="AG327" s="4"/>
      <c r="AH327" s="4"/>
      <c r="AI327" s="4"/>
    </row>
    <row r="328">
      <c r="A328" s="57"/>
      <c r="B328" s="4"/>
      <c r="C328" s="4"/>
      <c r="D328" s="4"/>
      <c r="E328" s="4"/>
      <c r="F328" s="4"/>
      <c r="G328" s="4"/>
      <c r="H328" s="52"/>
      <c r="I328" s="4"/>
      <c r="J328" s="52"/>
      <c r="K328" s="52"/>
      <c r="L328" s="52"/>
      <c r="M328" s="52"/>
      <c r="N328" s="52"/>
      <c r="O328" s="52"/>
      <c r="P328" s="52"/>
      <c r="Q328" s="52"/>
      <c r="R328" s="4"/>
      <c r="S328" s="4"/>
      <c r="T328" s="4"/>
      <c r="U328" s="74"/>
      <c r="V328" s="3"/>
      <c r="W328" s="3"/>
      <c r="X328" s="3"/>
      <c r="Y328" s="3"/>
      <c r="Z328" s="58"/>
      <c r="AA328" s="3"/>
      <c r="AB328" s="3"/>
      <c r="AC328" s="4"/>
      <c r="AD328" s="4"/>
      <c r="AE328" s="4"/>
      <c r="AF328" s="4"/>
      <c r="AG328" s="4"/>
      <c r="AH328" s="4"/>
      <c r="AI328" s="4"/>
    </row>
    <row r="329">
      <c r="A329" s="57"/>
      <c r="B329" s="4"/>
      <c r="C329" s="4"/>
      <c r="D329" s="4"/>
      <c r="E329" s="4"/>
      <c r="F329" s="4"/>
      <c r="G329" s="4"/>
      <c r="H329" s="52"/>
      <c r="I329" s="4"/>
      <c r="J329" s="52"/>
      <c r="K329" s="52"/>
      <c r="L329" s="52"/>
      <c r="M329" s="52"/>
      <c r="N329" s="52"/>
      <c r="O329" s="52"/>
      <c r="P329" s="52"/>
      <c r="Q329" s="52"/>
      <c r="R329" s="4"/>
      <c r="S329" s="4"/>
      <c r="T329" s="4"/>
      <c r="U329" s="74"/>
      <c r="V329" s="3"/>
      <c r="W329" s="3"/>
      <c r="X329" s="3"/>
      <c r="Y329" s="3"/>
      <c r="Z329" s="58"/>
      <c r="AA329" s="3"/>
      <c r="AB329" s="3"/>
      <c r="AC329" s="4"/>
      <c r="AD329" s="4"/>
      <c r="AE329" s="4"/>
      <c r="AF329" s="4"/>
      <c r="AG329" s="4"/>
      <c r="AH329" s="4"/>
      <c r="AI329" s="4"/>
    </row>
    <row r="330">
      <c r="A330" s="57"/>
      <c r="B330" s="4"/>
      <c r="C330" s="4"/>
      <c r="D330" s="4"/>
      <c r="E330" s="4"/>
      <c r="F330" s="4"/>
      <c r="G330" s="4"/>
      <c r="H330" s="52"/>
      <c r="I330" s="4"/>
      <c r="J330" s="52"/>
      <c r="K330" s="52"/>
      <c r="L330" s="52"/>
      <c r="M330" s="52"/>
      <c r="N330" s="52"/>
      <c r="O330" s="52"/>
      <c r="P330" s="52"/>
      <c r="Q330" s="52"/>
      <c r="R330" s="4"/>
      <c r="S330" s="4"/>
      <c r="T330" s="4"/>
      <c r="U330" s="74"/>
      <c r="V330" s="3"/>
      <c r="W330" s="3"/>
      <c r="X330" s="3"/>
      <c r="Y330" s="3"/>
      <c r="Z330" s="58"/>
      <c r="AA330" s="3"/>
      <c r="AB330" s="3"/>
      <c r="AC330" s="4"/>
      <c r="AD330" s="4"/>
      <c r="AE330" s="4"/>
      <c r="AF330" s="4"/>
      <c r="AG330" s="4"/>
      <c r="AH330" s="4"/>
      <c r="AI330" s="4"/>
    </row>
    <row r="331">
      <c r="A331" s="57"/>
      <c r="B331" s="4"/>
      <c r="C331" s="4"/>
      <c r="D331" s="4"/>
      <c r="E331" s="4"/>
      <c r="F331" s="4"/>
      <c r="G331" s="4"/>
      <c r="H331" s="52"/>
      <c r="I331" s="4"/>
      <c r="J331" s="52"/>
      <c r="K331" s="52"/>
      <c r="L331" s="52"/>
      <c r="M331" s="52"/>
      <c r="N331" s="52"/>
      <c r="O331" s="52"/>
      <c r="P331" s="52"/>
      <c r="Q331" s="52"/>
      <c r="R331" s="4"/>
      <c r="S331" s="4"/>
      <c r="T331" s="4"/>
      <c r="U331" s="74"/>
      <c r="V331" s="3"/>
      <c r="W331" s="3"/>
      <c r="X331" s="3"/>
      <c r="Y331" s="3"/>
      <c r="Z331" s="58"/>
      <c r="AA331" s="3"/>
      <c r="AB331" s="3"/>
      <c r="AC331" s="4"/>
      <c r="AD331" s="4"/>
      <c r="AE331" s="4"/>
      <c r="AF331" s="4"/>
      <c r="AG331" s="4"/>
      <c r="AH331" s="4"/>
      <c r="AI331" s="4"/>
    </row>
    <row r="332">
      <c r="A332" s="57"/>
      <c r="B332" s="4"/>
      <c r="C332" s="4"/>
      <c r="D332" s="4"/>
      <c r="E332" s="4"/>
      <c r="F332" s="4"/>
      <c r="G332" s="4"/>
      <c r="H332" s="52"/>
      <c r="I332" s="4"/>
      <c r="J332" s="52"/>
      <c r="K332" s="52"/>
      <c r="L332" s="52"/>
      <c r="M332" s="52"/>
      <c r="N332" s="52"/>
      <c r="O332" s="52"/>
      <c r="P332" s="52"/>
      <c r="Q332" s="52"/>
      <c r="R332" s="4"/>
      <c r="S332" s="4"/>
      <c r="T332" s="4"/>
      <c r="U332" s="74"/>
      <c r="V332" s="3"/>
      <c r="W332" s="3"/>
      <c r="X332" s="3"/>
      <c r="Y332" s="3"/>
      <c r="Z332" s="58"/>
      <c r="AA332" s="3"/>
      <c r="AB332" s="3"/>
      <c r="AC332" s="4"/>
      <c r="AD332" s="4"/>
      <c r="AE332" s="4"/>
      <c r="AF332" s="4"/>
      <c r="AG332" s="4"/>
      <c r="AH332" s="4"/>
      <c r="AI332" s="4"/>
    </row>
    <row r="333">
      <c r="A333" s="57"/>
      <c r="B333" s="4"/>
      <c r="C333" s="4"/>
      <c r="D333" s="4"/>
      <c r="E333" s="4"/>
      <c r="F333" s="4"/>
      <c r="G333" s="4"/>
      <c r="H333" s="52"/>
      <c r="I333" s="4"/>
      <c r="J333" s="52"/>
      <c r="K333" s="52"/>
      <c r="L333" s="52"/>
      <c r="M333" s="52"/>
      <c r="N333" s="52"/>
      <c r="O333" s="52"/>
      <c r="P333" s="52"/>
      <c r="Q333" s="52"/>
      <c r="R333" s="4"/>
      <c r="S333" s="4"/>
      <c r="T333" s="4"/>
      <c r="U333" s="74"/>
      <c r="V333" s="3"/>
      <c r="W333" s="3"/>
      <c r="X333" s="3"/>
      <c r="Y333" s="3"/>
      <c r="Z333" s="58"/>
      <c r="AA333" s="3"/>
      <c r="AB333" s="3"/>
      <c r="AC333" s="4"/>
      <c r="AD333" s="4"/>
      <c r="AE333" s="4"/>
      <c r="AF333" s="4"/>
      <c r="AG333" s="4"/>
      <c r="AH333" s="4"/>
      <c r="AI333" s="4"/>
    </row>
    <row r="334">
      <c r="A334" s="57"/>
      <c r="B334" s="4"/>
      <c r="C334" s="4"/>
      <c r="D334" s="4"/>
      <c r="E334" s="4"/>
      <c r="F334" s="4"/>
      <c r="G334" s="4"/>
      <c r="H334" s="52"/>
      <c r="I334" s="4"/>
      <c r="J334" s="52"/>
      <c r="K334" s="52"/>
      <c r="L334" s="52"/>
      <c r="M334" s="52"/>
      <c r="N334" s="52"/>
      <c r="O334" s="52"/>
      <c r="P334" s="52"/>
      <c r="Q334" s="52"/>
      <c r="R334" s="4"/>
      <c r="S334" s="4"/>
      <c r="T334" s="4"/>
      <c r="U334" s="74"/>
      <c r="V334" s="3"/>
      <c r="W334" s="3"/>
      <c r="X334" s="3"/>
      <c r="Y334" s="3"/>
      <c r="Z334" s="58"/>
      <c r="AA334" s="3"/>
      <c r="AB334" s="3"/>
      <c r="AC334" s="4"/>
      <c r="AD334" s="4"/>
      <c r="AE334" s="4"/>
      <c r="AF334" s="4"/>
      <c r="AG334" s="4"/>
      <c r="AH334" s="4"/>
      <c r="AI334" s="4"/>
    </row>
    <row r="335">
      <c r="A335" s="57"/>
      <c r="B335" s="4"/>
      <c r="C335" s="4"/>
      <c r="D335" s="4"/>
      <c r="E335" s="4"/>
      <c r="F335" s="4"/>
      <c r="G335" s="4"/>
      <c r="H335" s="52"/>
      <c r="I335" s="4"/>
      <c r="J335" s="52"/>
      <c r="K335" s="52"/>
      <c r="L335" s="52"/>
      <c r="M335" s="52"/>
      <c r="N335" s="52"/>
      <c r="O335" s="52"/>
      <c r="P335" s="52"/>
      <c r="Q335" s="52"/>
      <c r="R335" s="4"/>
      <c r="S335" s="4"/>
      <c r="T335" s="4"/>
      <c r="U335" s="74"/>
      <c r="V335" s="3"/>
      <c r="W335" s="3"/>
      <c r="X335" s="3"/>
      <c r="Y335" s="3"/>
      <c r="Z335" s="58"/>
      <c r="AA335" s="3"/>
      <c r="AB335" s="3"/>
      <c r="AC335" s="4"/>
      <c r="AD335" s="4"/>
      <c r="AE335" s="4"/>
      <c r="AF335" s="4"/>
      <c r="AG335" s="4"/>
      <c r="AH335" s="4"/>
      <c r="AI335" s="4"/>
    </row>
    <row r="336">
      <c r="A336" s="57"/>
      <c r="B336" s="4"/>
      <c r="C336" s="4"/>
      <c r="D336" s="4"/>
      <c r="E336" s="4"/>
      <c r="F336" s="4"/>
      <c r="G336" s="4"/>
      <c r="H336" s="52"/>
      <c r="I336" s="4"/>
      <c r="J336" s="52"/>
      <c r="K336" s="52"/>
      <c r="L336" s="52"/>
      <c r="M336" s="52"/>
      <c r="N336" s="52"/>
      <c r="O336" s="52"/>
      <c r="P336" s="52"/>
      <c r="Q336" s="52"/>
      <c r="R336" s="4"/>
      <c r="S336" s="4"/>
      <c r="T336" s="4"/>
      <c r="U336" s="74"/>
      <c r="V336" s="3"/>
      <c r="W336" s="3"/>
      <c r="X336" s="3"/>
      <c r="Y336" s="3"/>
      <c r="Z336" s="58"/>
      <c r="AA336" s="3"/>
      <c r="AB336" s="3"/>
      <c r="AC336" s="4"/>
      <c r="AD336" s="4"/>
      <c r="AE336" s="4"/>
      <c r="AF336" s="4"/>
      <c r="AG336" s="4"/>
      <c r="AH336" s="4"/>
      <c r="AI336" s="4"/>
    </row>
    <row r="337">
      <c r="A337" s="57"/>
      <c r="B337" s="4"/>
      <c r="C337" s="4"/>
      <c r="D337" s="4"/>
      <c r="E337" s="4"/>
      <c r="F337" s="4"/>
      <c r="G337" s="4"/>
      <c r="H337" s="52"/>
      <c r="I337" s="4"/>
      <c r="J337" s="52"/>
      <c r="K337" s="52"/>
      <c r="L337" s="52"/>
      <c r="M337" s="52"/>
      <c r="N337" s="52"/>
      <c r="O337" s="52"/>
      <c r="P337" s="52"/>
      <c r="Q337" s="52"/>
      <c r="R337" s="4"/>
      <c r="S337" s="4"/>
      <c r="T337" s="4"/>
      <c r="U337" s="74"/>
      <c r="V337" s="3"/>
      <c r="W337" s="3"/>
      <c r="X337" s="3"/>
      <c r="Y337" s="3"/>
      <c r="Z337" s="58"/>
      <c r="AA337" s="3"/>
      <c r="AB337" s="3"/>
      <c r="AC337" s="4"/>
      <c r="AD337" s="4"/>
      <c r="AE337" s="4"/>
      <c r="AF337" s="4"/>
      <c r="AG337" s="4"/>
      <c r="AH337" s="4"/>
      <c r="AI337" s="4"/>
    </row>
    <row r="338">
      <c r="A338" s="57"/>
      <c r="B338" s="4"/>
      <c r="C338" s="4"/>
      <c r="D338" s="4"/>
      <c r="E338" s="4"/>
      <c r="F338" s="4"/>
      <c r="G338" s="4"/>
      <c r="H338" s="52"/>
      <c r="I338" s="4"/>
      <c r="J338" s="52"/>
      <c r="K338" s="52"/>
      <c r="L338" s="52"/>
      <c r="M338" s="52"/>
      <c r="N338" s="52"/>
      <c r="O338" s="52"/>
      <c r="P338" s="52"/>
      <c r="Q338" s="52"/>
      <c r="R338" s="4"/>
      <c r="S338" s="4"/>
      <c r="T338" s="4"/>
      <c r="U338" s="74"/>
      <c r="V338" s="3"/>
      <c r="W338" s="3"/>
      <c r="X338" s="3"/>
      <c r="Y338" s="3"/>
      <c r="Z338" s="58"/>
      <c r="AA338" s="3"/>
      <c r="AB338" s="3"/>
      <c r="AC338" s="4"/>
      <c r="AD338" s="4"/>
      <c r="AE338" s="4"/>
      <c r="AF338" s="4"/>
      <c r="AG338" s="4"/>
      <c r="AH338" s="4"/>
      <c r="AI338" s="4"/>
    </row>
    <row r="339">
      <c r="A339" s="57"/>
      <c r="B339" s="4"/>
      <c r="C339" s="4"/>
      <c r="D339" s="4"/>
      <c r="E339" s="4"/>
      <c r="F339" s="4"/>
      <c r="G339" s="4"/>
      <c r="H339" s="52"/>
      <c r="I339" s="4"/>
      <c r="J339" s="52"/>
      <c r="K339" s="52"/>
      <c r="L339" s="52"/>
      <c r="M339" s="52"/>
      <c r="N339" s="52"/>
      <c r="O339" s="52"/>
      <c r="P339" s="52"/>
      <c r="Q339" s="52"/>
      <c r="R339" s="4"/>
      <c r="S339" s="4"/>
      <c r="T339" s="4"/>
      <c r="U339" s="74"/>
      <c r="V339" s="3"/>
      <c r="W339" s="3"/>
      <c r="X339" s="3"/>
      <c r="Y339" s="3"/>
      <c r="Z339" s="58"/>
      <c r="AA339" s="3"/>
      <c r="AB339" s="3"/>
      <c r="AC339" s="4"/>
      <c r="AD339" s="4"/>
      <c r="AE339" s="4"/>
      <c r="AF339" s="4"/>
      <c r="AG339" s="4"/>
      <c r="AH339" s="4"/>
      <c r="AI339" s="4"/>
    </row>
    <row r="340">
      <c r="A340" s="57"/>
      <c r="B340" s="4"/>
      <c r="C340" s="4"/>
      <c r="D340" s="4"/>
      <c r="E340" s="4"/>
      <c r="F340" s="4"/>
      <c r="G340" s="4"/>
      <c r="H340" s="52"/>
      <c r="I340" s="4"/>
      <c r="J340" s="52"/>
      <c r="K340" s="52"/>
      <c r="L340" s="52"/>
      <c r="M340" s="52"/>
      <c r="N340" s="52"/>
      <c r="O340" s="52"/>
      <c r="P340" s="52"/>
      <c r="Q340" s="52"/>
      <c r="R340" s="4"/>
      <c r="S340" s="4"/>
      <c r="T340" s="4"/>
      <c r="U340" s="74"/>
      <c r="V340" s="3"/>
      <c r="W340" s="3"/>
      <c r="X340" s="3"/>
      <c r="Y340" s="3"/>
      <c r="Z340" s="58"/>
      <c r="AA340" s="3"/>
      <c r="AB340" s="3"/>
      <c r="AC340" s="4"/>
      <c r="AD340" s="4"/>
      <c r="AE340" s="4"/>
      <c r="AF340" s="4"/>
      <c r="AG340" s="4"/>
      <c r="AH340" s="4"/>
      <c r="AI340" s="4"/>
    </row>
    <row r="341">
      <c r="A341" s="57"/>
      <c r="B341" s="4"/>
      <c r="C341" s="4"/>
      <c r="D341" s="4"/>
      <c r="E341" s="4"/>
      <c r="F341" s="4"/>
      <c r="G341" s="4"/>
      <c r="H341" s="52"/>
      <c r="I341" s="4"/>
      <c r="J341" s="52"/>
      <c r="K341" s="52"/>
      <c r="L341" s="52"/>
      <c r="M341" s="52"/>
      <c r="N341" s="52"/>
      <c r="O341" s="52"/>
      <c r="P341" s="52"/>
      <c r="Q341" s="52"/>
      <c r="R341" s="4"/>
      <c r="S341" s="4"/>
      <c r="T341" s="4"/>
      <c r="U341" s="74"/>
      <c r="V341" s="3"/>
      <c r="W341" s="3"/>
      <c r="X341" s="3"/>
      <c r="Y341" s="3"/>
      <c r="Z341" s="58"/>
      <c r="AA341" s="3"/>
      <c r="AB341" s="3"/>
      <c r="AC341" s="4"/>
      <c r="AD341" s="4"/>
      <c r="AE341" s="4"/>
      <c r="AF341" s="4"/>
      <c r="AG341" s="4"/>
      <c r="AH341" s="4"/>
      <c r="AI341" s="4"/>
    </row>
    <row r="342">
      <c r="A342" s="57"/>
      <c r="B342" s="4"/>
      <c r="C342" s="4"/>
      <c r="D342" s="4"/>
      <c r="E342" s="4"/>
      <c r="F342" s="4"/>
      <c r="G342" s="4"/>
      <c r="H342" s="52"/>
      <c r="I342" s="4"/>
      <c r="J342" s="52"/>
      <c r="K342" s="52"/>
      <c r="L342" s="52"/>
      <c r="M342" s="52"/>
      <c r="N342" s="52"/>
      <c r="O342" s="52"/>
      <c r="P342" s="52"/>
      <c r="Q342" s="52"/>
      <c r="R342" s="4"/>
      <c r="S342" s="4"/>
      <c r="T342" s="4"/>
      <c r="U342" s="74"/>
      <c r="V342" s="3"/>
      <c r="W342" s="3"/>
      <c r="X342" s="3"/>
      <c r="Y342" s="3"/>
      <c r="Z342" s="58"/>
      <c r="AA342" s="3"/>
      <c r="AB342" s="3"/>
      <c r="AC342" s="4"/>
      <c r="AD342" s="4"/>
      <c r="AE342" s="4"/>
      <c r="AF342" s="4"/>
      <c r="AG342" s="4"/>
      <c r="AH342" s="4"/>
      <c r="AI342" s="4"/>
    </row>
    <row r="343">
      <c r="A343" s="57"/>
      <c r="B343" s="4"/>
      <c r="C343" s="4"/>
      <c r="D343" s="4"/>
      <c r="E343" s="4"/>
      <c r="F343" s="4"/>
      <c r="G343" s="4"/>
      <c r="H343" s="52"/>
      <c r="I343" s="4"/>
      <c r="J343" s="52"/>
      <c r="K343" s="52"/>
      <c r="L343" s="52"/>
      <c r="M343" s="52"/>
      <c r="N343" s="52"/>
      <c r="O343" s="52"/>
      <c r="P343" s="52"/>
      <c r="Q343" s="52"/>
      <c r="R343" s="4"/>
      <c r="S343" s="4"/>
      <c r="T343" s="4"/>
      <c r="U343" s="74"/>
      <c r="V343" s="3"/>
      <c r="W343" s="3"/>
      <c r="X343" s="3"/>
      <c r="Y343" s="3"/>
      <c r="Z343" s="58"/>
      <c r="AA343" s="3"/>
      <c r="AB343" s="3"/>
      <c r="AC343" s="4"/>
      <c r="AD343" s="4"/>
      <c r="AE343" s="4"/>
      <c r="AF343" s="4"/>
      <c r="AG343" s="4"/>
      <c r="AH343" s="4"/>
      <c r="AI343" s="4"/>
    </row>
    <row r="344">
      <c r="A344" s="57"/>
      <c r="B344" s="4"/>
      <c r="C344" s="4"/>
      <c r="D344" s="4"/>
      <c r="E344" s="4"/>
      <c r="F344" s="4"/>
      <c r="G344" s="4"/>
      <c r="H344" s="52"/>
      <c r="I344" s="4"/>
      <c r="J344" s="52"/>
      <c r="K344" s="52"/>
      <c r="L344" s="52"/>
      <c r="M344" s="52"/>
      <c r="N344" s="52"/>
      <c r="O344" s="52"/>
      <c r="P344" s="52"/>
      <c r="Q344" s="52"/>
      <c r="R344" s="4"/>
      <c r="S344" s="4"/>
      <c r="T344" s="4"/>
      <c r="U344" s="74"/>
      <c r="V344" s="3"/>
      <c r="W344" s="3"/>
      <c r="X344" s="3"/>
      <c r="Y344" s="3"/>
      <c r="Z344" s="58"/>
      <c r="AA344" s="3"/>
      <c r="AB344" s="3"/>
      <c r="AC344" s="4"/>
      <c r="AD344" s="4"/>
      <c r="AE344" s="4"/>
      <c r="AF344" s="4"/>
      <c r="AG344" s="4"/>
      <c r="AH344" s="4"/>
      <c r="AI344" s="4"/>
    </row>
    <row r="345">
      <c r="A345" s="57"/>
      <c r="B345" s="4"/>
      <c r="C345" s="4"/>
      <c r="D345" s="4"/>
      <c r="E345" s="4"/>
      <c r="F345" s="4"/>
      <c r="G345" s="4"/>
      <c r="H345" s="52"/>
      <c r="I345" s="4"/>
      <c r="J345" s="52"/>
      <c r="K345" s="52"/>
      <c r="L345" s="52"/>
      <c r="M345" s="52"/>
      <c r="N345" s="52"/>
      <c r="O345" s="52"/>
      <c r="P345" s="52"/>
      <c r="Q345" s="52"/>
      <c r="R345" s="4"/>
      <c r="S345" s="4"/>
      <c r="T345" s="4"/>
      <c r="U345" s="74"/>
      <c r="V345" s="3"/>
      <c r="W345" s="3"/>
      <c r="X345" s="3"/>
      <c r="Y345" s="3"/>
      <c r="Z345" s="58"/>
      <c r="AA345" s="3"/>
      <c r="AB345" s="3"/>
      <c r="AC345" s="4"/>
      <c r="AD345" s="4"/>
      <c r="AE345" s="4"/>
      <c r="AF345" s="4"/>
      <c r="AG345" s="4"/>
      <c r="AH345" s="4"/>
      <c r="AI345" s="4"/>
    </row>
    <row r="346">
      <c r="A346" s="57"/>
      <c r="B346" s="4"/>
      <c r="C346" s="4"/>
      <c r="D346" s="4"/>
      <c r="E346" s="4"/>
      <c r="F346" s="4"/>
      <c r="G346" s="4"/>
      <c r="H346" s="52"/>
      <c r="I346" s="4"/>
      <c r="J346" s="52"/>
      <c r="K346" s="52"/>
      <c r="L346" s="52"/>
      <c r="M346" s="52"/>
      <c r="N346" s="52"/>
      <c r="O346" s="52"/>
      <c r="P346" s="52"/>
      <c r="Q346" s="52"/>
      <c r="R346" s="4"/>
      <c r="S346" s="4"/>
      <c r="T346" s="4"/>
      <c r="U346" s="74"/>
      <c r="V346" s="3"/>
      <c r="W346" s="3"/>
      <c r="X346" s="3"/>
      <c r="Y346" s="3"/>
      <c r="Z346" s="58"/>
      <c r="AA346" s="3"/>
      <c r="AB346" s="3"/>
      <c r="AC346" s="4"/>
      <c r="AD346" s="4"/>
      <c r="AE346" s="4"/>
      <c r="AF346" s="4"/>
      <c r="AG346" s="4"/>
      <c r="AH346" s="4"/>
      <c r="AI346" s="4"/>
    </row>
    <row r="347">
      <c r="A347" s="57"/>
      <c r="B347" s="4"/>
      <c r="C347" s="4"/>
      <c r="D347" s="4"/>
      <c r="E347" s="4"/>
      <c r="F347" s="4"/>
      <c r="G347" s="4"/>
      <c r="H347" s="52"/>
      <c r="I347" s="4"/>
      <c r="J347" s="52"/>
      <c r="K347" s="52"/>
      <c r="L347" s="52"/>
      <c r="M347" s="52"/>
      <c r="N347" s="52"/>
      <c r="O347" s="52"/>
      <c r="P347" s="52"/>
      <c r="Q347" s="52"/>
      <c r="R347" s="4"/>
      <c r="S347" s="4"/>
      <c r="T347" s="4"/>
      <c r="U347" s="74"/>
      <c r="V347" s="3"/>
      <c r="W347" s="3"/>
      <c r="X347" s="3"/>
      <c r="Y347" s="3"/>
      <c r="Z347" s="58"/>
      <c r="AA347" s="3"/>
      <c r="AB347" s="3"/>
      <c r="AC347" s="4"/>
      <c r="AD347" s="4"/>
      <c r="AE347" s="4"/>
      <c r="AF347" s="4"/>
      <c r="AG347" s="4"/>
      <c r="AH347" s="4"/>
      <c r="AI347" s="4"/>
    </row>
    <row r="348">
      <c r="A348" s="57"/>
      <c r="B348" s="4"/>
      <c r="C348" s="4"/>
      <c r="D348" s="4"/>
      <c r="E348" s="4"/>
      <c r="F348" s="4"/>
      <c r="G348" s="4"/>
      <c r="H348" s="52"/>
      <c r="I348" s="4"/>
      <c r="J348" s="52"/>
      <c r="K348" s="52"/>
      <c r="L348" s="52"/>
      <c r="M348" s="52"/>
      <c r="N348" s="52"/>
      <c r="O348" s="52"/>
      <c r="P348" s="52"/>
      <c r="Q348" s="52"/>
      <c r="R348" s="4"/>
      <c r="S348" s="4"/>
      <c r="T348" s="4"/>
      <c r="U348" s="74"/>
      <c r="V348" s="3"/>
      <c r="W348" s="3"/>
      <c r="X348" s="3"/>
      <c r="Y348" s="3"/>
      <c r="Z348" s="58"/>
      <c r="AA348" s="3"/>
      <c r="AB348" s="3"/>
      <c r="AC348" s="4"/>
      <c r="AD348" s="4"/>
      <c r="AE348" s="4"/>
      <c r="AF348" s="4"/>
      <c r="AG348" s="4"/>
      <c r="AH348" s="4"/>
      <c r="AI348" s="4"/>
    </row>
    <row r="349">
      <c r="A349" s="57"/>
      <c r="B349" s="4"/>
      <c r="C349" s="4"/>
      <c r="D349" s="4"/>
      <c r="E349" s="4"/>
      <c r="F349" s="4"/>
      <c r="G349" s="4"/>
      <c r="H349" s="52"/>
      <c r="I349" s="4"/>
      <c r="J349" s="52"/>
      <c r="K349" s="52"/>
      <c r="L349" s="52"/>
      <c r="M349" s="52"/>
      <c r="N349" s="52"/>
      <c r="O349" s="52"/>
      <c r="P349" s="52"/>
      <c r="Q349" s="52"/>
      <c r="R349" s="4"/>
      <c r="S349" s="4"/>
      <c r="T349" s="4"/>
      <c r="U349" s="74"/>
      <c r="V349" s="3"/>
      <c r="W349" s="3"/>
      <c r="X349" s="3"/>
      <c r="Y349" s="3"/>
      <c r="Z349" s="58"/>
      <c r="AA349" s="3"/>
      <c r="AB349" s="3"/>
      <c r="AC349" s="4"/>
      <c r="AD349" s="4"/>
      <c r="AE349" s="4"/>
      <c r="AF349" s="4"/>
      <c r="AG349" s="4"/>
      <c r="AH349" s="4"/>
      <c r="AI349" s="4"/>
    </row>
    <row r="350">
      <c r="A350" s="57"/>
      <c r="B350" s="4"/>
      <c r="C350" s="4"/>
      <c r="D350" s="4"/>
      <c r="E350" s="4"/>
      <c r="F350" s="4"/>
      <c r="G350" s="4"/>
      <c r="H350" s="52"/>
      <c r="I350" s="4"/>
      <c r="J350" s="52"/>
      <c r="K350" s="52"/>
      <c r="L350" s="52"/>
      <c r="M350" s="52"/>
      <c r="N350" s="52"/>
      <c r="O350" s="52"/>
      <c r="P350" s="52"/>
      <c r="Q350" s="52"/>
      <c r="R350" s="4"/>
      <c r="S350" s="4"/>
      <c r="T350" s="4"/>
      <c r="U350" s="74"/>
      <c r="V350" s="3"/>
      <c r="W350" s="3"/>
      <c r="X350" s="3"/>
      <c r="Y350" s="3"/>
      <c r="Z350" s="58"/>
      <c r="AA350" s="3"/>
      <c r="AB350" s="3"/>
      <c r="AC350" s="4"/>
      <c r="AD350" s="4"/>
      <c r="AE350" s="4"/>
      <c r="AF350" s="4"/>
      <c r="AG350" s="4"/>
      <c r="AH350" s="4"/>
      <c r="AI350" s="4"/>
    </row>
    <row r="351">
      <c r="A351" s="57"/>
      <c r="B351" s="4"/>
      <c r="C351" s="4"/>
      <c r="D351" s="4"/>
      <c r="E351" s="4"/>
      <c r="F351" s="4"/>
      <c r="G351" s="4"/>
      <c r="H351" s="52"/>
      <c r="I351" s="4"/>
      <c r="J351" s="52"/>
      <c r="K351" s="52"/>
      <c r="L351" s="52"/>
      <c r="M351" s="52"/>
      <c r="N351" s="52"/>
      <c r="O351" s="52"/>
      <c r="P351" s="52"/>
      <c r="Q351" s="52"/>
      <c r="R351" s="4"/>
      <c r="S351" s="4"/>
      <c r="T351" s="4"/>
      <c r="U351" s="74"/>
      <c r="V351" s="3"/>
      <c r="W351" s="3"/>
      <c r="X351" s="3"/>
      <c r="Y351" s="3"/>
      <c r="Z351" s="58"/>
      <c r="AA351" s="3"/>
      <c r="AB351" s="3"/>
      <c r="AC351" s="4"/>
      <c r="AD351" s="4"/>
      <c r="AE351" s="4"/>
      <c r="AF351" s="4"/>
      <c r="AG351" s="4"/>
      <c r="AH351" s="4"/>
      <c r="AI351" s="4"/>
    </row>
    <row r="352">
      <c r="A352" s="57"/>
      <c r="B352" s="4"/>
      <c r="C352" s="4"/>
      <c r="D352" s="4"/>
      <c r="E352" s="4"/>
      <c r="F352" s="4"/>
      <c r="G352" s="4"/>
      <c r="H352" s="52"/>
      <c r="I352" s="4"/>
      <c r="J352" s="52"/>
      <c r="K352" s="52"/>
      <c r="L352" s="52"/>
      <c r="M352" s="52"/>
      <c r="N352" s="52"/>
      <c r="O352" s="52"/>
      <c r="P352" s="52"/>
      <c r="Q352" s="52"/>
      <c r="R352" s="4"/>
      <c r="S352" s="4"/>
      <c r="T352" s="4"/>
      <c r="U352" s="74"/>
      <c r="V352" s="3"/>
      <c r="W352" s="3"/>
      <c r="X352" s="3"/>
      <c r="Y352" s="3"/>
      <c r="Z352" s="58"/>
      <c r="AA352" s="3"/>
      <c r="AB352" s="3"/>
      <c r="AC352" s="4"/>
      <c r="AD352" s="4"/>
      <c r="AE352" s="4"/>
      <c r="AF352" s="4"/>
      <c r="AG352" s="4"/>
      <c r="AH352" s="4"/>
      <c r="AI352" s="4"/>
    </row>
    <row r="353">
      <c r="A353" s="57"/>
      <c r="B353" s="4"/>
      <c r="C353" s="4"/>
      <c r="D353" s="4"/>
      <c r="E353" s="4"/>
      <c r="F353" s="4"/>
      <c r="G353" s="4"/>
      <c r="H353" s="52"/>
      <c r="I353" s="4"/>
      <c r="J353" s="52"/>
      <c r="K353" s="52"/>
      <c r="L353" s="52"/>
      <c r="M353" s="52"/>
      <c r="N353" s="52"/>
      <c r="O353" s="52"/>
      <c r="P353" s="52"/>
      <c r="Q353" s="52"/>
      <c r="R353" s="4"/>
      <c r="S353" s="4"/>
      <c r="T353" s="4"/>
      <c r="U353" s="74"/>
      <c r="V353" s="3"/>
      <c r="W353" s="3"/>
      <c r="X353" s="3"/>
      <c r="Y353" s="3"/>
      <c r="Z353" s="58"/>
      <c r="AA353" s="3"/>
      <c r="AB353" s="3"/>
      <c r="AC353" s="4"/>
      <c r="AD353" s="4"/>
      <c r="AE353" s="4"/>
      <c r="AF353" s="4"/>
      <c r="AG353" s="4"/>
      <c r="AH353" s="4"/>
      <c r="AI353" s="4"/>
    </row>
    <row r="354">
      <c r="A354" s="57"/>
      <c r="B354" s="4"/>
      <c r="C354" s="4"/>
      <c r="D354" s="4"/>
      <c r="E354" s="4"/>
      <c r="F354" s="4"/>
      <c r="G354" s="4"/>
      <c r="H354" s="52"/>
      <c r="I354" s="4"/>
      <c r="J354" s="52"/>
      <c r="K354" s="52"/>
      <c r="L354" s="52"/>
      <c r="M354" s="52"/>
      <c r="N354" s="52"/>
      <c r="O354" s="52"/>
      <c r="P354" s="52"/>
      <c r="Q354" s="52"/>
      <c r="R354" s="4"/>
      <c r="S354" s="4"/>
      <c r="T354" s="4"/>
      <c r="U354" s="74"/>
      <c r="V354" s="3"/>
      <c r="W354" s="3"/>
      <c r="X354" s="3"/>
      <c r="Y354" s="3"/>
      <c r="Z354" s="58"/>
      <c r="AA354" s="3"/>
      <c r="AB354" s="3"/>
      <c r="AC354" s="4"/>
      <c r="AD354" s="4"/>
      <c r="AE354" s="4"/>
      <c r="AF354" s="4"/>
      <c r="AG354" s="4"/>
      <c r="AH354" s="4"/>
      <c r="AI354" s="4"/>
    </row>
    <row r="355">
      <c r="A355" s="57"/>
      <c r="B355" s="4"/>
      <c r="C355" s="4"/>
      <c r="D355" s="4"/>
      <c r="E355" s="4"/>
      <c r="F355" s="4"/>
      <c r="G355" s="4"/>
      <c r="H355" s="52"/>
      <c r="I355" s="4"/>
      <c r="J355" s="52"/>
      <c r="K355" s="52"/>
      <c r="L355" s="52"/>
      <c r="M355" s="52"/>
      <c r="N355" s="52"/>
      <c r="O355" s="52"/>
      <c r="P355" s="52"/>
      <c r="Q355" s="52"/>
      <c r="R355" s="4"/>
      <c r="S355" s="4"/>
      <c r="T355" s="4"/>
      <c r="U355" s="74"/>
      <c r="V355" s="3"/>
      <c r="W355" s="3"/>
      <c r="X355" s="3"/>
      <c r="Y355" s="3"/>
      <c r="Z355" s="58"/>
      <c r="AA355" s="3"/>
      <c r="AB355" s="3"/>
      <c r="AC355" s="4"/>
      <c r="AD355" s="4"/>
      <c r="AE355" s="4"/>
      <c r="AF355" s="4"/>
      <c r="AG355" s="4"/>
      <c r="AH355" s="4"/>
      <c r="AI355" s="4"/>
    </row>
    <row r="356">
      <c r="A356" s="57"/>
      <c r="B356" s="4"/>
      <c r="C356" s="4"/>
      <c r="D356" s="4"/>
      <c r="E356" s="4"/>
      <c r="F356" s="4"/>
      <c r="G356" s="4"/>
      <c r="H356" s="52"/>
      <c r="I356" s="4"/>
      <c r="J356" s="52"/>
      <c r="K356" s="52"/>
      <c r="L356" s="52"/>
      <c r="M356" s="52"/>
      <c r="N356" s="52"/>
      <c r="O356" s="52"/>
      <c r="P356" s="52"/>
      <c r="Q356" s="52"/>
      <c r="R356" s="4"/>
      <c r="S356" s="4"/>
      <c r="T356" s="4"/>
      <c r="U356" s="74"/>
      <c r="V356" s="3"/>
      <c r="W356" s="3"/>
      <c r="X356" s="3"/>
      <c r="Y356" s="3"/>
      <c r="Z356" s="58"/>
      <c r="AA356" s="3"/>
      <c r="AB356" s="3"/>
      <c r="AC356" s="4"/>
      <c r="AD356" s="4"/>
      <c r="AE356" s="4"/>
      <c r="AF356" s="4"/>
      <c r="AG356" s="4"/>
      <c r="AH356" s="4"/>
      <c r="AI356" s="4"/>
    </row>
    <row r="357">
      <c r="A357" s="57"/>
      <c r="B357" s="4"/>
      <c r="C357" s="4"/>
      <c r="D357" s="4"/>
      <c r="E357" s="4"/>
      <c r="F357" s="4"/>
      <c r="G357" s="4"/>
      <c r="H357" s="52"/>
      <c r="I357" s="4"/>
      <c r="J357" s="52"/>
      <c r="K357" s="52"/>
      <c r="L357" s="52"/>
      <c r="M357" s="52"/>
      <c r="N357" s="52"/>
      <c r="O357" s="52"/>
      <c r="P357" s="52"/>
      <c r="Q357" s="52"/>
      <c r="R357" s="4"/>
      <c r="S357" s="4"/>
      <c r="T357" s="4"/>
      <c r="U357" s="74"/>
      <c r="V357" s="3"/>
      <c r="W357" s="3"/>
      <c r="X357" s="3"/>
      <c r="Y357" s="3"/>
      <c r="Z357" s="58"/>
      <c r="AA357" s="3"/>
      <c r="AB357" s="3"/>
      <c r="AC357" s="4"/>
      <c r="AD357" s="4"/>
      <c r="AE357" s="4"/>
      <c r="AF357" s="4"/>
      <c r="AG357" s="4"/>
      <c r="AH357" s="4"/>
      <c r="AI357" s="4"/>
    </row>
    <row r="358">
      <c r="A358" s="57"/>
      <c r="B358" s="4"/>
      <c r="C358" s="4"/>
      <c r="D358" s="4"/>
      <c r="E358" s="4"/>
      <c r="F358" s="4"/>
      <c r="G358" s="4"/>
      <c r="H358" s="52"/>
      <c r="I358" s="4"/>
      <c r="J358" s="52"/>
      <c r="K358" s="52"/>
      <c r="L358" s="52"/>
      <c r="M358" s="52"/>
      <c r="N358" s="52"/>
      <c r="O358" s="52"/>
      <c r="P358" s="52"/>
      <c r="Q358" s="52"/>
      <c r="R358" s="4"/>
      <c r="S358" s="4"/>
      <c r="T358" s="4"/>
      <c r="U358" s="74"/>
      <c r="V358" s="3"/>
      <c r="W358" s="3"/>
      <c r="X358" s="3"/>
      <c r="Y358" s="3"/>
      <c r="Z358" s="58"/>
      <c r="AA358" s="3"/>
      <c r="AB358" s="3"/>
      <c r="AC358" s="4"/>
      <c r="AD358" s="4"/>
      <c r="AE358" s="4"/>
      <c r="AF358" s="4"/>
      <c r="AG358" s="4"/>
      <c r="AH358" s="4"/>
      <c r="AI358" s="4"/>
    </row>
    <row r="359">
      <c r="A359" s="57"/>
      <c r="B359" s="4"/>
      <c r="C359" s="4"/>
      <c r="D359" s="4"/>
      <c r="E359" s="4"/>
      <c r="F359" s="4"/>
      <c r="G359" s="4"/>
      <c r="H359" s="52"/>
      <c r="I359" s="4"/>
      <c r="J359" s="52"/>
      <c r="K359" s="52"/>
      <c r="L359" s="52"/>
      <c r="M359" s="52"/>
      <c r="N359" s="52"/>
      <c r="O359" s="52"/>
      <c r="P359" s="52"/>
      <c r="Q359" s="52"/>
      <c r="R359" s="4"/>
      <c r="S359" s="4"/>
      <c r="T359" s="4"/>
      <c r="U359" s="74"/>
      <c r="V359" s="3"/>
      <c r="W359" s="3"/>
      <c r="X359" s="3"/>
      <c r="Y359" s="3"/>
      <c r="Z359" s="58"/>
      <c r="AA359" s="3"/>
      <c r="AB359" s="3"/>
      <c r="AC359" s="4"/>
      <c r="AD359" s="4"/>
      <c r="AE359" s="4"/>
      <c r="AF359" s="4"/>
      <c r="AG359" s="4"/>
      <c r="AH359" s="4"/>
      <c r="AI359" s="4"/>
    </row>
    <row r="360">
      <c r="A360" s="57"/>
      <c r="B360" s="4"/>
      <c r="C360" s="4"/>
      <c r="D360" s="4"/>
      <c r="E360" s="4"/>
      <c r="F360" s="4"/>
      <c r="G360" s="4"/>
      <c r="H360" s="52"/>
      <c r="I360" s="4"/>
      <c r="J360" s="52"/>
      <c r="K360" s="52"/>
      <c r="L360" s="52"/>
      <c r="M360" s="52"/>
      <c r="N360" s="52"/>
      <c r="O360" s="52"/>
      <c r="P360" s="52"/>
      <c r="Q360" s="52"/>
      <c r="R360" s="4"/>
      <c r="S360" s="4"/>
      <c r="T360" s="4"/>
      <c r="U360" s="74"/>
      <c r="V360" s="3"/>
      <c r="W360" s="3"/>
      <c r="X360" s="3"/>
      <c r="Y360" s="3"/>
      <c r="Z360" s="58"/>
      <c r="AA360" s="3"/>
      <c r="AB360" s="3"/>
      <c r="AC360" s="4"/>
      <c r="AD360" s="4"/>
      <c r="AE360" s="4"/>
      <c r="AF360" s="4"/>
      <c r="AG360" s="4"/>
      <c r="AH360" s="4"/>
      <c r="AI360" s="4"/>
    </row>
    <row r="361">
      <c r="A361" s="57"/>
      <c r="B361" s="4"/>
      <c r="C361" s="4"/>
      <c r="D361" s="4"/>
      <c r="E361" s="4"/>
      <c r="F361" s="4"/>
      <c r="G361" s="4"/>
      <c r="H361" s="52"/>
      <c r="I361" s="4"/>
      <c r="J361" s="52"/>
      <c r="K361" s="52"/>
      <c r="L361" s="52"/>
      <c r="M361" s="52"/>
      <c r="N361" s="52"/>
      <c r="O361" s="52"/>
      <c r="P361" s="52"/>
      <c r="Q361" s="52"/>
      <c r="R361" s="4"/>
      <c r="S361" s="4"/>
      <c r="T361" s="4"/>
      <c r="U361" s="74"/>
      <c r="V361" s="3"/>
      <c r="W361" s="3"/>
      <c r="X361" s="3"/>
      <c r="Y361" s="3"/>
      <c r="Z361" s="58"/>
      <c r="AA361" s="3"/>
      <c r="AB361" s="3"/>
      <c r="AC361" s="4"/>
      <c r="AD361" s="4"/>
      <c r="AE361" s="4"/>
      <c r="AF361" s="4"/>
      <c r="AG361" s="4"/>
      <c r="AH361" s="4"/>
      <c r="AI361" s="4"/>
    </row>
    <row r="362">
      <c r="A362" s="57"/>
      <c r="B362" s="4"/>
      <c r="C362" s="4"/>
      <c r="D362" s="4"/>
      <c r="E362" s="4"/>
      <c r="F362" s="4"/>
      <c r="G362" s="4"/>
      <c r="H362" s="52"/>
      <c r="I362" s="4"/>
      <c r="J362" s="52"/>
      <c r="K362" s="52"/>
      <c r="L362" s="52"/>
      <c r="M362" s="52"/>
      <c r="N362" s="52"/>
      <c r="O362" s="52"/>
      <c r="P362" s="52"/>
      <c r="Q362" s="52"/>
      <c r="R362" s="4"/>
      <c r="S362" s="4"/>
      <c r="T362" s="4"/>
      <c r="U362" s="74"/>
      <c r="V362" s="3"/>
      <c r="W362" s="3"/>
      <c r="X362" s="3"/>
      <c r="Y362" s="3"/>
      <c r="Z362" s="58"/>
      <c r="AA362" s="3"/>
      <c r="AB362" s="3"/>
      <c r="AC362" s="4"/>
      <c r="AD362" s="4"/>
      <c r="AE362" s="4"/>
      <c r="AF362" s="4"/>
      <c r="AG362" s="4"/>
      <c r="AH362" s="4"/>
      <c r="AI362" s="4"/>
    </row>
    <row r="363">
      <c r="A363" s="57"/>
      <c r="B363" s="4"/>
      <c r="C363" s="4"/>
      <c r="D363" s="4"/>
      <c r="E363" s="4"/>
      <c r="F363" s="4"/>
      <c r="G363" s="4"/>
      <c r="H363" s="52"/>
      <c r="I363" s="4"/>
      <c r="J363" s="52"/>
      <c r="K363" s="52"/>
      <c r="L363" s="52"/>
      <c r="M363" s="52"/>
      <c r="N363" s="52"/>
      <c r="O363" s="52"/>
      <c r="P363" s="52"/>
      <c r="Q363" s="52"/>
      <c r="R363" s="4"/>
      <c r="S363" s="4"/>
      <c r="T363" s="4"/>
      <c r="U363" s="74"/>
      <c r="V363" s="3"/>
      <c r="W363" s="3"/>
      <c r="X363" s="3"/>
      <c r="Y363" s="3"/>
      <c r="Z363" s="58"/>
      <c r="AA363" s="3"/>
      <c r="AB363" s="3"/>
      <c r="AC363" s="4"/>
      <c r="AD363" s="4"/>
      <c r="AE363" s="4"/>
      <c r="AF363" s="4"/>
      <c r="AG363" s="4"/>
      <c r="AH363" s="4"/>
      <c r="AI363" s="4"/>
    </row>
    <row r="364">
      <c r="A364" s="57"/>
      <c r="B364" s="4"/>
      <c r="C364" s="4"/>
      <c r="D364" s="4"/>
      <c r="E364" s="4"/>
      <c r="F364" s="4"/>
      <c r="G364" s="4"/>
      <c r="H364" s="52"/>
      <c r="I364" s="4"/>
      <c r="J364" s="52"/>
      <c r="K364" s="52"/>
      <c r="L364" s="52"/>
      <c r="M364" s="52"/>
      <c r="N364" s="52"/>
      <c r="O364" s="52"/>
      <c r="P364" s="52"/>
      <c r="Q364" s="52"/>
      <c r="R364" s="4"/>
      <c r="S364" s="4"/>
      <c r="T364" s="4"/>
      <c r="U364" s="74"/>
      <c r="V364" s="3"/>
      <c r="W364" s="3"/>
      <c r="X364" s="3"/>
      <c r="Y364" s="3"/>
      <c r="Z364" s="58"/>
      <c r="AA364" s="3"/>
      <c r="AB364" s="3"/>
      <c r="AC364" s="4"/>
      <c r="AD364" s="4"/>
      <c r="AE364" s="4"/>
      <c r="AF364" s="4"/>
      <c r="AG364" s="4"/>
      <c r="AH364" s="4"/>
      <c r="AI364" s="4"/>
    </row>
    <row r="365">
      <c r="A365" s="57"/>
      <c r="B365" s="4"/>
      <c r="C365" s="4"/>
      <c r="D365" s="4"/>
      <c r="E365" s="4"/>
      <c r="F365" s="4"/>
      <c r="G365" s="4"/>
      <c r="H365" s="52"/>
      <c r="I365" s="4"/>
      <c r="J365" s="52"/>
      <c r="K365" s="52"/>
      <c r="L365" s="52"/>
      <c r="M365" s="52"/>
      <c r="N365" s="52"/>
      <c r="O365" s="52"/>
      <c r="P365" s="52"/>
      <c r="Q365" s="52"/>
      <c r="R365" s="4"/>
      <c r="S365" s="4"/>
      <c r="T365" s="4"/>
      <c r="U365" s="74"/>
      <c r="V365" s="3"/>
      <c r="W365" s="3"/>
      <c r="X365" s="3"/>
      <c r="Y365" s="3"/>
      <c r="Z365" s="58"/>
      <c r="AA365" s="3"/>
      <c r="AB365" s="3"/>
      <c r="AC365" s="4"/>
      <c r="AD365" s="4"/>
      <c r="AE365" s="4"/>
      <c r="AF365" s="4"/>
      <c r="AG365" s="4"/>
      <c r="AH365" s="4"/>
      <c r="AI365" s="4"/>
    </row>
    <row r="366">
      <c r="A366" s="57"/>
      <c r="B366" s="4"/>
      <c r="C366" s="4"/>
      <c r="D366" s="4"/>
      <c r="E366" s="4"/>
      <c r="F366" s="4"/>
      <c r="G366" s="4"/>
      <c r="H366" s="52"/>
      <c r="I366" s="4"/>
      <c r="J366" s="52"/>
      <c r="K366" s="52"/>
      <c r="L366" s="52"/>
      <c r="M366" s="52"/>
      <c r="N366" s="52"/>
      <c r="O366" s="52"/>
      <c r="P366" s="52"/>
      <c r="Q366" s="52"/>
      <c r="R366" s="4"/>
      <c r="S366" s="4"/>
      <c r="T366" s="4"/>
      <c r="U366" s="74"/>
      <c r="V366" s="3"/>
      <c r="W366" s="3"/>
      <c r="X366" s="3"/>
      <c r="Y366" s="3"/>
      <c r="Z366" s="58"/>
      <c r="AA366" s="3"/>
      <c r="AB366" s="3"/>
      <c r="AC366" s="4"/>
      <c r="AD366" s="4"/>
      <c r="AE366" s="4"/>
      <c r="AF366" s="4"/>
      <c r="AG366" s="4"/>
      <c r="AH366" s="4"/>
      <c r="AI366" s="4"/>
    </row>
    <row r="367">
      <c r="A367" s="57"/>
      <c r="B367" s="4"/>
      <c r="C367" s="4"/>
      <c r="D367" s="4"/>
      <c r="E367" s="4"/>
      <c r="F367" s="4"/>
      <c r="G367" s="4"/>
      <c r="H367" s="52"/>
      <c r="I367" s="4"/>
      <c r="J367" s="52"/>
      <c r="K367" s="52"/>
      <c r="L367" s="52"/>
      <c r="M367" s="52"/>
      <c r="N367" s="52"/>
      <c r="O367" s="52"/>
      <c r="P367" s="52"/>
      <c r="Q367" s="52"/>
      <c r="R367" s="4"/>
      <c r="S367" s="4"/>
      <c r="T367" s="4"/>
      <c r="U367" s="74"/>
      <c r="V367" s="3"/>
      <c r="W367" s="3"/>
      <c r="X367" s="3"/>
      <c r="Y367" s="3"/>
      <c r="Z367" s="58"/>
      <c r="AA367" s="3"/>
      <c r="AB367" s="3"/>
      <c r="AC367" s="4"/>
      <c r="AD367" s="4"/>
      <c r="AE367" s="4"/>
      <c r="AF367" s="4"/>
      <c r="AG367" s="4"/>
      <c r="AH367" s="4"/>
      <c r="AI367" s="4"/>
    </row>
    <row r="368">
      <c r="A368" s="57"/>
      <c r="B368" s="4"/>
      <c r="C368" s="4"/>
      <c r="D368" s="4"/>
      <c r="E368" s="4"/>
      <c r="F368" s="4"/>
      <c r="G368" s="4"/>
      <c r="H368" s="52"/>
      <c r="I368" s="4"/>
      <c r="J368" s="52"/>
      <c r="K368" s="52"/>
      <c r="L368" s="52"/>
      <c r="M368" s="52"/>
      <c r="N368" s="52"/>
      <c r="O368" s="52"/>
      <c r="P368" s="52"/>
      <c r="Q368" s="52"/>
      <c r="R368" s="4"/>
      <c r="S368" s="4"/>
      <c r="T368" s="4"/>
      <c r="U368" s="74"/>
      <c r="V368" s="3"/>
      <c r="W368" s="3"/>
      <c r="X368" s="3"/>
      <c r="Y368" s="3"/>
      <c r="Z368" s="58"/>
      <c r="AA368" s="3"/>
      <c r="AB368" s="3"/>
      <c r="AC368" s="4"/>
      <c r="AD368" s="4"/>
      <c r="AE368" s="4"/>
      <c r="AF368" s="4"/>
      <c r="AG368" s="4"/>
      <c r="AH368" s="4"/>
      <c r="AI368" s="4"/>
    </row>
    <row r="369">
      <c r="A369" s="57"/>
      <c r="B369" s="4"/>
      <c r="C369" s="4"/>
      <c r="D369" s="4"/>
      <c r="E369" s="4"/>
      <c r="F369" s="4"/>
      <c r="G369" s="4"/>
      <c r="H369" s="52"/>
      <c r="I369" s="4"/>
      <c r="J369" s="52"/>
      <c r="K369" s="52"/>
      <c r="L369" s="52"/>
      <c r="M369" s="52"/>
      <c r="N369" s="52"/>
      <c r="O369" s="52"/>
      <c r="P369" s="52"/>
      <c r="Q369" s="52"/>
      <c r="R369" s="4"/>
      <c r="S369" s="4"/>
      <c r="T369" s="4"/>
      <c r="U369" s="74"/>
      <c r="V369" s="3"/>
      <c r="W369" s="3"/>
      <c r="X369" s="3"/>
      <c r="Y369" s="3"/>
      <c r="Z369" s="58"/>
      <c r="AA369" s="3"/>
      <c r="AB369" s="3"/>
      <c r="AC369" s="4"/>
      <c r="AD369" s="4"/>
      <c r="AE369" s="4"/>
      <c r="AF369" s="4"/>
      <c r="AG369" s="4"/>
      <c r="AH369" s="4"/>
      <c r="AI369" s="4"/>
    </row>
    <row r="370">
      <c r="A370" s="57"/>
      <c r="B370" s="4"/>
      <c r="C370" s="4"/>
      <c r="D370" s="4"/>
      <c r="E370" s="4"/>
      <c r="F370" s="4"/>
      <c r="G370" s="4"/>
      <c r="H370" s="52"/>
      <c r="I370" s="4"/>
      <c r="J370" s="52"/>
      <c r="K370" s="52"/>
      <c r="L370" s="52"/>
      <c r="M370" s="52"/>
      <c r="N370" s="52"/>
      <c r="O370" s="52"/>
      <c r="P370" s="52"/>
      <c r="Q370" s="52"/>
      <c r="R370" s="4"/>
      <c r="S370" s="4"/>
      <c r="T370" s="4"/>
      <c r="U370" s="74"/>
      <c r="V370" s="3"/>
      <c r="W370" s="3"/>
      <c r="X370" s="3"/>
      <c r="Y370" s="3"/>
      <c r="Z370" s="58"/>
      <c r="AA370" s="3"/>
      <c r="AB370" s="3"/>
      <c r="AC370" s="4"/>
      <c r="AD370" s="4"/>
      <c r="AE370" s="4"/>
      <c r="AF370" s="4"/>
      <c r="AG370" s="4"/>
      <c r="AH370" s="4"/>
      <c r="AI370" s="4"/>
    </row>
    <row r="371">
      <c r="A371" s="57"/>
      <c r="B371" s="4"/>
      <c r="C371" s="4"/>
      <c r="D371" s="4"/>
      <c r="E371" s="4"/>
      <c r="F371" s="4"/>
      <c r="G371" s="4"/>
      <c r="H371" s="52"/>
      <c r="I371" s="4"/>
      <c r="J371" s="52"/>
      <c r="K371" s="52"/>
      <c r="L371" s="52"/>
      <c r="M371" s="52"/>
      <c r="N371" s="52"/>
      <c r="O371" s="52"/>
      <c r="P371" s="52"/>
      <c r="Q371" s="52"/>
      <c r="R371" s="4"/>
      <c r="S371" s="4"/>
      <c r="T371" s="4"/>
      <c r="U371" s="74"/>
      <c r="V371" s="3"/>
      <c r="W371" s="3"/>
      <c r="X371" s="3"/>
      <c r="Y371" s="3"/>
      <c r="Z371" s="58"/>
      <c r="AA371" s="3"/>
      <c r="AB371" s="3"/>
      <c r="AC371" s="4"/>
      <c r="AD371" s="4"/>
      <c r="AE371" s="4"/>
      <c r="AF371" s="4"/>
      <c r="AG371" s="4"/>
      <c r="AH371" s="4"/>
      <c r="AI371" s="4"/>
    </row>
    <row r="372">
      <c r="A372" s="57"/>
      <c r="B372" s="4"/>
      <c r="C372" s="4"/>
      <c r="D372" s="4"/>
      <c r="E372" s="4"/>
      <c r="F372" s="4"/>
      <c r="G372" s="4"/>
      <c r="H372" s="52"/>
      <c r="I372" s="4"/>
      <c r="J372" s="52"/>
      <c r="K372" s="52"/>
      <c r="L372" s="52"/>
      <c r="M372" s="52"/>
      <c r="N372" s="52"/>
      <c r="O372" s="52"/>
      <c r="P372" s="52"/>
      <c r="Q372" s="52"/>
      <c r="R372" s="4"/>
      <c r="S372" s="4"/>
      <c r="T372" s="4"/>
      <c r="U372" s="74"/>
      <c r="V372" s="3"/>
      <c r="W372" s="3"/>
      <c r="X372" s="3"/>
      <c r="Y372" s="3"/>
      <c r="Z372" s="58"/>
      <c r="AA372" s="3"/>
      <c r="AB372" s="3"/>
      <c r="AC372" s="4"/>
      <c r="AD372" s="4"/>
      <c r="AE372" s="4"/>
      <c r="AF372" s="4"/>
      <c r="AG372" s="4"/>
      <c r="AH372" s="4"/>
      <c r="AI372" s="4"/>
    </row>
    <row r="373">
      <c r="A373" s="57"/>
      <c r="B373" s="4"/>
      <c r="C373" s="4"/>
      <c r="D373" s="4"/>
      <c r="E373" s="4"/>
      <c r="F373" s="4"/>
      <c r="G373" s="4"/>
      <c r="H373" s="52"/>
      <c r="I373" s="4"/>
      <c r="J373" s="52"/>
      <c r="K373" s="52"/>
      <c r="L373" s="52"/>
      <c r="M373" s="52"/>
      <c r="N373" s="52"/>
      <c r="O373" s="52"/>
      <c r="P373" s="52"/>
      <c r="Q373" s="52"/>
      <c r="R373" s="4"/>
      <c r="S373" s="4"/>
      <c r="T373" s="4"/>
      <c r="U373" s="74"/>
      <c r="V373" s="3"/>
      <c r="W373" s="3"/>
      <c r="X373" s="3"/>
      <c r="Y373" s="3"/>
      <c r="Z373" s="58"/>
      <c r="AA373" s="3"/>
      <c r="AB373" s="3"/>
      <c r="AC373" s="4"/>
      <c r="AD373" s="4"/>
      <c r="AE373" s="4"/>
      <c r="AF373" s="4"/>
      <c r="AG373" s="4"/>
      <c r="AH373" s="4"/>
      <c r="AI373" s="4"/>
    </row>
    <row r="374">
      <c r="A374" s="57"/>
      <c r="B374" s="4"/>
      <c r="C374" s="4"/>
      <c r="D374" s="4"/>
      <c r="E374" s="4"/>
      <c r="F374" s="4"/>
      <c r="G374" s="4"/>
      <c r="H374" s="52"/>
      <c r="I374" s="4"/>
      <c r="J374" s="52"/>
      <c r="K374" s="52"/>
      <c r="L374" s="52"/>
      <c r="M374" s="52"/>
      <c r="N374" s="52"/>
      <c r="O374" s="52"/>
      <c r="P374" s="52"/>
      <c r="Q374" s="52"/>
      <c r="R374" s="4"/>
      <c r="S374" s="4"/>
      <c r="T374" s="4"/>
      <c r="U374" s="74"/>
      <c r="V374" s="3"/>
      <c r="W374" s="3"/>
      <c r="X374" s="3"/>
      <c r="Y374" s="3"/>
      <c r="Z374" s="58"/>
      <c r="AA374" s="3"/>
      <c r="AB374" s="3"/>
      <c r="AC374" s="4"/>
      <c r="AD374" s="4"/>
      <c r="AE374" s="4"/>
      <c r="AF374" s="4"/>
      <c r="AG374" s="4"/>
      <c r="AH374" s="4"/>
      <c r="AI374" s="4"/>
    </row>
    <row r="375">
      <c r="A375" s="57"/>
      <c r="B375" s="4"/>
      <c r="C375" s="4"/>
      <c r="D375" s="4"/>
      <c r="E375" s="4"/>
      <c r="F375" s="4"/>
      <c r="G375" s="4"/>
      <c r="H375" s="52"/>
      <c r="I375" s="4"/>
      <c r="J375" s="52"/>
      <c r="K375" s="52"/>
      <c r="L375" s="52"/>
      <c r="M375" s="52"/>
      <c r="N375" s="52"/>
      <c r="O375" s="52"/>
      <c r="P375" s="52"/>
      <c r="Q375" s="52"/>
      <c r="R375" s="4"/>
      <c r="S375" s="4"/>
      <c r="T375" s="4"/>
      <c r="U375" s="74"/>
      <c r="V375" s="3"/>
      <c r="W375" s="3"/>
      <c r="X375" s="3"/>
      <c r="Y375" s="3"/>
      <c r="Z375" s="58"/>
      <c r="AA375" s="3"/>
      <c r="AB375" s="3"/>
      <c r="AC375" s="4"/>
      <c r="AD375" s="4"/>
      <c r="AE375" s="4"/>
      <c r="AF375" s="4"/>
      <c r="AG375" s="4"/>
      <c r="AH375" s="4"/>
      <c r="AI375" s="4"/>
    </row>
    <row r="376">
      <c r="A376" s="57"/>
      <c r="B376" s="4"/>
      <c r="C376" s="4"/>
      <c r="D376" s="4"/>
      <c r="E376" s="4"/>
      <c r="F376" s="4"/>
      <c r="G376" s="4"/>
      <c r="H376" s="52"/>
      <c r="I376" s="4"/>
      <c r="J376" s="52"/>
      <c r="K376" s="52"/>
      <c r="L376" s="52"/>
      <c r="M376" s="52"/>
      <c r="N376" s="52"/>
      <c r="O376" s="52"/>
      <c r="P376" s="52"/>
      <c r="Q376" s="52"/>
      <c r="R376" s="4"/>
      <c r="S376" s="4"/>
      <c r="T376" s="4"/>
      <c r="U376" s="74"/>
      <c r="V376" s="3"/>
      <c r="W376" s="3"/>
      <c r="X376" s="3"/>
      <c r="Y376" s="3"/>
      <c r="Z376" s="58"/>
      <c r="AA376" s="3"/>
      <c r="AB376" s="3"/>
      <c r="AC376" s="4"/>
      <c r="AD376" s="4"/>
      <c r="AE376" s="4"/>
      <c r="AF376" s="4"/>
      <c r="AG376" s="4"/>
      <c r="AH376" s="4"/>
      <c r="AI376" s="4"/>
    </row>
    <row r="377">
      <c r="A377" s="57"/>
      <c r="B377" s="4"/>
      <c r="C377" s="4"/>
      <c r="D377" s="4"/>
      <c r="E377" s="4"/>
      <c r="F377" s="4"/>
      <c r="G377" s="4"/>
      <c r="H377" s="52"/>
      <c r="I377" s="4"/>
      <c r="J377" s="52"/>
      <c r="K377" s="52"/>
      <c r="L377" s="52"/>
      <c r="M377" s="52"/>
      <c r="N377" s="52"/>
      <c r="O377" s="52"/>
      <c r="P377" s="52"/>
      <c r="Q377" s="52"/>
      <c r="R377" s="4"/>
      <c r="S377" s="4"/>
      <c r="T377" s="4"/>
      <c r="U377" s="74"/>
      <c r="V377" s="3"/>
      <c r="W377" s="3"/>
      <c r="X377" s="3"/>
      <c r="Y377" s="3"/>
      <c r="Z377" s="58"/>
      <c r="AA377" s="3"/>
      <c r="AB377" s="3"/>
      <c r="AC377" s="4"/>
      <c r="AD377" s="4"/>
      <c r="AE377" s="4"/>
      <c r="AF377" s="4"/>
      <c r="AG377" s="4"/>
      <c r="AH377" s="4"/>
      <c r="AI377" s="4"/>
    </row>
    <row r="378">
      <c r="A378" s="57"/>
      <c r="B378" s="4"/>
      <c r="C378" s="4"/>
      <c r="D378" s="4"/>
      <c r="E378" s="4"/>
      <c r="F378" s="4"/>
      <c r="G378" s="4"/>
      <c r="H378" s="52"/>
      <c r="I378" s="4"/>
      <c r="J378" s="52"/>
      <c r="K378" s="52"/>
      <c r="L378" s="52"/>
      <c r="M378" s="52"/>
      <c r="N378" s="52"/>
      <c r="O378" s="52"/>
      <c r="P378" s="52"/>
      <c r="Q378" s="52"/>
      <c r="R378" s="4"/>
      <c r="S378" s="4"/>
      <c r="T378" s="4"/>
      <c r="U378" s="74"/>
      <c r="V378" s="3"/>
      <c r="W378" s="3"/>
      <c r="X378" s="3"/>
      <c r="Y378" s="3"/>
      <c r="Z378" s="58"/>
      <c r="AA378" s="3"/>
      <c r="AB378" s="3"/>
      <c r="AC378" s="4"/>
      <c r="AD378" s="4"/>
      <c r="AE378" s="4"/>
      <c r="AF378" s="4"/>
      <c r="AG378" s="4"/>
      <c r="AH378" s="4"/>
      <c r="AI378" s="4"/>
    </row>
    <row r="379">
      <c r="A379" s="57"/>
      <c r="B379" s="4"/>
      <c r="C379" s="4"/>
      <c r="D379" s="4"/>
      <c r="E379" s="4"/>
      <c r="F379" s="4"/>
      <c r="G379" s="4"/>
      <c r="H379" s="52"/>
      <c r="I379" s="4"/>
      <c r="J379" s="52"/>
      <c r="K379" s="52"/>
      <c r="L379" s="52"/>
      <c r="M379" s="52"/>
      <c r="N379" s="52"/>
      <c r="O379" s="52"/>
      <c r="P379" s="52"/>
      <c r="Q379" s="52"/>
      <c r="R379" s="4"/>
      <c r="S379" s="4"/>
      <c r="T379" s="4"/>
      <c r="U379" s="74"/>
      <c r="V379" s="3"/>
      <c r="W379" s="3"/>
      <c r="X379" s="3"/>
      <c r="Y379" s="3"/>
      <c r="Z379" s="58"/>
      <c r="AA379" s="3"/>
      <c r="AB379" s="3"/>
      <c r="AC379" s="4"/>
      <c r="AD379" s="4"/>
      <c r="AE379" s="4"/>
      <c r="AF379" s="4"/>
      <c r="AG379" s="4"/>
      <c r="AH379" s="4"/>
      <c r="AI379" s="4"/>
    </row>
    <row r="380">
      <c r="A380" s="57"/>
      <c r="B380" s="4"/>
      <c r="C380" s="4"/>
      <c r="D380" s="4"/>
      <c r="E380" s="4"/>
      <c r="F380" s="4"/>
      <c r="G380" s="4"/>
      <c r="H380" s="52"/>
      <c r="I380" s="4"/>
      <c r="J380" s="52"/>
      <c r="K380" s="52"/>
      <c r="L380" s="52"/>
      <c r="M380" s="52"/>
      <c r="N380" s="52"/>
      <c r="O380" s="52"/>
      <c r="P380" s="52"/>
      <c r="Q380" s="52"/>
      <c r="R380" s="4"/>
      <c r="S380" s="4"/>
      <c r="T380" s="4"/>
      <c r="U380" s="74"/>
      <c r="V380" s="3"/>
      <c r="W380" s="3"/>
      <c r="X380" s="3"/>
      <c r="Y380" s="3"/>
      <c r="Z380" s="58"/>
      <c r="AA380" s="3"/>
      <c r="AB380" s="3"/>
      <c r="AC380" s="4"/>
      <c r="AD380" s="4"/>
      <c r="AE380" s="4"/>
      <c r="AF380" s="4"/>
      <c r="AG380" s="4"/>
      <c r="AH380" s="4"/>
      <c r="AI380" s="4"/>
    </row>
    <row r="381">
      <c r="A381" s="57"/>
      <c r="B381" s="4"/>
      <c r="C381" s="4"/>
      <c r="D381" s="4"/>
      <c r="E381" s="4"/>
      <c r="F381" s="4"/>
      <c r="G381" s="4"/>
      <c r="H381" s="52"/>
      <c r="I381" s="4"/>
      <c r="J381" s="52"/>
      <c r="K381" s="52"/>
      <c r="L381" s="52"/>
      <c r="M381" s="52"/>
      <c r="N381" s="52"/>
      <c r="O381" s="52"/>
      <c r="P381" s="52"/>
      <c r="Q381" s="52"/>
      <c r="R381" s="4"/>
      <c r="S381" s="4"/>
      <c r="T381" s="4"/>
      <c r="U381" s="74"/>
      <c r="V381" s="3"/>
      <c r="W381" s="3"/>
      <c r="X381" s="3"/>
      <c r="Y381" s="3"/>
      <c r="Z381" s="58"/>
      <c r="AA381" s="3"/>
      <c r="AB381" s="3"/>
      <c r="AC381" s="4"/>
      <c r="AD381" s="4"/>
      <c r="AE381" s="4"/>
      <c r="AF381" s="4"/>
      <c r="AG381" s="4"/>
      <c r="AH381" s="4"/>
      <c r="AI381" s="4"/>
    </row>
    <row r="382">
      <c r="A382" s="57"/>
      <c r="B382" s="4"/>
      <c r="C382" s="4"/>
      <c r="D382" s="4"/>
      <c r="E382" s="4"/>
      <c r="F382" s="4"/>
      <c r="G382" s="4"/>
      <c r="H382" s="52"/>
      <c r="I382" s="4"/>
      <c r="J382" s="52"/>
      <c r="K382" s="52"/>
      <c r="L382" s="52"/>
      <c r="M382" s="52"/>
      <c r="N382" s="52"/>
      <c r="O382" s="52"/>
      <c r="P382" s="52"/>
      <c r="Q382" s="52"/>
      <c r="R382" s="4"/>
      <c r="S382" s="4"/>
      <c r="T382" s="4"/>
      <c r="U382" s="74"/>
      <c r="V382" s="3"/>
      <c r="W382" s="3"/>
      <c r="X382" s="3"/>
      <c r="Y382" s="3"/>
      <c r="Z382" s="58"/>
      <c r="AA382" s="3"/>
      <c r="AB382" s="3"/>
      <c r="AC382" s="4"/>
      <c r="AD382" s="4"/>
      <c r="AE382" s="4"/>
      <c r="AF382" s="4"/>
      <c r="AG382" s="4"/>
      <c r="AH382" s="4"/>
      <c r="AI382" s="4"/>
    </row>
    <row r="383">
      <c r="A383" s="57"/>
      <c r="B383" s="4"/>
      <c r="C383" s="4"/>
      <c r="D383" s="4"/>
      <c r="E383" s="4"/>
      <c r="F383" s="4"/>
      <c r="G383" s="4"/>
      <c r="H383" s="52"/>
      <c r="I383" s="4"/>
      <c r="J383" s="52"/>
      <c r="K383" s="52"/>
      <c r="L383" s="52"/>
      <c r="M383" s="52"/>
      <c r="N383" s="52"/>
      <c r="O383" s="52"/>
      <c r="P383" s="52"/>
      <c r="Q383" s="52"/>
      <c r="R383" s="4"/>
      <c r="S383" s="4"/>
      <c r="T383" s="4"/>
      <c r="U383" s="74"/>
      <c r="V383" s="3"/>
      <c r="W383" s="3"/>
      <c r="X383" s="3"/>
      <c r="Y383" s="3"/>
      <c r="Z383" s="58"/>
      <c r="AA383" s="3"/>
      <c r="AB383" s="3"/>
      <c r="AC383" s="4"/>
      <c r="AD383" s="4"/>
      <c r="AE383" s="4"/>
      <c r="AF383" s="4"/>
      <c r="AG383" s="4"/>
      <c r="AH383" s="4"/>
      <c r="AI383" s="4"/>
    </row>
    <row r="384">
      <c r="A384" s="57"/>
      <c r="B384" s="4"/>
      <c r="C384" s="4"/>
      <c r="D384" s="4"/>
      <c r="E384" s="4"/>
      <c r="F384" s="4"/>
      <c r="G384" s="4"/>
      <c r="H384" s="52"/>
      <c r="I384" s="4"/>
      <c r="J384" s="52"/>
      <c r="K384" s="52"/>
      <c r="L384" s="52"/>
      <c r="M384" s="52"/>
      <c r="N384" s="52"/>
      <c r="O384" s="52"/>
      <c r="P384" s="52"/>
      <c r="Q384" s="52"/>
      <c r="R384" s="4"/>
      <c r="S384" s="4"/>
      <c r="T384" s="4"/>
      <c r="U384" s="74"/>
      <c r="V384" s="3"/>
      <c r="W384" s="3"/>
      <c r="X384" s="3"/>
      <c r="Y384" s="3"/>
      <c r="Z384" s="58"/>
      <c r="AA384" s="3"/>
      <c r="AB384" s="3"/>
      <c r="AC384" s="4"/>
      <c r="AD384" s="4"/>
      <c r="AE384" s="4"/>
      <c r="AF384" s="4"/>
      <c r="AG384" s="4"/>
      <c r="AH384" s="4"/>
      <c r="AI384" s="4"/>
    </row>
    <row r="385">
      <c r="A385" s="57"/>
      <c r="B385" s="4"/>
      <c r="C385" s="4"/>
      <c r="D385" s="4"/>
      <c r="E385" s="4"/>
      <c r="F385" s="4"/>
      <c r="G385" s="4"/>
      <c r="H385" s="52"/>
      <c r="I385" s="4"/>
      <c r="J385" s="52"/>
      <c r="K385" s="52"/>
      <c r="L385" s="52"/>
      <c r="M385" s="52"/>
      <c r="N385" s="52"/>
      <c r="O385" s="52"/>
      <c r="P385" s="52"/>
      <c r="Q385" s="52"/>
      <c r="R385" s="4"/>
      <c r="S385" s="4"/>
      <c r="T385" s="4"/>
      <c r="U385" s="74"/>
      <c r="V385" s="3"/>
      <c r="W385" s="3"/>
      <c r="X385" s="3"/>
      <c r="Y385" s="3"/>
      <c r="Z385" s="58"/>
      <c r="AA385" s="3"/>
      <c r="AB385" s="3"/>
      <c r="AC385" s="4"/>
      <c r="AD385" s="4"/>
      <c r="AE385" s="4"/>
      <c r="AF385" s="4"/>
      <c r="AG385" s="4"/>
      <c r="AH385" s="4"/>
      <c r="AI385" s="4"/>
    </row>
    <row r="386">
      <c r="A386" s="57"/>
      <c r="B386" s="4"/>
      <c r="C386" s="4"/>
      <c r="D386" s="4"/>
      <c r="E386" s="4"/>
      <c r="F386" s="4"/>
      <c r="G386" s="4"/>
      <c r="H386" s="52"/>
      <c r="I386" s="4"/>
      <c r="J386" s="52"/>
      <c r="K386" s="52"/>
      <c r="L386" s="52"/>
      <c r="M386" s="52"/>
      <c r="N386" s="52"/>
      <c r="O386" s="52"/>
      <c r="P386" s="52"/>
      <c r="Q386" s="52"/>
      <c r="R386" s="4"/>
      <c r="S386" s="4"/>
      <c r="T386" s="4"/>
      <c r="U386" s="74"/>
      <c r="V386" s="3"/>
      <c r="W386" s="3"/>
      <c r="X386" s="3"/>
      <c r="Y386" s="3"/>
      <c r="Z386" s="58"/>
      <c r="AA386" s="3"/>
      <c r="AB386" s="3"/>
      <c r="AC386" s="4"/>
      <c r="AD386" s="4"/>
      <c r="AE386" s="4"/>
      <c r="AF386" s="4"/>
      <c r="AG386" s="4"/>
      <c r="AH386" s="4"/>
      <c r="AI386" s="4"/>
    </row>
    <row r="387">
      <c r="A387" s="57"/>
      <c r="B387" s="4"/>
      <c r="C387" s="4"/>
      <c r="D387" s="4"/>
      <c r="E387" s="4"/>
      <c r="F387" s="4"/>
      <c r="G387" s="4"/>
      <c r="H387" s="52"/>
      <c r="I387" s="4"/>
      <c r="J387" s="52"/>
      <c r="K387" s="52"/>
      <c r="L387" s="52"/>
      <c r="M387" s="52"/>
      <c r="N387" s="52"/>
      <c r="O387" s="52"/>
      <c r="P387" s="52"/>
      <c r="Q387" s="52"/>
      <c r="R387" s="4"/>
      <c r="S387" s="4"/>
      <c r="T387" s="4"/>
      <c r="U387" s="74"/>
      <c r="V387" s="3"/>
      <c r="W387" s="3"/>
      <c r="X387" s="3"/>
      <c r="Y387" s="3"/>
      <c r="Z387" s="58"/>
      <c r="AA387" s="3"/>
      <c r="AB387" s="3"/>
      <c r="AC387" s="4"/>
      <c r="AD387" s="4"/>
      <c r="AE387" s="4"/>
      <c r="AF387" s="4"/>
      <c r="AG387" s="4"/>
      <c r="AH387" s="4"/>
      <c r="AI387" s="4"/>
    </row>
    <row r="388">
      <c r="A388" s="57"/>
      <c r="B388" s="4"/>
      <c r="C388" s="4"/>
      <c r="D388" s="4"/>
      <c r="E388" s="4"/>
      <c r="F388" s="4"/>
      <c r="G388" s="4"/>
      <c r="H388" s="52"/>
      <c r="I388" s="4"/>
      <c r="J388" s="52"/>
      <c r="K388" s="52"/>
      <c r="L388" s="52"/>
      <c r="M388" s="52"/>
      <c r="N388" s="52"/>
      <c r="O388" s="52"/>
      <c r="P388" s="52"/>
      <c r="Q388" s="52"/>
      <c r="R388" s="4"/>
      <c r="S388" s="4"/>
      <c r="T388" s="4"/>
      <c r="U388" s="74"/>
      <c r="V388" s="3"/>
      <c r="W388" s="3"/>
      <c r="X388" s="3"/>
      <c r="Y388" s="3"/>
      <c r="Z388" s="58"/>
      <c r="AA388" s="3"/>
      <c r="AB388" s="3"/>
      <c r="AC388" s="4"/>
      <c r="AD388" s="4"/>
      <c r="AE388" s="4"/>
      <c r="AF388" s="4"/>
      <c r="AG388" s="4"/>
      <c r="AH388" s="4"/>
      <c r="AI388" s="4"/>
    </row>
    <row r="389">
      <c r="A389" s="57"/>
      <c r="B389" s="4"/>
      <c r="C389" s="4"/>
      <c r="D389" s="4"/>
      <c r="E389" s="4"/>
      <c r="F389" s="4"/>
      <c r="G389" s="4"/>
      <c r="H389" s="52"/>
      <c r="I389" s="4"/>
      <c r="J389" s="52"/>
      <c r="K389" s="52"/>
      <c r="L389" s="52"/>
      <c r="M389" s="52"/>
      <c r="N389" s="52"/>
      <c r="O389" s="52"/>
      <c r="P389" s="52"/>
      <c r="Q389" s="52"/>
      <c r="R389" s="4"/>
      <c r="S389" s="4"/>
      <c r="T389" s="4"/>
      <c r="U389" s="74"/>
      <c r="V389" s="3"/>
      <c r="W389" s="3"/>
      <c r="X389" s="3"/>
      <c r="Y389" s="3"/>
      <c r="Z389" s="58"/>
      <c r="AA389" s="3"/>
      <c r="AB389" s="3"/>
      <c r="AC389" s="4"/>
      <c r="AD389" s="4"/>
      <c r="AE389" s="4"/>
      <c r="AF389" s="4"/>
      <c r="AG389" s="4"/>
      <c r="AH389" s="4"/>
      <c r="AI389" s="4"/>
    </row>
    <row r="390">
      <c r="A390" s="57"/>
      <c r="B390" s="4"/>
      <c r="C390" s="4"/>
      <c r="D390" s="4"/>
      <c r="E390" s="4"/>
      <c r="F390" s="4"/>
      <c r="G390" s="4"/>
      <c r="H390" s="52"/>
      <c r="I390" s="4"/>
      <c r="J390" s="52"/>
      <c r="K390" s="52"/>
      <c r="L390" s="52"/>
      <c r="M390" s="52"/>
      <c r="N390" s="52"/>
      <c r="O390" s="52"/>
      <c r="P390" s="52"/>
      <c r="Q390" s="52"/>
      <c r="R390" s="4"/>
      <c r="S390" s="4"/>
      <c r="T390" s="4"/>
      <c r="U390" s="74"/>
      <c r="V390" s="3"/>
      <c r="W390" s="3"/>
      <c r="X390" s="3"/>
      <c r="Y390" s="3"/>
      <c r="Z390" s="58"/>
      <c r="AA390" s="3"/>
      <c r="AB390" s="3"/>
      <c r="AC390" s="4"/>
      <c r="AD390" s="4"/>
      <c r="AE390" s="4"/>
      <c r="AF390" s="4"/>
      <c r="AG390" s="4"/>
      <c r="AH390" s="4"/>
      <c r="AI390" s="4"/>
    </row>
    <row r="391">
      <c r="A391" s="57"/>
      <c r="B391" s="4"/>
      <c r="C391" s="4"/>
      <c r="D391" s="4"/>
      <c r="E391" s="4"/>
      <c r="F391" s="4"/>
      <c r="G391" s="4"/>
      <c r="H391" s="52"/>
      <c r="I391" s="4"/>
      <c r="J391" s="52"/>
      <c r="K391" s="52"/>
      <c r="L391" s="52"/>
      <c r="M391" s="52"/>
      <c r="N391" s="52"/>
      <c r="O391" s="52"/>
      <c r="P391" s="52"/>
      <c r="Q391" s="52"/>
      <c r="R391" s="4"/>
      <c r="S391" s="4"/>
      <c r="T391" s="4"/>
      <c r="U391" s="74"/>
      <c r="V391" s="3"/>
      <c r="W391" s="3"/>
      <c r="X391" s="3"/>
      <c r="Y391" s="3"/>
      <c r="Z391" s="58"/>
      <c r="AA391" s="3"/>
      <c r="AB391" s="3"/>
      <c r="AC391" s="4"/>
      <c r="AD391" s="4"/>
      <c r="AE391" s="4"/>
      <c r="AF391" s="4"/>
      <c r="AG391" s="4"/>
      <c r="AH391" s="4"/>
      <c r="AI391" s="4"/>
    </row>
    <row r="392">
      <c r="A392" s="57"/>
      <c r="B392" s="4"/>
      <c r="C392" s="4"/>
      <c r="D392" s="4"/>
      <c r="E392" s="4"/>
      <c r="F392" s="4"/>
      <c r="G392" s="4"/>
      <c r="H392" s="52"/>
      <c r="I392" s="4"/>
      <c r="J392" s="52"/>
      <c r="K392" s="52"/>
      <c r="L392" s="52"/>
      <c r="M392" s="52"/>
      <c r="N392" s="52"/>
      <c r="O392" s="52"/>
      <c r="P392" s="52"/>
      <c r="Q392" s="52"/>
      <c r="R392" s="4"/>
      <c r="S392" s="4"/>
      <c r="T392" s="4"/>
      <c r="U392" s="74"/>
      <c r="V392" s="3"/>
      <c r="W392" s="3"/>
      <c r="X392" s="3"/>
      <c r="Y392" s="3"/>
      <c r="Z392" s="58"/>
      <c r="AA392" s="3"/>
      <c r="AB392" s="3"/>
      <c r="AC392" s="4"/>
      <c r="AD392" s="4"/>
      <c r="AE392" s="4"/>
      <c r="AF392" s="4"/>
      <c r="AG392" s="4"/>
      <c r="AH392" s="4"/>
      <c r="AI392" s="4"/>
    </row>
    <row r="393">
      <c r="A393" s="57"/>
      <c r="B393" s="4"/>
      <c r="C393" s="4"/>
      <c r="D393" s="4"/>
      <c r="E393" s="4"/>
      <c r="F393" s="4"/>
      <c r="G393" s="4"/>
      <c r="H393" s="52"/>
      <c r="I393" s="4"/>
      <c r="J393" s="52"/>
      <c r="K393" s="52"/>
      <c r="L393" s="52"/>
      <c r="M393" s="52"/>
      <c r="N393" s="52"/>
      <c r="O393" s="52"/>
      <c r="P393" s="52"/>
      <c r="Q393" s="52"/>
      <c r="R393" s="4"/>
      <c r="S393" s="4"/>
      <c r="T393" s="4"/>
      <c r="U393" s="74"/>
      <c r="V393" s="3"/>
      <c r="W393" s="3"/>
      <c r="X393" s="3"/>
      <c r="Y393" s="3"/>
      <c r="Z393" s="58"/>
      <c r="AA393" s="3"/>
      <c r="AB393" s="3"/>
      <c r="AC393" s="4"/>
      <c r="AD393" s="4"/>
      <c r="AE393" s="4"/>
      <c r="AF393" s="4"/>
      <c r="AG393" s="4"/>
      <c r="AH393" s="4"/>
      <c r="AI393" s="4"/>
    </row>
    <row r="394">
      <c r="A394" s="57"/>
      <c r="B394" s="4"/>
      <c r="C394" s="4"/>
      <c r="D394" s="4"/>
      <c r="E394" s="4"/>
      <c r="F394" s="4"/>
      <c r="G394" s="4"/>
      <c r="H394" s="52"/>
      <c r="I394" s="4"/>
      <c r="J394" s="52"/>
      <c r="K394" s="52"/>
      <c r="L394" s="52"/>
      <c r="M394" s="52"/>
      <c r="N394" s="52"/>
      <c r="O394" s="52"/>
      <c r="P394" s="52"/>
      <c r="Q394" s="52"/>
      <c r="R394" s="4"/>
      <c r="S394" s="4"/>
      <c r="T394" s="4"/>
      <c r="U394" s="74"/>
      <c r="V394" s="3"/>
      <c r="W394" s="3"/>
      <c r="X394" s="3"/>
      <c r="Y394" s="3"/>
      <c r="Z394" s="58"/>
      <c r="AA394" s="3"/>
      <c r="AB394" s="3"/>
      <c r="AC394" s="4"/>
      <c r="AD394" s="4"/>
      <c r="AE394" s="4"/>
      <c r="AF394" s="4"/>
      <c r="AG394" s="4"/>
      <c r="AH394" s="4"/>
      <c r="AI394" s="4"/>
    </row>
    <row r="395">
      <c r="A395" s="57"/>
      <c r="B395" s="4"/>
      <c r="C395" s="4"/>
      <c r="D395" s="4"/>
      <c r="E395" s="4"/>
      <c r="F395" s="4"/>
      <c r="G395" s="4"/>
      <c r="H395" s="52"/>
      <c r="I395" s="4"/>
      <c r="J395" s="52"/>
      <c r="K395" s="52"/>
      <c r="L395" s="52"/>
      <c r="M395" s="52"/>
      <c r="N395" s="52"/>
      <c r="O395" s="52"/>
      <c r="P395" s="52"/>
      <c r="Q395" s="52"/>
      <c r="R395" s="4"/>
      <c r="S395" s="4"/>
      <c r="T395" s="4"/>
      <c r="U395" s="74"/>
      <c r="V395" s="3"/>
      <c r="W395" s="3"/>
      <c r="X395" s="3"/>
      <c r="Y395" s="3"/>
      <c r="Z395" s="58"/>
      <c r="AA395" s="3"/>
      <c r="AB395" s="3"/>
      <c r="AC395" s="4"/>
      <c r="AD395" s="4"/>
      <c r="AE395" s="4"/>
      <c r="AF395" s="4"/>
      <c r="AG395" s="4"/>
      <c r="AH395" s="4"/>
      <c r="AI395" s="4"/>
    </row>
    <row r="396">
      <c r="A396" s="57"/>
      <c r="B396" s="4"/>
      <c r="C396" s="4"/>
      <c r="D396" s="4"/>
      <c r="E396" s="4"/>
      <c r="F396" s="4"/>
      <c r="G396" s="4"/>
      <c r="H396" s="52"/>
      <c r="I396" s="4"/>
      <c r="J396" s="52"/>
      <c r="K396" s="52"/>
      <c r="L396" s="52"/>
      <c r="M396" s="52"/>
      <c r="N396" s="52"/>
      <c r="O396" s="52"/>
      <c r="P396" s="52"/>
      <c r="Q396" s="52"/>
      <c r="R396" s="4"/>
      <c r="S396" s="4"/>
      <c r="T396" s="4"/>
      <c r="U396" s="74"/>
      <c r="V396" s="3"/>
      <c r="W396" s="3"/>
      <c r="X396" s="3"/>
      <c r="Y396" s="3"/>
      <c r="Z396" s="58"/>
      <c r="AA396" s="3"/>
      <c r="AB396" s="3"/>
      <c r="AC396" s="4"/>
      <c r="AD396" s="4"/>
      <c r="AE396" s="4"/>
      <c r="AF396" s="4"/>
      <c r="AG396" s="4"/>
      <c r="AH396" s="4"/>
      <c r="AI396" s="4"/>
    </row>
    <row r="397">
      <c r="A397" s="57"/>
      <c r="B397" s="4"/>
      <c r="C397" s="4"/>
      <c r="D397" s="4"/>
      <c r="E397" s="4"/>
      <c r="F397" s="4"/>
      <c r="G397" s="4"/>
      <c r="H397" s="52"/>
      <c r="I397" s="4"/>
      <c r="J397" s="52"/>
      <c r="K397" s="52"/>
      <c r="L397" s="52"/>
      <c r="M397" s="52"/>
      <c r="N397" s="52"/>
      <c r="O397" s="52"/>
      <c r="P397" s="52"/>
      <c r="Q397" s="52"/>
      <c r="R397" s="4"/>
      <c r="S397" s="4"/>
      <c r="T397" s="4"/>
      <c r="U397" s="74"/>
      <c r="V397" s="3"/>
      <c r="W397" s="3"/>
      <c r="X397" s="3"/>
      <c r="Y397" s="3"/>
      <c r="Z397" s="58"/>
      <c r="AA397" s="3"/>
      <c r="AB397" s="3"/>
      <c r="AC397" s="4"/>
      <c r="AD397" s="4"/>
      <c r="AE397" s="4"/>
      <c r="AF397" s="4"/>
      <c r="AG397" s="4"/>
      <c r="AH397" s="4"/>
      <c r="AI397" s="4"/>
    </row>
    <row r="398">
      <c r="A398" s="57"/>
      <c r="B398" s="4"/>
      <c r="C398" s="4"/>
      <c r="D398" s="4"/>
      <c r="E398" s="4"/>
      <c r="F398" s="4"/>
      <c r="G398" s="4"/>
      <c r="H398" s="52"/>
      <c r="I398" s="4"/>
      <c r="J398" s="52"/>
      <c r="K398" s="52"/>
      <c r="L398" s="52"/>
      <c r="M398" s="52"/>
      <c r="N398" s="52"/>
      <c r="O398" s="52"/>
      <c r="P398" s="52"/>
      <c r="Q398" s="52"/>
      <c r="R398" s="4"/>
      <c r="S398" s="4"/>
      <c r="T398" s="4"/>
      <c r="U398" s="74"/>
      <c r="V398" s="3"/>
      <c r="W398" s="3"/>
      <c r="X398" s="3"/>
      <c r="Y398" s="3"/>
      <c r="Z398" s="58"/>
      <c r="AA398" s="3"/>
      <c r="AB398" s="3"/>
      <c r="AC398" s="4"/>
      <c r="AD398" s="4"/>
      <c r="AE398" s="4"/>
      <c r="AF398" s="4"/>
      <c r="AG398" s="4"/>
      <c r="AH398" s="4"/>
      <c r="AI398" s="4"/>
    </row>
    <row r="399">
      <c r="A399" s="57"/>
      <c r="B399" s="4"/>
      <c r="C399" s="4"/>
      <c r="D399" s="4"/>
      <c r="E399" s="4"/>
      <c r="F399" s="4"/>
      <c r="G399" s="4"/>
      <c r="H399" s="52"/>
      <c r="I399" s="4"/>
      <c r="J399" s="52"/>
      <c r="K399" s="52"/>
      <c r="L399" s="52"/>
      <c r="M399" s="52"/>
      <c r="N399" s="52"/>
      <c r="O399" s="52"/>
      <c r="P399" s="52"/>
      <c r="Q399" s="52"/>
      <c r="R399" s="4"/>
      <c r="S399" s="4"/>
      <c r="T399" s="4"/>
      <c r="U399" s="74"/>
      <c r="V399" s="3"/>
      <c r="W399" s="3"/>
      <c r="X399" s="3"/>
      <c r="Y399" s="3"/>
      <c r="Z399" s="58"/>
      <c r="AA399" s="3"/>
      <c r="AB399" s="3"/>
      <c r="AC399" s="4"/>
      <c r="AD399" s="4"/>
      <c r="AE399" s="4"/>
      <c r="AF399" s="4"/>
      <c r="AG399" s="4"/>
      <c r="AH399" s="4"/>
      <c r="AI399" s="4"/>
    </row>
    <row r="400">
      <c r="A400" s="57"/>
      <c r="B400" s="4"/>
      <c r="C400" s="4"/>
      <c r="D400" s="4"/>
      <c r="E400" s="4"/>
      <c r="F400" s="4"/>
      <c r="G400" s="4"/>
      <c r="H400" s="52"/>
      <c r="I400" s="4"/>
      <c r="J400" s="52"/>
      <c r="K400" s="52"/>
      <c r="L400" s="52"/>
      <c r="M400" s="52"/>
      <c r="N400" s="52"/>
      <c r="O400" s="52"/>
      <c r="P400" s="52"/>
      <c r="Q400" s="52"/>
      <c r="R400" s="4"/>
      <c r="S400" s="4"/>
      <c r="T400" s="4"/>
      <c r="U400" s="74"/>
      <c r="V400" s="3"/>
      <c r="W400" s="3"/>
      <c r="X400" s="3"/>
      <c r="Y400" s="3"/>
      <c r="Z400" s="58"/>
      <c r="AA400" s="3"/>
      <c r="AB400" s="3"/>
      <c r="AC400" s="4"/>
      <c r="AD400" s="4"/>
      <c r="AE400" s="4"/>
      <c r="AF400" s="4"/>
      <c r="AG400" s="4"/>
      <c r="AH400" s="4"/>
      <c r="AI400" s="4"/>
    </row>
    <row r="401">
      <c r="A401" s="57"/>
      <c r="B401" s="4"/>
      <c r="C401" s="4"/>
      <c r="D401" s="4"/>
      <c r="E401" s="4"/>
      <c r="F401" s="4"/>
      <c r="G401" s="4"/>
      <c r="H401" s="52"/>
      <c r="I401" s="4"/>
      <c r="J401" s="52"/>
      <c r="K401" s="52"/>
      <c r="L401" s="52"/>
      <c r="M401" s="52"/>
      <c r="N401" s="52"/>
      <c r="O401" s="52"/>
      <c r="P401" s="52"/>
      <c r="Q401" s="52"/>
      <c r="R401" s="4"/>
      <c r="S401" s="4"/>
      <c r="T401" s="4"/>
      <c r="U401" s="74"/>
      <c r="V401" s="3"/>
      <c r="W401" s="3"/>
      <c r="X401" s="3"/>
      <c r="Y401" s="3"/>
      <c r="Z401" s="58"/>
      <c r="AA401" s="3"/>
      <c r="AB401" s="3"/>
      <c r="AC401" s="4"/>
      <c r="AD401" s="4"/>
      <c r="AE401" s="4"/>
      <c r="AF401" s="4"/>
      <c r="AG401" s="4"/>
      <c r="AH401" s="4"/>
      <c r="AI401" s="4"/>
    </row>
    <row r="402">
      <c r="A402" s="57"/>
      <c r="B402" s="4"/>
      <c r="C402" s="4"/>
      <c r="D402" s="4"/>
      <c r="E402" s="4"/>
      <c r="F402" s="4"/>
      <c r="G402" s="4"/>
      <c r="H402" s="52"/>
      <c r="I402" s="4"/>
      <c r="J402" s="52"/>
      <c r="K402" s="52"/>
      <c r="L402" s="52"/>
      <c r="M402" s="52"/>
      <c r="N402" s="52"/>
      <c r="O402" s="52"/>
      <c r="P402" s="52"/>
      <c r="Q402" s="52"/>
      <c r="R402" s="4"/>
      <c r="S402" s="4"/>
      <c r="T402" s="4"/>
      <c r="U402" s="74"/>
      <c r="V402" s="3"/>
      <c r="W402" s="3"/>
      <c r="X402" s="3"/>
      <c r="Y402" s="3"/>
      <c r="Z402" s="58"/>
      <c r="AA402" s="3"/>
      <c r="AB402" s="3"/>
      <c r="AC402" s="4"/>
      <c r="AD402" s="4"/>
      <c r="AE402" s="4"/>
      <c r="AF402" s="4"/>
      <c r="AG402" s="4"/>
      <c r="AH402" s="4"/>
      <c r="AI402" s="4"/>
    </row>
    <row r="403">
      <c r="A403" s="57"/>
      <c r="B403" s="4"/>
      <c r="C403" s="4"/>
      <c r="D403" s="4"/>
      <c r="E403" s="4"/>
      <c r="F403" s="4"/>
      <c r="G403" s="4"/>
      <c r="H403" s="52"/>
      <c r="I403" s="4"/>
      <c r="J403" s="52"/>
      <c r="K403" s="52"/>
      <c r="L403" s="52"/>
      <c r="M403" s="52"/>
      <c r="N403" s="52"/>
      <c r="O403" s="52"/>
      <c r="P403" s="52"/>
      <c r="Q403" s="52"/>
      <c r="R403" s="4"/>
      <c r="S403" s="4"/>
      <c r="T403" s="4"/>
      <c r="U403" s="74"/>
      <c r="V403" s="3"/>
      <c r="W403" s="3"/>
      <c r="X403" s="3"/>
      <c r="Y403" s="3"/>
      <c r="Z403" s="58"/>
      <c r="AA403" s="3"/>
      <c r="AB403" s="3"/>
      <c r="AC403" s="4"/>
      <c r="AD403" s="4"/>
      <c r="AE403" s="4"/>
      <c r="AF403" s="4"/>
      <c r="AG403" s="4"/>
      <c r="AH403" s="4"/>
      <c r="AI403" s="4"/>
    </row>
    <row r="404">
      <c r="A404" s="57"/>
      <c r="B404" s="4"/>
      <c r="C404" s="4"/>
      <c r="D404" s="4"/>
      <c r="E404" s="4"/>
      <c r="F404" s="4"/>
      <c r="G404" s="4"/>
      <c r="H404" s="52"/>
      <c r="I404" s="4"/>
      <c r="J404" s="52"/>
      <c r="K404" s="52"/>
      <c r="L404" s="52"/>
      <c r="M404" s="52"/>
      <c r="N404" s="52"/>
      <c r="O404" s="52"/>
      <c r="P404" s="52"/>
      <c r="Q404" s="52"/>
      <c r="R404" s="4"/>
      <c r="S404" s="4"/>
      <c r="T404" s="4"/>
      <c r="U404" s="74"/>
      <c r="V404" s="3"/>
      <c r="W404" s="3"/>
      <c r="X404" s="3"/>
      <c r="Y404" s="3"/>
      <c r="Z404" s="58"/>
      <c r="AA404" s="3"/>
      <c r="AB404" s="3"/>
      <c r="AC404" s="4"/>
      <c r="AD404" s="4"/>
      <c r="AE404" s="4"/>
      <c r="AF404" s="4"/>
      <c r="AG404" s="4"/>
      <c r="AH404" s="4"/>
      <c r="AI404" s="4"/>
    </row>
    <row r="405">
      <c r="A405" s="57"/>
      <c r="B405" s="4"/>
      <c r="C405" s="4"/>
      <c r="D405" s="4"/>
      <c r="E405" s="4"/>
      <c r="F405" s="4"/>
      <c r="G405" s="4"/>
      <c r="H405" s="52"/>
      <c r="I405" s="4"/>
      <c r="J405" s="52"/>
      <c r="K405" s="52"/>
      <c r="L405" s="52"/>
      <c r="M405" s="52"/>
      <c r="N405" s="52"/>
      <c r="O405" s="52"/>
      <c r="P405" s="52"/>
      <c r="Q405" s="52"/>
      <c r="R405" s="4"/>
      <c r="S405" s="4"/>
      <c r="T405" s="4"/>
      <c r="U405" s="74"/>
      <c r="V405" s="3"/>
      <c r="W405" s="3"/>
      <c r="X405" s="3"/>
      <c r="Y405" s="3"/>
      <c r="Z405" s="58"/>
      <c r="AA405" s="3"/>
      <c r="AB405" s="3"/>
      <c r="AC405" s="4"/>
      <c r="AD405" s="4"/>
      <c r="AE405" s="4"/>
      <c r="AF405" s="4"/>
      <c r="AG405" s="4"/>
      <c r="AH405" s="4"/>
      <c r="AI405" s="4"/>
    </row>
    <row r="406">
      <c r="A406" s="57"/>
      <c r="B406" s="4"/>
      <c r="C406" s="4"/>
      <c r="D406" s="4"/>
      <c r="E406" s="4"/>
      <c r="F406" s="4"/>
      <c r="G406" s="4"/>
      <c r="H406" s="52"/>
      <c r="I406" s="4"/>
      <c r="J406" s="52"/>
      <c r="K406" s="52"/>
      <c r="L406" s="52"/>
      <c r="M406" s="52"/>
      <c r="N406" s="52"/>
      <c r="O406" s="52"/>
      <c r="P406" s="52"/>
      <c r="Q406" s="52"/>
      <c r="R406" s="4"/>
      <c r="S406" s="4"/>
      <c r="T406" s="4"/>
      <c r="U406" s="74"/>
      <c r="V406" s="3"/>
      <c r="W406" s="3"/>
      <c r="X406" s="3"/>
      <c r="Y406" s="3"/>
      <c r="Z406" s="58"/>
      <c r="AA406" s="3"/>
      <c r="AB406" s="3"/>
      <c r="AC406" s="4"/>
      <c r="AD406" s="4"/>
      <c r="AE406" s="4"/>
      <c r="AF406" s="4"/>
      <c r="AG406" s="4"/>
      <c r="AH406" s="4"/>
      <c r="AI406" s="4"/>
    </row>
    <row r="407">
      <c r="A407" s="57"/>
      <c r="B407" s="4"/>
      <c r="C407" s="4"/>
      <c r="D407" s="4"/>
      <c r="E407" s="4"/>
      <c r="F407" s="4"/>
      <c r="G407" s="4"/>
      <c r="H407" s="52"/>
      <c r="I407" s="4"/>
      <c r="J407" s="52"/>
      <c r="K407" s="52"/>
      <c r="L407" s="52"/>
      <c r="M407" s="52"/>
      <c r="N407" s="52"/>
      <c r="O407" s="52"/>
      <c r="P407" s="52"/>
      <c r="Q407" s="52"/>
      <c r="R407" s="4"/>
      <c r="S407" s="4"/>
      <c r="T407" s="4"/>
      <c r="U407" s="74"/>
      <c r="V407" s="3"/>
      <c r="W407" s="3"/>
      <c r="X407" s="3"/>
      <c r="Y407" s="3"/>
      <c r="Z407" s="58"/>
      <c r="AA407" s="3"/>
      <c r="AB407" s="3"/>
      <c r="AC407" s="4"/>
      <c r="AD407" s="4"/>
      <c r="AE407" s="4"/>
      <c r="AF407" s="4"/>
      <c r="AG407" s="4"/>
      <c r="AH407" s="4"/>
      <c r="AI407" s="4"/>
    </row>
    <row r="408">
      <c r="A408" s="57"/>
      <c r="B408" s="4"/>
      <c r="C408" s="4"/>
      <c r="D408" s="4"/>
      <c r="E408" s="4"/>
      <c r="F408" s="4"/>
      <c r="G408" s="4"/>
      <c r="H408" s="52"/>
      <c r="I408" s="4"/>
      <c r="J408" s="52"/>
      <c r="K408" s="52"/>
      <c r="L408" s="52"/>
      <c r="M408" s="52"/>
      <c r="N408" s="52"/>
      <c r="O408" s="52"/>
      <c r="P408" s="52"/>
      <c r="Q408" s="52"/>
      <c r="R408" s="4"/>
      <c r="S408" s="4"/>
      <c r="T408" s="4"/>
      <c r="U408" s="74"/>
      <c r="V408" s="3"/>
      <c r="W408" s="3"/>
      <c r="X408" s="3"/>
      <c r="Y408" s="3"/>
      <c r="Z408" s="58"/>
      <c r="AA408" s="3"/>
      <c r="AB408" s="3"/>
      <c r="AC408" s="4"/>
      <c r="AD408" s="4"/>
      <c r="AE408" s="4"/>
      <c r="AF408" s="4"/>
      <c r="AG408" s="4"/>
      <c r="AH408" s="4"/>
      <c r="AI408" s="4"/>
    </row>
    <row r="409">
      <c r="A409" s="57"/>
      <c r="B409" s="4"/>
      <c r="C409" s="4"/>
      <c r="D409" s="4"/>
      <c r="E409" s="4"/>
      <c r="F409" s="4"/>
      <c r="G409" s="4"/>
      <c r="H409" s="52"/>
      <c r="I409" s="4"/>
      <c r="J409" s="52"/>
      <c r="K409" s="52"/>
      <c r="L409" s="52"/>
      <c r="M409" s="52"/>
      <c r="N409" s="52"/>
      <c r="O409" s="52"/>
      <c r="P409" s="52"/>
      <c r="Q409" s="52"/>
      <c r="R409" s="4"/>
      <c r="S409" s="4"/>
      <c r="T409" s="4"/>
      <c r="U409" s="74"/>
      <c r="V409" s="3"/>
      <c r="W409" s="3"/>
      <c r="X409" s="3"/>
      <c r="Y409" s="3"/>
      <c r="Z409" s="58"/>
      <c r="AA409" s="3"/>
      <c r="AB409" s="3"/>
      <c r="AC409" s="4"/>
      <c r="AD409" s="4"/>
      <c r="AE409" s="4"/>
      <c r="AF409" s="4"/>
      <c r="AG409" s="4"/>
      <c r="AH409" s="4"/>
      <c r="AI409" s="4"/>
    </row>
    <row r="410">
      <c r="A410" s="57"/>
      <c r="B410" s="4"/>
      <c r="C410" s="4"/>
      <c r="D410" s="4"/>
      <c r="E410" s="4"/>
      <c r="F410" s="4"/>
      <c r="G410" s="4"/>
      <c r="H410" s="52"/>
      <c r="I410" s="4"/>
      <c r="J410" s="52"/>
      <c r="K410" s="52"/>
      <c r="L410" s="52"/>
      <c r="M410" s="52"/>
      <c r="N410" s="52"/>
      <c r="O410" s="52"/>
      <c r="P410" s="52"/>
      <c r="Q410" s="52"/>
      <c r="R410" s="4"/>
      <c r="S410" s="4"/>
      <c r="T410" s="4"/>
      <c r="U410" s="74"/>
      <c r="V410" s="3"/>
      <c r="W410" s="3"/>
      <c r="X410" s="3"/>
      <c r="Y410" s="3"/>
      <c r="Z410" s="58"/>
      <c r="AA410" s="3"/>
      <c r="AB410" s="3"/>
      <c r="AC410" s="4"/>
      <c r="AD410" s="4"/>
      <c r="AE410" s="4"/>
      <c r="AF410" s="4"/>
      <c r="AG410" s="4"/>
      <c r="AH410" s="4"/>
      <c r="AI410" s="4"/>
    </row>
    <row r="411">
      <c r="A411" s="57"/>
      <c r="B411" s="4"/>
      <c r="C411" s="4"/>
      <c r="D411" s="4"/>
      <c r="E411" s="4"/>
      <c r="F411" s="4"/>
      <c r="G411" s="4"/>
      <c r="H411" s="52"/>
      <c r="I411" s="4"/>
      <c r="J411" s="52"/>
      <c r="K411" s="52"/>
      <c r="L411" s="52"/>
      <c r="M411" s="52"/>
      <c r="N411" s="52"/>
      <c r="O411" s="52"/>
      <c r="P411" s="52"/>
      <c r="Q411" s="52"/>
      <c r="R411" s="4"/>
      <c r="S411" s="4"/>
      <c r="T411" s="4"/>
      <c r="U411" s="74"/>
      <c r="V411" s="3"/>
      <c r="W411" s="3"/>
      <c r="X411" s="3"/>
      <c r="Y411" s="3"/>
      <c r="Z411" s="58"/>
      <c r="AA411" s="3"/>
      <c r="AB411" s="3"/>
      <c r="AC411" s="4"/>
      <c r="AD411" s="4"/>
      <c r="AE411" s="4"/>
      <c r="AF411" s="4"/>
      <c r="AG411" s="4"/>
      <c r="AH411" s="4"/>
      <c r="AI411" s="4"/>
    </row>
    <row r="412">
      <c r="A412" s="57"/>
      <c r="B412" s="4"/>
      <c r="C412" s="4"/>
      <c r="D412" s="4"/>
      <c r="E412" s="4"/>
      <c r="F412" s="4"/>
      <c r="G412" s="4"/>
      <c r="H412" s="52"/>
      <c r="I412" s="4"/>
      <c r="J412" s="52"/>
      <c r="K412" s="52"/>
      <c r="L412" s="52"/>
      <c r="M412" s="52"/>
      <c r="N412" s="52"/>
      <c r="O412" s="52"/>
      <c r="P412" s="52"/>
      <c r="Q412" s="52"/>
      <c r="R412" s="4"/>
      <c r="S412" s="4"/>
      <c r="T412" s="4"/>
      <c r="U412" s="74"/>
      <c r="V412" s="3"/>
      <c r="W412" s="3"/>
      <c r="X412" s="3"/>
      <c r="Y412" s="3"/>
      <c r="Z412" s="58"/>
      <c r="AA412" s="3"/>
      <c r="AB412" s="3"/>
      <c r="AC412" s="4"/>
      <c r="AD412" s="4"/>
      <c r="AE412" s="4"/>
      <c r="AF412" s="4"/>
      <c r="AG412" s="4"/>
      <c r="AH412" s="4"/>
      <c r="AI412" s="4"/>
    </row>
    <row r="413">
      <c r="A413" s="57"/>
      <c r="B413" s="4"/>
      <c r="C413" s="4"/>
      <c r="D413" s="4"/>
      <c r="E413" s="4"/>
      <c r="F413" s="4"/>
      <c r="G413" s="4"/>
      <c r="H413" s="52"/>
      <c r="I413" s="4"/>
      <c r="J413" s="52"/>
      <c r="K413" s="52"/>
      <c r="L413" s="52"/>
      <c r="M413" s="52"/>
      <c r="N413" s="52"/>
      <c r="O413" s="52"/>
      <c r="P413" s="52"/>
      <c r="Q413" s="52"/>
      <c r="R413" s="4"/>
      <c r="S413" s="4"/>
      <c r="T413" s="4"/>
      <c r="U413" s="74"/>
      <c r="V413" s="3"/>
      <c r="W413" s="3"/>
      <c r="X413" s="3"/>
      <c r="Y413" s="3"/>
      <c r="Z413" s="58"/>
      <c r="AA413" s="3"/>
      <c r="AB413" s="3"/>
      <c r="AC413" s="4"/>
      <c r="AD413" s="4"/>
      <c r="AE413" s="4"/>
      <c r="AF413" s="4"/>
      <c r="AG413" s="4"/>
      <c r="AH413" s="4"/>
      <c r="AI413" s="4"/>
    </row>
    <row r="414">
      <c r="A414" s="57"/>
      <c r="B414" s="4"/>
      <c r="C414" s="4"/>
      <c r="D414" s="4"/>
      <c r="E414" s="4"/>
      <c r="F414" s="4"/>
      <c r="G414" s="4"/>
      <c r="H414" s="52"/>
      <c r="I414" s="4"/>
      <c r="J414" s="52"/>
      <c r="K414" s="52"/>
      <c r="L414" s="52"/>
      <c r="M414" s="52"/>
      <c r="N414" s="52"/>
      <c r="O414" s="52"/>
      <c r="P414" s="52"/>
      <c r="Q414" s="52"/>
      <c r="R414" s="4"/>
      <c r="S414" s="4"/>
      <c r="T414" s="4"/>
      <c r="U414" s="74"/>
      <c r="V414" s="3"/>
      <c r="W414" s="3"/>
      <c r="X414" s="3"/>
      <c r="Y414" s="3"/>
      <c r="Z414" s="58"/>
      <c r="AA414" s="3"/>
      <c r="AB414" s="3"/>
      <c r="AC414" s="4"/>
      <c r="AD414" s="4"/>
      <c r="AE414" s="4"/>
      <c r="AF414" s="4"/>
      <c r="AG414" s="4"/>
      <c r="AH414" s="4"/>
      <c r="AI414" s="4"/>
    </row>
    <row r="415">
      <c r="A415" s="57"/>
      <c r="B415" s="4"/>
      <c r="C415" s="4"/>
      <c r="D415" s="4"/>
      <c r="E415" s="4"/>
      <c r="F415" s="4"/>
      <c r="G415" s="4"/>
      <c r="H415" s="52"/>
      <c r="I415" s="4"/>
      <c r="J415" s="52"/>
      <c r="K415" s="52"/>
      <c r="L415" s="52"/>
      <c r="M415" s="52"/>
      <c r="N415" s="52"/>
      <c r="O415" s="52"/>
      <c r="P415" s="52"/>
      <c r="Q415" s="52"/>
      <c r="R415" s="4"/>
      <c r="S415" s="4"/>
      <c r="T415" s="4"/>
      <c r="U415" s="74"/>
      <c r="V415" s="3"/>
      <c r="W415" s="3"/>
      <c r="X415" s="3"/>
      <c r="Y415" s="3"/>
      <c r="Z415" s="58"/>
      <c r="AA415" s="3"/>
      <c r="AB415" s="3"/>
      <c r="AC415" s="4"/>
      <c r="AD415" s="4"/>
      <c r="AE415" s="4"/>
      <c r="AF415" s="4"/>
      <c r="AG415" s="4"/>
      <c r="AH415" s="4"/>
      <c r="AI415" s="4"/>
    </row>
    <row r="416">
      <c r="A416" s="57"/>
      <c r="B416" s="4"/>
      <c r="C416" s="4"/>
      <c r="D416" s="4"/>
      <c r="E416" s="4"/>
      <c r="F416" s="4"/>
      <c r="G416" s="4"/>
      <c r="H416" s="52"/>
      <c r="I416" s="4"/>
      <c r="J416" s="52"/>
      <c r="K416" s="52"/>
      <c r="L416" s="52"/>
      <c r="M416" s="52"/>
      <c r="N416" s="52"/>
      <c r="O416" s="52"/>
      <c r="P416" s="52"/>
      <c r="Q416" s="52"/>
      <c r="R416" s="4"/>
      <c r="S416" s="4"/>
      <c r="T416" s="4"/>
      <c r="U416" s="74"/>
      <c r="V416" s="3"/>
      <c r="W416" s="3"/>
      <c r="X416" s="3"/>
      <c r="Y416" s="3"/>
      <c r="Z416" s="58"/>
      <c r="AA416" s="3"/>
      <c r="AB416" s="3"/>
      <c r="AC416" s="4"/>
      <c r="AD416" s="4"/>
      <c r="AE416" s="4"/>
      <c r="AF416" s="4"/>
      <c r="AG416" s="4"/>
      <c r="AH416" s="4"/>
      <c r="AI416" s="4"/>
    </row>
    <row r="417">
      <c r="A417" s="57"/>
      <c r="B417" s="4"/>
      <c r="C417" s="4"/>
      <c r="D417" s="4"/>
      <c r="E417" s="4"/>
      <c r="F417" s="4"/>
      <c r="G417" s="4"/>
      <c r="H417" s="52"/>
      <c r="I417" s="4"/>
      <c r="J417" s="52"/>
      <c r="K417" s="52"/>
      <c r="L417" s="52"/>
      <c r="M417" s="52"/>
      <c r="N417" s="52"/>
      <c r="O417" s="52"/>
      <c r="P417" s="52"/>
      <c r="Q417" s="52"/>
      <c r="R417" s="4"/>
      <c r="S417" s="4"/>
      <c r="T417" s="4"/>
      <c r="U417" s="74"/>
      <c r="V417" s="3"/>
      <c r="W417" s="3"/>
      <c r="X417" s="3"/>
      <c r="Y417" s="3"/>
      <c r="Z417" s="58"/>
      <c r="AA417" s="3"/>
      <c r="AB417" s="3"/>
      <c r="AC417" s="4"/>
      <c r="AD417" s="4"/>
      <c r="AE417" s="4"/>
      <c r="AF417" s="4"/>
      <c r="AG417" s="4"/>
      <c r="AH417" s="4"/>
      <c r="AI417" s="4"/>
    </row>
    <row r="418">
      <c r="A418" s="57"/>
      <c r="B418" s="4"/>
      <c r="C418" s="4"/>
      <c r="D418" s="4"/>
      <c r="E418" s="4"/>
      <c r="F418" s="4"/>
      <c r="G418" s="4"/>
      <c r="H418" s="52"/>
      <c r="I418" s="4"/>
      <c r="J418" s="52"/>
      <c r="K418" s="52"/>
      <c r="L418" s="52"/>
      <c r="M418" s="52"/>
      <c r="N418" s="52"/>
      <c r="O418" s="52"/>
      <c r="P418" s="52"/>
      <c r="Q418" s="52"/>
      <c r="R418" s="4"/>
      <c r="S418" s="4"/>
      <c r="T418" s="4"/>
      <c r="U418" s="74"/>
      <c r="V418" s="3"/>
      <c r="W418" s="3"/>
      <c r="X418" s="3"/>
      <c r="Y418" s="3"/>
      <c r="Z418" s="58"/>
      <c r="AA418" s="3"/>
      <c r="AB418" s="3"/>
      <c r="AC418" s="4"/>
      <c r="AD418" s="4"/>
      <c r="AE418" s="4"/>
      <c r="AF418" s="4"/>
      <c r="AG418" s="4"/>
      <c r="AH418" s="4"/>
      <c r="AI418" s="4"/>
    </row>
    <row r="419">
      <c r="A419" s="57"/>
      <c r="B419" s="4"/>
      <c r="C419" s="4"/>
      <c r="D419" s="4"/>
      <c r="E419" s="4"/>
      <c r="F419" s="4"/>
      <c r="G419" s="4"/>
      <c r="H419" s="52"/>
      <c r="I419" s="4"/>
      <c r="J419" s="52"/>
      <c r="K419" s="52"/>
      <c r="L419" s="52"/>
      <c r="M419" s="52"/>
      <c r="N419" s="52"/>
      <c r="O419" s="52"/>
      <c r="P419" s="52"/>
      <c r="Q419" s="52"/>
      <c r="R419" s="4"/>
      <c r="S419" s="4"/>
      <c r="T419" s="4"/>
      <c r="U419" s="74"/>
      <c r="V419" s="3"/>
      <c r="W419" s="3"/>
      <c r="X419" s="3"/>
      <c r="Y419" s="3"/>
      <c r="Z419" s="58"/>
      <c r="AA419" s="3"/>
      <c r="AB419" s="3"/>
      <c r="AC419" s="4"/>
      <c r="AD419" s="4"/>
      <c r="AE419" s="4"/>
      <c r="AF419" s="4"/>
      <c r="AG419" s="4"/>
      <c r="AH419" s="4"/>
      <c r="AI419" s="4"/>
    </row>
    <row r="420">
      <c r="A420" s="57"/>
      <c r="B420" s="4"/>
      <c r="C420" s="4"/>
      <c r="D420" s="4"/>
      <c r="E420" s="4"/>
      <c r="F420" s="4"/>
      <c r="G420" s="4"/>
      <c r="H420" s="52"/>
      <c r="I420" s="4"/>
      <c r="J420" s="52"/>
      <c r="K420" s="52"/>
      <c r="L420" s="52"/>
      <c r="M420" s="52"/>
      <c r="N420" s="52"/>
      <c r="O420" s="52"/>
      <c r="P420" s="52"/>
      <c r="Q420" s="52"/>
      <c r="R420" s="4"/>
      <c r="S420" s="4"/>
      <c r="T420" s="4"/>
      <c r="U420" s="74"/>
      <c r="V420" s="3"/>
      <c r="W420" s="3"/>
      <c r="X420" s="3"/>
      <c r="Y420" s="3"/>
      <c r="Z420" s="58"/>
      <c r="AA420" s="3"/>
      <c r="AB420" s="3"/>
      <c r="AC420" s="4"/>
      <c r="AD420" s="4"/>
      <c r="AE420" s="4"/>
      <c r="AF420" s="4"/>
      <c r="AG420" s="4"/>
      <c r="AH420" s="4"/>
      <c r="AI420" s="4"/>
    </row>
    <row r="421">
      <c r="A421" s="57"/>
      <c r="B421" s="4"/>
      <c r="C421" s="4"/>
      <c r="D421" s="4"/>
      <c r="E421" s="4"/>
      <c r="F421" s="4"/>
      <c r="G421" s="4"/>
      <c r="H421" s="52"/>
      <c r="I421" s="4"/>
      <c r="J421" s="52"/>
      <c r="K421" s="52"/>
      <c r="L421" s="52"/>
      <c r="M421" s="52"/>
      <c r="N421" s="52"/>
      <c r="O421" s="52"/>
      <c r="P421" s="52"/>
      <c r="Q421" s="52"/>
      <c r="R421" s="4"/>
      <c r="S421" s="4"/>
      <c r="T421" s="4"/>
      <c r="U421" s="74"/>
      <c r="V421" s="3"/>
      <c r="W421" s="3"/>
      <c r="X421" s="3"/>
      <c r="Y421" s="3"/>
      <c r="Z421" s="58"/>
      <c r="AA421" s="3"/>
      <c r="AB421" s="3"/>
      <c r="AC421" s="4"/>
      <c r="AD421" s="4"/>
      <c r="AE421" s="4"/>
      <c r="AF421" s="4"/>
      <c r="AG421" s="4"/>
      <c r="AH421" s="4"/>
      <c r="AI421" s="4"/>
    </row>
    <row r="422">
      <c r="A422" s="57"/>
      <c r="B422" s="4"/>
      <c r="C422" s="4"/>
      <c r="D422" s="4"/>
      <c r="E422" s="4"/>
      <c r="F422" s="4"/>
      <c r="G422" s="4"/>
      <c r="H422" s="52"/>
      <c r="I422" s="4"/>
      <c r="J422" s="52"/>
      <c r="K422" s="52"/>
      <c r="L422" s="52"/>
      <c r="M422" s="52"/>
      <c r="N422" s="52"/>
      <c r="O422" s="52"/>
      <c r="P422" s="52"/>
      <c r="Q422" s="52"/>
      <c r="R422" s="4"/>
      <c r="S422" s="4"/>
      <c r="T422" s="4"/>
      <c r="U422" s="74"/>
      <c r="V422" s="3"/>
      <c r="W422" s="3"/>
      <c r="X422" s="3"/>
      <c r="Y422" s="3"/>
      <c r="Z422" s="58"/>
      <c r="AA422" s="3"/>
      <c r="AB422" s="3"/>
      <c r="AC422" s="4"/>
      <c r="AD422" s="4"/>
      <c r="AE422" s="4"/>
      <c r="AF422" s="4"/>
      <c r="AG422" s="4"/>
      <c r="AH422" s="4"/>
      <c r="AI422" s="4"/>
    </row>
    <row r="423">
      <c r="A423" s="57"/>
      <c r="B423" s="4"/>
      <c r="C423" s="4"/>
      <c r="D423" s="4"/>
      <c r="E423" s="4"/>
      <c r="F423" s="4"/>
      <c r="G423" s="4"/>
      <c r="H423" s="52"/>
      <c r="I423" s="4"/>
      <c r="J423" s="52"/>
      <c r="K423" s="52"/>
      <c r="L423" s="52"/>
      <c r="M423" s="52"/>
      <c r="N423" s="52"/>
      <c r="O423" s="52"/>
      <c r="P423" s="52"/>
      <c r="Q423" s="52"/>
      <c r="R423" s="4"/>
      <c r="S423" s="4"/>
      <c r="T423" s="4"/>
      <c r="U423" s="74"/>
      <c r="V423" s="3"/>
      <c r="W423" s="3"/>
      <c r="X423" s="3"/>
      <c r="Y423" s="3"/>
      <c r="Z423" s="58"/>
      <c r="AA423" s="3"/>
      <c r="AB423" s="3"/>
      <c r="AC423" s="4"/>
      <c r="AD423" s="4"/>
      <c r="AE423" s="4"/>
      <c r="AF423" s="4"/>
      <c r="AG423" s="4"/>
      <c r="AH423" s="4"/>
      <c r="AI423" s="4"/>
    </row>
    <row r="424">
      <c r="A424" s="57"/>
      <c r="B424" s="4"/>
      <c r="C424" s="4"/>
      <c r="D424" s="4"/>
      <c r="E424" s="4"/>
      <c r="F424" s="4"/>
      <c r="G424" s="4"/>
      <c r="H424" s="52"/>
      <c r="I424" s="4"/>
      <c r="J424" s="52"/>
      <c r="K424" s="52"/>
      <c r="L424" s="52"/>
      <c r="M424" s="52"/>
      <c r="N424" s="52"/>
      <c r="O424" s="52"/>
      <c r="P424" s="52"/>
      <c r="Q424" s="52"/>
      <c r="R424" s="4"/>
      <c r="S424" s="4"/>
      <c r="T424" s="4"/>
      <c r="U424" s="74"/>
      <c r="V424" s="3"/>
      <c r="W424" s="3"/>
      <c r="X424" s="3"/>
      <c r="Y424" s="3"/>
      <c r="Z424" s="58"/>
      <c r="AA424" s="3"/>
      <c r="AB424" s="3"/>
      <c r="AC424" s="4"/>
      <c r="AD424" s="4"/>
      <c r="AE424" s="4"/>
      <c r="AF424" s="4"/>
      <c r="AG424" s="4"/>
      <c r="AH424" s="4"/>
      <c r="AI424" s="4"/>
    </row>
    <row r="425">
      <c r="A425" s="57"/>
      <c r="B425" s="4"/>
      <c r="C425" s="4"/>
      <c r="D425" s="4"/>
      <c r="E425" s="4"/>
      <c r="F425" s="4"/>
      <c r="G425" s="4"/>
      <c r="H425" s="52"/>
      <c r="I425" s="4"/>
      <c r="J425" s="52"/>
      <c r="K425" s="52"/>
      <c r="L425" s="52"/>
      <c r="M425" s="52"/>
      <c r="N425" s="52"/>
      <c r="O425" s="52"/>
      <c r="P425" s="52"/>
      <c r="Q425" s="52"/>
      <c r="R425" s="4"/>
      <c r="S425" s="4"/>
      <c r="T425" s="4"/>
      <c r="U425" s="74"/>
      <c r="V425" s="3"/>
      <c r="W425" s="3"/>
      <c r="X425" s="3"/>
      <c r="Y425" s="3"/>
      <c r="Z425" s="58"/>
      <c r="AA425" s="3"/>
      <c r="AB425" s="3"/>
      <c r="AC425" s="4"/>
      <c r="AD425" s="4"/>
      <c r="AE425" s="4"/>
      <c r="AF425" s="4"/>
      <c r="AG425" s="4"/>
      <c r="AH425" s="4"/>
      <c r="AI425" s="4"/>
    </row>
    <row r="426">
      <c r="A426" s="57"/>
      <c r="B426" s="4"/>
      <c r="C426" s="4"/>
      <c r="D426" s="4"/>
      <c r="E426" s="4"/>
      <c r="F426" s="4"/>
      <c r="G426" s="4"/>
      <c r="H426" s="52"/>
      <c r="I426" s="4"/>
      <c r="J426" s="52"/>
      <c r="K426" s="52"/>
      <c r="L426" s="52"/>
      <c r="M426" s="52"/>
      <c r="N426" s="52"/>
      <c r="O426" s="52"/>
      <c r="P426" s="52"/>
      <c r="Q426" s="52"/>
      <c r="R426" s="4"/>
      <c r="S426" s="4"/>
      <c r="T426" s="4"/>
      <c r="U426" s="74"/>
      <c r="V426" s="3"/>
      <c r="W426" s="3"/>
      <c r="X426" s="3"/>
      <c r="Y426" s="3"/>
      <c r="Z426" s="58"/>
      <c r="AA426" s="3"/>
      <c r="AB426" s="3"/>
      <c r="AC426" s="4"/>
      <c r="AD426" s="4"/>
      <c r="AE426" s="4"/>
      <c r="AF426" s="4"/>
      <c r="AG426" s="4"/>
      <c r="AH426" s="4"/>
      <c r="AI426" s="4"/>
    </row>
    <row r="427">
      <c r="A427" s="57"/>
      <c r="B427" s="4"/>
      <c r="C427" s="4"/>
      <c r="D427" s="4"/>
      <c r="E427" s="4"/>
      <c r="F427" s="4"/>
      <c r="G427" s="4"/>
      <c r="H427" s="52"/>
      <c r="I427" s="4"/>
      <c r="J427" s="52"/>
      <c r="K427" s="52"/>
      <c r="L427" s="52"/>
      <c r="M427" s="52"/>
      <c r="N427" s="52"/>
      <c r="O427" s="52"/>
      <c r="P427" s="52"/>
      <c r="Q427" s="52"/>
      <c r="R427" s="4"/>
      <c r="S427" s="4"/>
      <c r="T427" s="4"/>
      <c r="U427" s="74"/>
      <c r="V427" s="3"/>
      <c r="W427" s="3"/>
      <c r="X427" s="3"/>
      <c r="Y427" s="3"/>
      <c r="Z427" s="58"/>
      <c r="AA427" s="3"/>
      <c r="AB427" s="3"/>
      <c r="AC427" s="4"/>
      <c r="AD427" s="4"/>
      <c r="AE427" s="4"/>
      <c r="AF427" s="4"/>
      <c r="AG427" s="4"/>
      <c r="AH427" s="4"/>
      <c r="AI427" s="4"/>
    </row>
    <row r="428">
      <c r="A428" s="57"/>
      <c r="B428" s="4"/>
      <c r="C428" s="4"/>
      <c r="D428" s="4"/>
      <c r="E428" s="4"/>
      <c r="F428" s="4"/>
      <c r="G428" s="4"/>
      <c r="H428" s="52"/>
      <c r="I428" s="4"/>
      <c r="J428" s="52"/>
      <c r="K428" s="52"/>
      <c r="L428" s="52"/>
      <c r="M428" s="52"/>
      <c r="N428" s="52"/>
      <c r="O428" s="52"/>
      <c r="P428" s="52"/>
      <c r="Q428" s="52"/>
      <c r="R428" s="4"/>
      <c r="S428" s="4"/>
      <c r="T428" s="4"/>
      <c r="U428" s="74"/>
      <c r="V428" s="3"/>
      <c r="W428" s="3"/>
      <c r="X428" s="3"/>
      <c r="Y428" s="3"/>
      <c r="Z428" s="58"/>
      <c r="AA428" s="3"/>
      <c r="AB428" s="3"/>
      <c r="AC428" s="4"/>
      <c r="AD428" s="4"/>
      <c r="AE428" s="4"/>
      <c r="AF428" s="4"/>
      <c r="AG428" s="4"/>
      <c r="AH428" s="4"/>
      <c r="AI428" s="4"/>
    </row>
    <row r="429">
      <c r="A429" s="57"/>
      <c r="B429" s="4"/>
      <c r="C429" s="4"/>
      <c r="D429" s="4"/>
      <c r="E429" s="4"/>
      <c r="F429" s="4"/>
      <c r="G429" s="4"/>
      <c r="H429" s="52"/>
      <c r="I429" s="4"/>
      <c r="J429" s="52"/>
      <c r="K429" s="52"/>
      <c r="L429" s="52"/>
      <c r="M429" s="52"/>
      <c r="N429" s="52"/>
      <c r="O429" s="52"/>
      <c r="P429" s="52"/>
      <c r="Q429" s="52"/>
      <c r="R429" s="4"/>
      <c r="S429" s="4"/>
      <c r="T429" s="4"/>
      <c r="U429" s="74"/>
      <c r="V429" s="3"/>
      <c r="W429" s="3"/>
      <c r="X429" s="3"/>
      <c r="Y429" s="3"/>
      <c r="Z429" s="58"/>
      <c r="AA429" s="3"/>
      <c r="AB429" s="3"/>
      <c r="AC429" s="4"/>
      <c r="AD429" s="4"/>
      <c r="AE429" s="4"/>
      <c r="AF429" s="4"/>
      <c r="AG429" s="4"/>
      <c r="AH429" s="4"/>
      <c r="AI429" s="4"/>
    </row>
    <row r="430">
      <c r="A430" s="57"/>
      <c r="B430" s="4"/>
      <c r="C430" s="4"/>
      <c r="D430" s="4"/>
      <c r="E430" s="4"/>
      <c r="F430" s="4"/>
      <c r="G430" s="4"/>
      <c r="H430" s="52"/>
      <c r="I430" s="4"/>
      <c r="J430" s="52"/>
      <c r="K430" s="52"/>
      <c r="L430" s="52"/>
      <c r="M430" s="52"/>
      <c r="N430" s="52"/>
      <c r="O430" s="52"/>
      <c r="P430" s="52"/>
      <c r="Q430" s="52"/>
      <c r="R430" s="4"/>
      <c r="S430" s="4"/>
      <c r="T430" s="4"/>
      <c r="U430" s="74"/>
      <c r="V430" s="3"/>
      <c r="W430" s="3"/>
      <c r="X430" s="3"/>
      <c r="Y430" s="3"/>
      <c r="Z430" s="58"/>
      <c r="AA430" s="3"/>
      <c r="AB430" s="3"/>
      <c r="AC430" s="4"/>
      <c r="AD430" s="4"/>
      <c r="AE430" s="4"/>
      <c r="AF430" s="4"/>
      <c r="AG430" s="4"/>
      <c r="AH430" s="4"/>
      <c r="AI430" s="4"/>
    </row>
    <row r="431">
      <c r="A431" s="57"/>
      <c r="B431" s="4"/>
      <c r="C431" s="4"/>
      <c r="D431" s="4"/>
      <c r="E431" s="4"/>
      <c r="F431" s="4"/>
      <c r="G431" s="4"/>
      <c r="H431" s="52"/>
      <c r="I431" s="4"/>
      <c r="J431" s="52"/>
      <c r="K431" s="52"/>
      <c r="L431" s="52"/>
      <c r="M431" s="52"/>
      <c r="N431" s="52"/>
      <c r="O431" s="52"/>
      <c r="P431" s="52"/>
      <c r="Q431" s="52"/>
      <c r="R431" s="4"/>
      <c r="S431" s="4"/>
      <c r="T431" s="4"/>
      <c r="U431" s="74"/>
      <c r="V431" s="3"/>
      <c r="W431" s="3"/>
      <c r="X431" s="3"/>
      <c r="Y431" s="3"/>
      <c r="Z431" s="58"/>
      <c r="AA431" s="3"/>
      <c r="AB431" s="3"/>
      <c r="AC431" s="4"/>
      <c r="AD431" s="4"/>
      <c r="AE431" s="4"/>
      <c r="AF431" s="4"/>
      <c r="AG431" s="4"/>
      <c r="AH431" s="4"/>
      <c r="AI431" s="4"/>
    </row>
    <row r="432">
      <c r="A432" s="57"/>
      <c r="B432" s="4"/>
      <c r="C432" s="4"/>
      <c r="D432" s="4"/>
      <c r="E432" s="4"/>
      <c r="F432" s="4"/>
      <c r="G432" s="4"/>
      <c r="H432" s="52"/>
      <c r="I432" s="4"/>
      <c r="J432" s="52"/>
      <c r="K432" s="52"/>
      <c r="L432" s="52"/>
      <c r="M432" s="52"/>
      <c r="N432" s="52"/>
      <c r="O432" s="52"/>
      <c r="P432" s="52"/>
      <c r="Q432" s="52"/>
      <c r="R432" s="4"/>
      <c r="S432" s="4"/>
      <c r="T432" s="4"/>
      <c r="U432" s="74"/>
      <c r="V432" s="3"/>
      <c r="W432" s="3"/>
      <c r="X432" s="3"/>
      <c r="Y432" s="3"/>
      <c r="Z432" s="58"/>
      <c r="AA432" s="3"/>
      <c r="AB432" s="3"/>
      <c r="AC432" s="4"/>
      <c r="AD432" s="4"/>
      <c r="AE432" s="4"/>
      <c r="AF432" s="4"/>
      <c r="AG432" s="4"/>
      <c r="AH432" s="4"/>
      <c r="AI432" s="4"/>
    </row>
    <row r="433">
      <c r="A433" s="57"/>
      <c r="B433" s="4"/>
      <c r="C433" s="4"/>
      <c r="D433" s="4"/>
      <c r="E433" s="4"/>
      <c r="F433" s="4"/>
      <c r="G433" s="4"/>
      <c r="H433" s="52"/>
      <c r="I433" s="4"/>
      <c r="J433" s="52"/>
      <c r="K433" s="52"/>
      <c r="L433" s="52"/>
      <c r="M433" s="52"/>
      <c r="N433" s="52"/>
      <c r="O433" s="52"/>
      <c r="P433" s="52"/>
      <c r="Q433" s="52"/>
      <c r="R433" s="4"/>
      <c r="S433" s="4"/>
      <c r="T433" s="4"/>
      <c r="U433" s="74"/>
      <c r="V433" s="3"/>
      <c r="W433" s="3"/>
      <c r="X433" s="3"/>
      <c r="Y433" s="3"/>
      <c r="Z433" s="58"/>
      <c r="AA433" s="3"/>
      <c r="AB433" s="3"/>
      <c r="AC433" s="4"/>
      <c r="AD433" s="4"/>
      <c r="AE433" s="4"/>
      <c r="AF433" s="4"/>
      <c r="AG433" s="4"/>
      <c r="AH433" s="4"/>
      <c r="AI433" s="4"/>
    </row>
    <row r="434">
      <c r="A434" s="57"/>
      <c r="B434" s="4"/>
      <c r="C434" s="4"/>
      <c r="D434" s="4"/>
      <c r="E434" s="4"/>
      <c r="F434" s="4"/>
      <c r="G434" s="4"/>
      <c r="H434" s="52"/>
      <c r="I434" s="4"/>
      <c r="J434" s="52"/>
      <c r="K434" s="52"/>
      <c r="L434" s="52"/>
      <c r="M434" s="52"/>
      <c r="N434" s="52"/>
      <c r="O434" s="52"/>
      <c r="P434" s="52"/>
      <c r="Q434" s="52"/>
      <c r="R434" s="4"/>
      <c r="S434" s="4"/>
      <c r="T434" s="4"/>
      <c r="U434" s="74"/>
      <c r="V434" s="3"/>
      <c r="W434" s="3"/>
      <c r="X434" s="3"/>
      <c r="Y434" s="3"/>
      <c r="Z434" s="58"/>
      <c r="AA434" s="3"/>
      <c r="AB434" s="3"/>
      <c r="AC434" s="4"/>
      <c r="AD434" s="4"/>
      <c r="AE434" s="4"/>
      <c r="AF434" s="4"/>
      <c r="AG434" s="4"/>
      <c r="AH434" s="4"/>
      <c r="AI434" s="4"/>
    </row>
    <row r="435">
      <c r="A435" s="57"/>
      <c r="B435" s="4"/>
      <c r="C435" s="4"/>
      <c r="D435" s="4"/>
      <c r="E435" s="4"/>
      <c r="F435" s="4"/>
      <c r="G435" s="4"/>
      <c r="H435" s="52"/>
      <c r="I435" s="4"/>
      <c r="J435" s="52"/>
      <c r="K435" s="52"/>
      <c r="L435" s="52"/>
      <c r="M435" s="52"/>
      <c r="N435" s="52"/>
      <c r="O435" s="52"/>
      <c r="P435" s="52"/>
      <c r="Q435" s="52"/>
      <c r="R435" s="4"/>
      <c r="S435" s="4"/>
      <c r="T435" s="4"/>
      <c r="U435" s="74"/>
      <c r="V435" s="3"/>
      <c r="W435" s="3"/>
      <c r="X435" s="3"/>
      <c r="Y435" s="3"/>
      <c r="Z435" s="58"/>
      <c r="AA435" s="3"/>
      <c r="AB435" s="3"/>
      <c r="AC435" s="4"/>
      <c r="AD435" s="4"/>
      <c r="AE435" s="4"/>
      <c r="AF435" s="4"/>
      <c r="AG435" s="4"/>
      <c r="AH435" s="4"/>
      <c r="AI435" s="4"/>
    </row>
    <row r="436">
      <c r="A436" s="57"/>
      <c r="B436" s="4"/>
      <c r="C436" s="4"/>
      <c r="D436" s="4"/>
      <c r="E436" s="4"/>
      <c r="F436" s="4"/>
      <c r="G436" s="4"/>
      <c r="H436" s="52"/>
      <c r="I436" s="4"/>
      <c r="J436" s="52"/>
      <c r="K436" s="52"/>
      <c r="L436" s="52"/>
      <c r="M436" s="52"/>
      <c r="N436" s="52"/>
      <c r="O436" s="52"/>
      <c r="P436" s="52"/>
      <c r="Q436" s="52"/>
      <c r="R436" s="4"/>
      <c r="S436" s="4"/>
      <c r="T436" s="4"/>
      <c r="U436" s="74"/>
      <c r="V436" s="3"/>
      <c r="W436" s="3"/>
      <c r="X436" s="3"/>
      <c r="Y436" s="3"/>
      <c r="Z436" s="58"/>
      <c r="AA436" s="3"/>
      <c r="AB436" s="3"/>
      <c r="AC436" s="4"/>
      <c r="AD436" s="4"/>
      <c r="AE436" s="4"/>
      <c r="AF436" s="4"/>
      <c r="AG436" s="4"/>
      <c r="AH436" s="4"/>
      <c r="AI436" s="4"/>
    </row>
    <row r="437">
      <c r="A437" s="57"/>
      <c r="B437" s="4"/>
      <c r="C437" s="4"/>
      <c r="D437" s="4"/>
      <c r="E437" s="4"/>
      <c r="F437" s="4"/>
      <c r="G437" s="4"/>
      <c r="H437" s="52"/>
      <c r="I437" s="4"/>
      <c r="J437" s="52"/>
      <c r="K437" s="52"/>
      <c r="L437" s="52"/>
      <c r="M437" s="52"/>
      <c r="N437" s="52"/>
      <c r="O437" s="52"/>
      <c r="P437" s="52"/>
      <c r="Q437" s="52"/>
      <c r="R437" s="4"/>
      <c r="S437" s="4"/>
      <c r="T437" s="4"/>
      <c r="U437" s="74"/>
      <c r="V437" s="3"/>
      <c r="W437" s="3"/>
      <c r="X437" s="3"/>
      <c r="Y437" s="3"/>
      <c r="Z437" s="58"/>
      <c r="AA437" s="3"/>
      <c r="AB437" s="3"/>
      <c r="AC437" s="4"/>
      <c r="AD437" s="4"/>
      <c r="AE437" s="4"/>
      <c r="AF437" s="4"/>
      <c r="AG437" s="4"/>
      <c r="AH437" s="4"/>
      <c r="AI437" s="4"/>
    </row>
    <row r="438">
      <c r="A438" s="57"/>
      <c r="B438" s="4"/>
      <c r="C438" s="4"/>
      <c r="D438" s="4"/>
      <c r="E438" s="4"/>
      <c r="F438" s="4"/>
      <c r="G438" s="4"/>
      <c r="H438" s="52"/>
      <c r="I438" s="4"/>
      <c r="J438" s="52"/>
      <c r="K438" s="52"/>
      <c r="L438" s="52"/>
      <c r="M438" s="52"/>
      <c r="N438" s="52"/>
      <c r="O438" s="52"/>
      <c r="P438" s="52"/>
      <c r="Q438" s="52"/>
      <c r="R438" s="4"/>
      <c r="S438" s="4"/>
      <c r="T438" s="4"/>
      <c r="U438" s="74"/>
      <c r="V438" s="3"/>
      <c r="W438" s="3"/>
      <c r="X438" s="3"/>
      <c r="Y438" s="3"/>
      <c r="Z438" s="58"/>
      <c r="AA438" s="3"/>
      <c r="AB438" s="3"/>
      <c r="AC438" s="4"/>
      <c r="AD438" s="4"/>
      <c r="AE438" s="4"/>
      <c r="AF438" s="4"/>
      <c r="AG438" s="4"/>
      <c r="AH438" s="4"/>
      <c r="AI438" s="4"/>
    </row>
    <row r="439">
      <c r="A439" s="57"/>
      <c r="B439" s="4"/>
      <c r="C439" s="4"/>
      <c r="D439" s="4"/>
      <c r="E439" s="4"/>
      <c r="F439" s="4"/>
      <c r="G439" s="4"/>
      <c r="H439" s="52"/>
      <c r="I439" s="4"/>
      <c r="J439" s="52"/>
      <c r="K439" s="52"/>
      <c r="L439" s="52"/>
      <c r="M439" s="52"/>
      <c r="N439" s="52"/>
      <c r="O439" s="52"/>
      <c r="P439" s="52"/>
      <c r="Q439" s="52"/>
      <c r="R439" s="4"/>
      <c r="S439" s="4"/>
      <c r="T439" s="4"/>
      <c r="U439" s="74"/>
      <c r="V439" s="3"/>
      <c r="W439" s="3"/>
      <c r="X439" s="3"/>
      <c r="Y439" s="3"/>
      <c r="Z439" s="58"/>
      <c r="AA439" s="3"/>
      <c r="AB439" s="3"/>
      <c r="AC439" s="4"/>
      <c r="AD439" s="4"/>
      <c r="AE439" s="4"/>
      <c r="AF439" s="4"/>
      <c r="AG439" s="4"/>
      <c r="AH439" s="4"/>
      <c r="AI439" s="4"/>
    </row>
    <row r="440">
      <c r="A440" s="57"/>
      <c r="B440" s="4"/>
      <c r="C440" s="4"/>
      <c r="D440" s="4"/>
      <c r="E440" s="4"/>
      <c r="F440" s="4"/>
      <c r="G440" s="4"/>
      <c r="H440" s="52"/>
      <c r="I440" s="4"/>
      <c r="J440" s="52"/>
      <c r="K440" s="52"/>
      <c r="L440" s="52"/>
      <c r="M440" s="52"/>
      <c r="N440" s="52"/>
      <c r="O440" s="52"/>
      <c r="P440" s="52"/>
      <c r="Q440" s="52"/>
      <c r="R440" s="4"/>
      <c r="S440" s="4"/>
      <c r="T440" s="4"/>
      <c r="U440" s="74"/>
      <c r="V440" s="3"/>
      <c r="W440" s="3"/>
      <c r="X440" s="3"/>
      <c r="Y440" s="3"/>
      <c r="Z440" s="58"/>
      <c r="AA440" s="3"/>
      <c r="AB440" s="3"/>
      <c r="AC440" s="4"/>
      <c r="AD440" s="4"/>
      <c r="AE440" s="4"/>
      <c r="AF440" s="4"/>
      <c r="AG440" s="4"/>
      <c r="AH440" s="4"/>
      <c r="AI440" s="4"/>
    </row>
    <row r="441">
      <c r="A441" s="57"/>
      <c r="B441" s="4"/>
      <c r="C441" s="4"/>
      <c r="D441" s="4"/>
      <c r="E441" s="4"/>
      <c r="F441" s="4"/>
      <c r="G441" s="4"/>
      <c r="H441" s="52"/>
      <c r="I441" s="4"/>
      <c r="J441" s="52"/>
      <c r="K441" s="52"/>
      <c r="L441" s="52"/>
      <c r="M441" s="52"/>
      <c r="N441" s="52"/>
      <c r="O441" s="52"/>
      <c r="P441" s="52"/>
      <c r="Q441" s="52"/>
      <c r="R441" s="4"/>
      <c r="S441" s="4"/>
      <c r="T441" s="4"/>
      <c r="U441" s="74"/>
      <c r="V441" s="3"/>
      <c r="W441" s="3"/>
      <c r="X441" s="3"/>
      <c r="Y441" s="3"/>
      <c r="Z441" s="58"/>
      <c r="AA441" s="3"/>
      <c r="AB441" s="3"/>
      <c r="AC441" s="4"/>
      <c r="AD441" s="4"/>
      <c r="AE441" s="4"/>
      <c r="AF441" s="4"/>
      <c r="AG441" s="4"/>
      <c r="AH441" s="4"/>
      <c r="AI441" s="4"/>
    </row>
    <row r="442">
      <c r="A442" s="57"/>
      <c r="B442" s="4"/>
      <c r="C442" s="4"/>
      <c r="D442" s="4"/>
      <c r="E442" s="4"/>
      <c r="F442" s="4"/>
      <c r="G442" s="4"/>
      <c r="H442" s="52"/>
      <c r="I442" s="4"/>
      <c r="J442" s="52"/>
      <c r="K442" s="52"/>
      <c r="L442" s="52"/>
      <c r="M442" s="52"/>
      <c r="N442" s="52"/>
      <c r="O442" s="52"/>
      <c r="P442" s="52"/>
      <c r="Q442" s="52"/>
      <c r="R442" s="4"/>
      <c r="S442" s="4"/>
      <c r="T442" s="4"/>
      <c r="U442" s="74"/>
      <c r="V442" s="3"/>
      <c r="W442" s="3"/>
      <c r="X442" s="3"/>
      <c r="Y442" s="3"/>
      <c r="Z442" s="58"/>
      <c r="AA442" s="3"/>
      <c r="AB442" s="3"/>
      <c r="AC442" s="4"/>
      <c r="AD442" s="4"/>
      <c r="AE442" s="4"/>
      <c r="AF442" s="4"/>
      <c r="AG442" s="4"/>
      <c r="AH442" s="4"/>
      <c r="AI442" s="4"/>
    </row>
    <row r="443">
      <c r="A443" s="57"/>
      <c r="B443" s="4"/>
      <c r="C443" s="4"/>
      <c r="D443" s="4"/>
      <c r="E443" s="4"/>
      <c r="F443" s="4"/>
      <c r="G443" s="4"/>
      <c r="H443" s="52"/>
      <c r="I443" s="4"/>
      <c r="J443" s="52"/>
      <c r="K443" s="52"/>
      <c r="L443" s="52"/>
      <c r="M443" s="52"/>
      <c r="N443" s="52"/>
      <c r="O443" s="52"/>
      <c r="P443" s="52"/>
      <c r="Q443" s="52"/>
      <c r="R443" s="4"/>
      <c r="S443" s="4"/>
      <c r="T443" s="4"/>
      <c r="U443" s="74"/>
      <c r="V443" s="3"/>
      <c r="W443" s="3"/>
      <c r="X443" s="3"/>
      <c r="Y443" s="3"/>
      <c r="Z443" s="58"/>
      <c r="AA443" s="3"/>
      <c r="AB443" s="3"/>
      <c r="AC443" s="4"/>
      <c r="AD443" s="4"/>
      <c r="AE443" s="4"/>
      <c r="AF443" s="4"/>
      <c r="AG443" s="4"/>
      <c r="AH443" s="4"/>
      <c r="AI443" s="4"/>
    </row>
    <row r="444">
      <c r="A444" s="57"/>
      <c r="B444" s="4"/>
      <c r="C444" s="4"/>
      <c r="D444" s="4"/>
      <c r="E444" s="4"/>
      <c r="F444" s="4"/>
      <c r="G444" s="4"/>
      <c r="H444" s="52"/>
      <c r="I444" s="4"/>
      <c r="J444" s="52"/>
      <c r="K444" s="52"/>
      <c r="L444" s="52"/>
      <c r="M444" s="52"/>
      <c r="N444" s="52"/>
      <c r="O444" s="52"/>
      <c r="P444" s="52"/>
      <c r="Q444" s="52"/>
      <c r="R444" s="4"/>
      <c r="S444" s="4"/>
      <c r="T444" s="4"/>
      <c r="U444" s="74"/>
      <c r="V444" s="3"/>
      <c r="W444" s="3"/>
      <c r="X444" s="3"/>
      <c r="Y444" s="3"/>
      <c r="Z444" s="58"/>
      <c r="AA444" s="3"/>
      <c r="AB444" s="3"/>
      <c r="AC444" s="4"/>
      <c r="AD444" s="4"/>
      <c r="AE444" s="4"/>
      <c r="AF444" s="4"/>
      <c r="AG444" s="4"/>
      <c r="AH444" s="4"/>
      <c r="AI444" s="4"/>
    </row>
    <row r="445">
      <c r="A445" s="57"/>
      <c r="B445" s="4"/>
      <c r="C445" s="4"/>
      <c r="D445" s="4"/>
      <c r="E445" s="4"/>
      <c r="F445" s="4"/>
      <c r="G445" s="4"/>
      <c r="H445" s="52"/>
      <c r="I445" s="4"/>
      <c r="J445" s="52"/>
      <c r="K445" s="52"/>
      <c r="L445" s="52"/>
      <c r="M445" s="52"/>
      <c r="N445" s="52"/>
      <c r="O445" s="52"/>
      <c r="P445" s="52"/>
      <c r="Q445" s="52"/>
      <c r="R445" s="4"/>
      <c r="S445" s="4"/>
      <c r="T445" s="4"/>
      <c r="U445" s="74"/>
      <c r="V445" s="3"/>
      <c r="W445" s="3"/>
      <c r="X445" s="3"/>
      <c r="Y445" s="3"/>
      <c r="Z445" s="58"/>
      <c r="AA445" s="3"/>
      <c r="AB445" s="3"/>
      <c r="AC445" s="4"/>
      <c r="AD445" s="4"/>
      <c r="AE445" s="4"/>
      <c r="AF445" s="4"/>
      <c r="AG445" s="4"/>
      <c r="AH445" s="4"/>
      <c r="AI445" s="4"/>
    </row>
    <row r="446">
      <c r="A446" s="57"/>
      <c r="B446" s="4"/>
      <c r="C446" s="4"/>
      <c r="D446" s="4"/>
      <c r="E446" s="4"/>
      <c r="F446" s="4"/>
      <c r="G446" s="4"/>
      <c r="H446" s="52"/>
      <c r="I446" s="4"/>
      <c r="J446" s="52"/>
      <c r="K446" s="52"/>
      <c r="L446" s="52"/>
      <c r="M446" s="52"/>
      <c r="N446" s="52"/>
      <c r="O446" s="52"/>
      <c r="P446" s="52"/>
      <c r="Q446" s="52"/>
      <c r="R446" s="4"/>
      <c r="S446" s="4"/>
      <c r="T446" s="4"/>
      <c r="U446" s="74"/>
      <c r="V446" s="3"/>
      <c r="W446" s="3"/>
      <c r="X446" s="3"/>
      <c r="Y446" s="3"/>
      <c r="Z446" s="58"/>
      <c r="AA446" s="3"/>
      <c r="AB446" s="3"/>
      <c r="AC446" s="4"/>
      <c r="AD446" s="4"/>
      <c r="AE446" s="4"/>
      <c r="AF446" s="4"/>
      <c r="AG446" s="4"/>
      <c r="AH446" s="4"/>
      <c r="AI446" s="4"/>
    </row>
    <row r="447">
      <c r="A447" s="57"/>
      <c r="B447" s="4"/>
      <c r="C447" s="4"/>
      <c r="D447" s="4"/>
      <c r="E447" s="4"/>
      <c r="F447" s="4"/>
      <c r="G447" s="4"/>
      <c r="H447" s="52"/>
      <c r="I447" s="4"/>
      <c r="J447" s="52"/>
      <c r="K447" s="52"/>
      <c r="L447" s="52"/>
      <c r="M447" s="52"/>
      <c r="N447" s="52"/>
      <c r="O447" s="52"/>
      <c r="P447" s="52"/>
      <c r="Q447" s="52"/>
      <c r="R447" s="4"/>
      <c r="S447" s="4"/>
      <c r="T447" s="4"/>
      <c r="U447" s="74"/>
      <c r="V447" s="3"/>
      <c r="W447" s="3"/>
      <c r="X447" s="3"/>
      <c r="Y447" s="3"/>
      <c r="Z447" s="58"/>
      <c r="AA447" s="3"/>
      <c r="AB447" s="3"/>
      <c r="AC447" s="4"/>
      <c r="AD447" s="4"/>
      <c r="AE447" s="4"/>
      <c r="AF447" s="4"/>
      <c r="AG447" s="4"/>
      <c r="AH447" s="4"/>
      <c r="AI447" s="4"/>
    </row>
    <row r="448">
      <c r="A448" s="57"/>
      <c r="B448" s="4"/>
      <c r="C448" s="4"/>
      <c r="D448" s="4"/>
      <c r="E448" s="4"/>
      <c r="F448" s="4"/>
      <c r="G448" s="4"/>
      <c r="H448" s="52"/>
      <c r="I448" s="4"/>
      <c r="J448" s="52"/>
      <c r="K448" s="52"/>
      <c r="L448" s="52"/>
      <c r="M448" s="52"/>
      <c r="N448" s="52"/>
      <c r="O448" s="52"/>
      <c r="P448" s="52"/>
      <c r="Q448" s="52"/>
      <c r="R448" s="4"/>
      <c r="S448" s="4"/>
      <c r="T448" s="4"/>
      <c r="U448" s="74"/>
      <c r="V448" s="3"/>
      <c r="W448" s="3"/>
      <c r="X448" s="3"/>
      <c r="Y448" s="3"/>
      <c r="Z448" s="58"/>
      <c r="AA448" s="3"/>
      <c r="AB448" s="3"/>
      <c r="AC448" s="4"/>
      <c r="AD448" s="4"/>
      <c r="AE448" s="4"/>
      <c r="AF448" s="4"/>
      <c r="AG448" s="4"/>
      <c r="AH448" s="4"/>
      <c r="AI448" s="4"/>
    </row>
    <row r="449">
      <c r="A449" s="57"/>
      <c r="B449" s="4"/>
      <c r="C449" s="4"/>
      <c r="D449" s="4"/>
      <c r="E449" s="4"/>
      <c r="F449" s="4"/>
      <c r="G449" s="4"/>
      <c r="H449" s="52"/>
      <c r="I449" s="4"/>
      <c r="J449" s="52"/>
      <c r="K449" s="52"/>
      <c r="L449" s="52"/>
      <c r="M449" s="52"/>
      <c r="N449" s="52"/>
      <c r="O449" s="52"/>
      <c r="P449" s="52"/>
      <c r="Q449" s="52"/>
      <c r="R449" s="4"/>
      <c r="S449" s="4"/>
      <c r="T449" s="4"/>
      <c r="U449" s="74"/>
      <c r="V449" s="3"/>
      <c r="W449" s="3"/>
      <c r="X449" s="3"/>
      <c r="Y449" s="3"/>
      <c r="Z449" s="58"/>
      <c r="AA449" s="3"/>
      <c r="AB449" s="3"/>
      <c r="AC449" s="4"/>
      <c r="AD449" s="4"/>
      <c r="AE449" s="4"/>
      <c r="AF449" s="4"/>
      <c r="AG449" s="4"/>
      <c r="AH449" s="4"/>
      <c r="AI449" s="4"/>
    </row>
    <row r="450">
      <c r="A450" s="57"/>
      <c r="B450" s="4"/>
      <c r="C450" s="4"/>
      <c r="D450" s="4"/>
      <c r="E450" s="4"/>
      <c r="F450" s="4"/>
      <c r="G450" s="4"/>
      <c r="H450" s="52"/>
      <c r="I450" s="4"/>
      <c r="J450" s="52"/>
      <c r="K450" s="52"/>
      <c r="L450" s="52"/>
      <c r="M450" s="52"/>
      <c r="N450" s="52"/>
      <c r="O450" s="52"/>
      <c r="P450" s="52"/>
      <c r="Q450" s="52"/>
      <c r="R450" s="4"/>
      <c r="S450" s="4"/>
      <c r="T450" s="4"/>
      <c r="U450" s="74"/>
      <c r="V450" s="3"/>
      <c r="W450" s="3"/>
      <c r="X450" s="3"/>
      <c r="Y450" s="3"/>
      <c r="Z450" s="58"/>
      <c r="AA450" s="3"/>
      <c r="AB450" s="3"/>
      <c r="AC450" s="4"/>
      <c r="AD450" s="4"/>
      <c r="AE450" s="4"/>
      <c r="AF450" s="4"/>
      <c r="AG450" s="4"/>
      <c r="AH450" s="4"/>
      <c r="AI450" s="4"/>
    </row>
    <row r="451">
      <c r="A451" s="57"/>
      <c r="B451" s="4"/>
      <c r="C451" s="4"/>
      <c r="D451" s="4"/>
      <c r="E451" s="4"/>
      <c r="F451" s="4"/>
      <c r="G451" s="4"/>
      <c r="H451" s="52"/>
      <c r="I451" s="4"/>
      <c r="J451" s="52"/>
      <c r="K451" s="52"/>
      <c r="L451" s="52"/>
      <c r="M451" s="52"/>
      <c r="N451" s="52"/>
      <c r="O451" s="52"/>
      <c r="P451" s="52"/>
      <c r="Q451" s="52"/>
      <c r="R451" s="4"/>
      <c r="S451" s="4"/>
      <c r="T451" s="4"/>
      <c r="U451" s="74"/>
      <c r="V451" s="3"/>
      <c r="W451" s="3"/>
      <c r="X451" s="3"/>
      <c r="Y451" s="3"/>
      <c r="Z451" s="58"/>
      <c r="AA451" s="3"/>
      <c r="AB451" s="3"/>
      <c r="AC451" s="4"/>
      <c r="AD451" s="4"/>
      <c r="AE451" s="4"/>
      <c r="AF451" s="4"/>
      <c r="AG451" s="4"/>
      <c r="AH451" s="4"/>
      <c r="AI451" s="4"/>
    </row>
    <row r="452">
      <c r="A452" s="57"/>
      <c r="B452" s="4"/>
      <c r="C452" s="4"/>
      <c r="D452" s="4"/>
      <c r="E452" s="4"/>
      <c r="F452" s="4"/>
      <c r="G452" s="4"/>
      <c r="H452" s="52"/>
      <c r="I452" s="4"/>
      <c r="J452" s="52"/>
      <c r="K452" s="52"/>
      <c r="L452" s="52"/>
      <c r="M452" s="52"/>
      <c r="N452" s="52"/>
      <c r="O452" s="52"/>
      <c r="P452" s="52"/>
      <c r="Q452" s="52"/>
      <c r="R452" s="4"/>
      <c r="S452" s="4"/>
      <c r="T452" s="4"/>
      <c r="U452" s="74"/>
      <c r="V452" s="3"/>
      <c r="W452" s="3"/>
      <c r="X452" s="3"/>
      <c r="Y452" s="3"/>
      <c r="Z452" s="58"/>
      <c r="AA452" s="3"/>
      <c r="AB452" s="3"/>
      <c r="AC452" s="4"/>
      <c r="AD452" s="4"/>
      <c r="AE452" s="4"/>
      <c r="AF452" s="4"/>
      <c r="AG452" s="4"/>
      <c r="AH452" s="4"/>
      <c r="AI452" s="4"/>
    </row>
    <row r="453">
      <c r="A453" s="57"/>
      <c r="B453" s="4"/>
      <c r="C453" s="4"/>
      <c r="D453" s="4"/>
      <c r="E453" s="4"/>
      <c r="F453" s="4"/>
      <c r="G453" s="4"/>
      <c r="H453" s="52"/>
      <c r="I453" s="4"/>
      <c r="J453" s="52"/>
      <c r="K453" s="52"/>
      <c r="L453" s="52"/>
      <c r="M453" s="52"/>
      <c r="N453" s="52"/>
      <c r="O453" s="52"/>
      <c r="P453" s="52"/>
      <c r="Q453" s="52"/>
      <c r="R453" s="4"/>
      <c r="S453" s="4"/>
      <c r="T453" s="4"/>
      <c r="U453" s="74"/>
      <c r="V453" s="3"/>
      <c r="W453" s="3"/>
      <c r="X453" s="3"/>
      <c r="Y453" s="3"/>
      <c r="Z453" s="58"/>
      <c r="AA453" s="3"/>
      <c r="AB453" s="3"/>
      <c r="AC453" s="4"/>
      <c r="AD453" s="4"/>
      <c r="AE453" s="4"/>
      <c r="AF453" s="4"/>
      <c r="AG453" s="4"/>
      <c r="AH453" s="4"/>
      <c r="AI453" s="4"/>
    </row>
    <row r="454">
      <c r="A454" s="57"/>
      <c r="B454" s="4"/>
      <c r="C454" s="4"/>
      <c r="D454" s="4"/>
      <c r="E454" s="4"/>
      <c r="F454" s="4"/>
      <c r="G454" s="4"/>
      <c r="H454" s="52"/>
      <c r="I454" s="4"/>
      <c r="J454" s="52"/>
      <c r="K454" s="52"/>
      <c r="L454" s="52"/>
      <c r="M454" s="52"/>
      <c r="N454" s="52"/>
      <c r="O454" s="52"/>
      <c r="P454" s="52"/>
      <c r="Q454" s="52"/>
      <c r="R454" s="4"/>
      <c r="S454" s="4"/>
      <c r="T454" s="4"/>
      <c r="U454" s="74"/>
      <c r="V454" s="3"/>
      <c r="W454" s="3"/>
      <c r="X454" s="3"/>
      <c r="Y454" s="3"/>
      <c r="Z454" s="58"/>
      <c r="AA454" s="3"/>
      <c r="AB454" s="3"/>
      <c r="AC454" s="4"/>
      <c r="AD454" s="4"/>
      <c r="AE454" s="4"/>
      <c r="AF454" s="4"/>
      <c r="AG454" s="4"/>
      <c r="AH454" s="4"/>
      <c r="AI454" s="4"/>
    </row>
    <row r="455">
      <c r="A455" s="57"/>
      <c r="B455" s="4"/>
      <c r="C455" s="4"/>
      <c r="D455" s="4"/>
      <c r="E455" s="4"/>
      <c r="F455" s="4"/>
      <c r="G455" s="4"/>
      <c r="H455" s="52"/>
      <c r="I455" s="4"/>
      <c r="J455" s="52"/>
      <c r="K455" s="52"/>
      <c r="L455" s="52"/>
      <c r="M455" s="52"/>
      <c r="N455" s="52"/>
      <c r="O455" s="52"/>
      <c r="P455" s="52"/>
      <c r="Q455" s="52"/>
      <c r="R455" s="4"/>
      <c r="S455" s="4"/>
      <c r="T455" s="4"/>
      <c r="U455" s="74"/>
      <c r="V455" s="3"/>
      <c r="W455" s="3"/>
      <c r="X455" s="3"/>
      <c r="Y455" s="3"/>
      <c r="Z455" s="58"/>
      <c r="AA455" s="3"/>
      <c r="AB455" s="3"/>
      <c r="AC455" s="4"/>
      <c r="AD455" s="4"/>
      <c r="AE455" s="4"/>
      <c r="AF455" s="4"/>
      <c r="AG455" s="4"/>
      <c r="AH455" s="4"/>
      <c r="AI455" s="4"/>
    </row>
    <row r="456">
      <c r="A456" s="57"/>
      <c r="B456" s="4"/>
      <c r="C456" s="4"/>
      <c r="D456" s="4"/>
      <c r="E456" s="4"/>
      <c r="F456" s="4"/>
      <c r="G456" s="4"/>
      <c r="H456" s="52"/>
      <c r="I456" s="4"/>
      <c r="J456" s="52"/>
      <c r="K456" s="52"/>
      <c r="L456" s="52"/>
      <c r="M456" s="52"/>
      <c r="N456" s="52"/>
      <c r="O456" s="52"/>
      <c r="P456" s="52"/>
      <c r="Q456" s="52"/>
      <c r="R456" s="4"/>
      <c r="S456" s="4"/>
      <c r="T456" s="4"/>
      <c r="U456" s="74"/>
      <c r="V456" s="3"/>
      <c r="W456" s="3"/>
      <c r="X456" s="3"/>
      <c r="Y456" s="3"/>
      <c r="Z456" s="58"/>
      <c r="AA456" s="3"/>
      <c r="AB456" s="3"/>
      <c r="AC456" s="4"/>
      <c r="AD456" s="4"/>
      <c r="AE456" s="4"/>
      <c r="AF456" s="4"/>
      <c r="AG456" s="4"/>
      <c r="AH456" s="4"/>
      <c r="AI456" s="4"/>
    </row>
    <row r="457">
      <c r="A457" s="57"/>
      <c r="B457" s="4"/>
      <c r="C457" s="4"/>
      <c r="D457" s="4"/>
      <c r="E457" s="4"/>
      <c r="F457" s="4"/>
      <c r="G457" s="4"/>
      <c r="H457" s="52"/>
      <c r="I457" s="4"/>
      <c r="J457" s="52"/>
      <c r="K457" s="52"/>
      <c r="L457" s="52"/>
      <c r="M457" s="52"/>
      <c r="N457" s="52"/>
      <c r="O457" s="52"/>
      <c r="P457" s="52"/>
      <c r="Q457" s="52"/>
      <c r="R457" s="4"/>
      <c r="S457" s="4"/>
      <c r="T457" s="4"/>
      <c r="U457" s="74"/>
      <c r="V457" s="3"/>
      <c r="W457" s="3"/>
      <c r="X457" s="3"/>
      <c r="Y457" s="3"/>
      <c r="Z457" s="58"/>
      <c r="AA457" s="3"/>
      <c r="AB457" s="3"/>
      <c r="AC457" s="4"/>
      <c r="AD457" s="4"/>
      <c r="AE457" s="4"/>
      <c r="AF457" s="4"/>
      <c r="AG457" s="4"/>
      <c r="AH457" s="4"/>
      <c r="AI457" s="4"/>
    </row>
    <row r="458">
      <c r="A458" s="57"/>
      <c r="B458" s="4"/>
      <c r="C458" s="4"/>
      <c r="D458" s="4"/>
      <c r="E458" s="4"/>
      <c r="F458" s="4"/>
      <c r="G458" s="4"/>
      <c r="H458" s="52"/>
      <c r="I458" s="4"/>
      <c r="J458" s="52"/>
      <c r="K458" s="52"/>
      <c r="L458" s="52"/>
      <c r="M458" s="52"/>
      <c r="N458" s="52"/>
      <c r="O458" s="52"/>
      <c r="P458" s="52"/>
      <c r="Q458" s="52"/>
      <c r="R458" s="4"/>
      <c r="S458" s="4"/>
      <c r="T458" s="4"/>
      <c r="U458" s="74"/>
      <c r="V458" s="3"/>
      <c r="W458" s="3"/>
      <c r="X458" s="3"/>
      <c r="Y458" s="3"/>
      <c r="Z458" s="58"/>
      <c r="AA458" s="3"/>
      <c r="AB458" s="3"/>
      <c r="AC458" s="4"/>
      <c r="AD458" s="4"/>
      <c r="AE458" s="4"/>
      <c r="AF458" s="4"/>
      <c r="AG458" s="4"/>
      <c r="AH458" s="4"/>
      <c r="AI458" s="4"/>
    </row>
    <row r="459">
      <c r="A459" s="57"/>
      <c r="B459" s="4"/>
      <c r="C459" s="4"/>
      <c r="D459" s="4"/>
      <c r="E459" s="4"/>
      <c r="F459" s="4"/>
      <c r="G459" s="4"/>
      <c r="H459" s="52"/>
      <c r="I459" s="4"/>
      <c r="J459" s="52"/>
      <c r="K459" s="52"/>
      <c r="L459" s="52"/>
      <c r="M459" s="52"/>
      <c r="N459" s="52"/>
      <c r="O459" s="52"/>
      <c r="P459" s="52"/>
      <c r="Q459" s="52"/>
      <c r="R459" s="4"/>
      <c r="S459" s="4"/>
      <c r="T459" s="4"/>
      <c r="U459" s="74"/>
      <c r="V459" s="3"/>
      <c r="W459" s="3"/>
      <c r="X459" s="3"/>
      <c r="Y459" s="3"/>
      <c r="Z459" s="58"/>
      <c r="AA459" s="3"/>
      <c r="AB459" s="3"/>
      <c r="AC459" s="4"/>
      <c r="AD459" s="4"/>
      <c r="AE459" s="4"/>
      <c r="AF459" s="4"/>
      <c r="AG459" s="4"/>
      <c r="AH459" s="4"/>
      <c r="AI459" s="4"/>
    </row>
    <row r="460">
      <c r="A460" s="57"/>
      <c r="B460" s="4"/>
      <c r="C460" s="4"/>
      <c r="D460" s="4"/>
      <c r="E460" s="4"/>
      <c r="F460" s="4"/>
      <c r="G460" s="4"/>
      <c r="H460" s="52"/>
      <c r="I460" s="4"/>
      <c r="J460" s="52"/>
      <c r="K460" s="52"/>
      <c r="L460" s="52"/>
      <c r="M460" s="52"/>
      <c r="N460" s="52"/>
      <c r="O460" s="52"/>
      <c r="P460" s="52"/>
      <c r="Q460" s="52"/>
      <c r="R460" s="4"/>
      <c r="S460" s="4"/>
      <c r="T460" s="4"/>
      <c r="U460" s="74"/>
      <c r="V460" s="3"/>
      <c r="W460" s="3"/>
      <c r="X460" s="3"/>
      <c r="Y460" s="3"/>
      <c r="Z460" s="58"/>
      <c r="AA460" s="3"/>
      <c r="AB460" s="3"/>
      <c r="AC460" s="4"/>
      <c r="AD460" s="4"/>
      <c r="AE460" s="4"/>
      <c r="AF460" s="4"/>
      <c r="AG460" s="4"/>
      <c r="AH460" s="4"/>
      <c r="AI460" s="4"/>
    </row>
    <row r="461">
      <c r="A461" s="57"/>
      <c r="B461" s="4"/>
      <c r="C461" s="4"/>
      <c r="D461" s="4"/>
      <c r="E461" s="4"/>
      <c r="F461" s="4"/>
      <c r="G461" s="4"/>
      <c r="H461" s="52"/>
      <c r="I461" s="4"/>
      <c r="J461" s="52"/>
      <c r="K461" s="52"/>
      <c r="L461" s="52"/>
      <c r="M461" s="52"/>
      <c r="N461" s="52"/>
      <c r="O461" s="52"/>
      <c r="P461" s="52"/>
      <c r="Q461" s="52"/>
      <c r="R461" s="4"/>
      <c r="S461" s="4"/>
      <c r="T461" s="4"/>
      <c r="U461" s="74"/>
      <c r="V461" s="3"/>
      <c r="W461" s="3"/>
      <c r="X461" s="3"/>
      <c r="Y461" s="3"/>
      <c r="Z461" s="58"/>
      <c r="AA461" s="3"/>
      <c r="AB461" s="3"/>
      <c r="AC461" s="4"/>
      <c r="AD461" s="4"/>
      <c r="AE461" s="4"/>
      <c r="AF461" s="4"/>
      <c r="AG461" s="4"/>
      <c r="AH461" s="4"/>
      <c r="AI461" s="4"/>
    </row>
    <row r="462">
      <c r="A462" s="57"/>
      <c r="B462" s="4"/>
      <c r="C462" s="4"/>
      <c r="D462" s="4"/>
      <c r="E462" s="4"/>
      <c r="F462" s="4"/>
      <c r="G462" s="4"/>
      <c r="H462" s="52"/>
      <c r="I462" s="4"/>
      <c r="J462" s="52"/>
      <c r="K462" s="52"/>
      <c r="L462" s="52"/>
      <c r="M462" s="52"/>
      <c r="N462" s="52"/>
      <c r="O462" s="52"/>
      <c r="P462" s="52"/>
      <c r="Q462" s="52"/>
      <c r="R462" s="4"/>
      <c r="S462" s="4"/>
      <c r="T462" s="4"/>
      <c r="U462" s="74"/>
      <c r="V462" s="3"/>
      <c r="W462" s="3"/>
      <c r="X462" s="3"/>
      <c r="Y462" s="3"/>
      <c r="Z462" s="58"/>
      <c r="AA462" s="3"/>
      <c r="AB462" s="3"/>
      <c r="AC462" s="4"/>
      <c r="AD462" s="4"/>
      <c r="AE462" s="4"/>
      <c r="AF462" s="4"/>
      <c r="AG462" s="4"/>
      <c r="AH462" s="4"/>
      <c r="AI462" s="4"/>
    </row>
    <row r="463">
      <c r="A463" s="57"/>
      <c r="B463" s="4"/>
      <c r="C463" s="4"/>
      <c r="D463" s="4"/>
      <c r="E463" s="4"/>
      <c r="F463" s="4"/>
      <c r="G463" s="4"/>
      <c r="H463" s="52"/>
      <c r="I463" s="4"/>
      <c r="J463" s="52"/>
      <c r="K463" s="52"/>
      <c r="L463" s="52"/>
      <c r="M463" s="52"/>
      <c r="N463" s="52"/>
      <c r="O463" s="52"/>
      <c r="P463" s="52"/>
      <c r="Q463" s="52"/>
      <c r="R463" s="4"/>
      <c r="S463" s="4"/>
      <c r="T463" s="4"/>
      <c r="U463" s="74"/>
      <c r="V463" s="3"/>
      <c r="W463" s="3"/>
      <c r="X463" s="3"/>
      <c r="Y463" s="3"/>
      <c r="Z463" s="58"/>
      <c r="AA463" s="3"/>
      <c r="AB463" s="3"/>
      <c r="AC463" s="4"/>
      <c r="AD463" s="4"/>
      <c r="AE463" s="4"/>
      <c r="AF463" s="4"/>
      <c r="AG463" s="4"/>
      <c r="AH463" s="4"/>
      <c r="AI463" s="4"/>
    </row>
    <row r="464">
      <c r="A464" s="57"/>
      <c r="B464" s="4"/>
      <c r="C464" s="4"/>
      <c r="D464" s="4"/>
      <c r="E464" s="4"/>
      <c r="F464" s="4"/>
      <c r="G464" s="4"/>
      <c r="H464" s="52"/>
      <c r="I464" s="4"/>
      <c r="J464" s="52"/>
      <c r="K464" s="52"/>
      <c r="L464" s="52"/>
      <c r="M464" s="52"/>
      <c r="N464" s="52"/>
      <c r="O464" s="52"/>
      <c r="P464" s="52"/>
      <c r="Q464" s="52"/>
      <c r="R464" s="4"/>
      <c r="S464" s="4"/>
      <c r="T464" s="4"/>
      <c r="U464" s="74"/>
      <c r="V464" s="3"/>
      <c r="W464" s="3"/>
      <c r="X464" s="3"/>
      <c r="Y464" s="3"/>
      <c r="Z464" s="58"/>
      <c r="AA464" s="3"/>
      <c r="AB464" s="3"/>
      <c r="AC464" s="4"/>
      <c r="AD464" s="4"/>
      <c r="AE464" s="4"/>
      <c r="AF464" s="4"/>
      <c r="AG464" s="4"/>
      <c r="AH464" s="4"/>
      <c r="AI464" s="4"/>
    </row>
    <row r="465">
      <c r="A465" s="57"/>
      <c r="B465" s="4"/>
      <c r="C465" s="4"/>
      <c r="D465" s="4"/>
      <c r="E465" s="4"/>
      <c r="F465" s="4"/>
      <c r="G465" s="4"/>
      <c r="H465" s="52"/>
      <c r="I465" s="4"/>
      <c r="J465" s="52"/>
      <c r="K465" s="52"/>
      <c r="L465" s="52"/>
      <c r="M465" s="52"/>
      <c r="N465" s="52"/>
      <c r="O465" s="52"/>
      <c r="P465" s="52"/>
      <c r="Q465" s="52"/>
      <c r="R465" s="4"/>
      <c r="S465" s="4"/>
      <c r="T465" s="4"/>
      <c r="U465" s="74"/>
      <c r="V465" s="3"/>
      <c r="W465" s="3"/>
      <c r="X465" s="3"/>
      <c r="Y465" s="3"/>
      <c r="Z465" s="58"/>
      <c r="AA465" s="3"/>
      <c r="AB465" s="3"/>
      <c r="AC465" s="4"/>
      <c r="AD465" s="4"/>
      <c r="AE465" s="4"/>
      <c r="AF465" s="4"/>
      <c r="AG465" s="4"/>
      <c r="AH465" s="4"/>
      <c r="AI465" s="4"/>
    </row>
    <row r="466">
      <c r="A466" s="57"/>
      <c r="B466" s="4"/>
      <c r="C466" s="4"/>
      <c r="D466" s="4"/>
      <c r="E466" s="4"/>
      <c r="F466" s="4"/>
      <c r="G466" s="4"/>
      <c r="H466" s="52"/>
      <c r="I466" s="4"/>
      <c r="J466" s="52"/>
      <c r="K466" s="52"/>
      <c r="L466" s="52"/>
      <c r="M466" s="52"/>
      <c r="N466" s="52"/>
      <c r="O466" s="52"/>
      <c r="P466" s="52"/>
      <c r="Q466" s="52"/>
      <c r="R466" s="4"/>
      <c r="S466" s="4"/>
      <c r="T466" s="4"/>
      <c r="U466" s="74"/>
      <c r="V466" s="3"/>
      <c r="W466" s="3"/>
      <c r="X466" s="3"/>
      <c r="Y466" s="3"/>
      <c r="Z466" s="58"/>
      <c r="AA466" s="3"/>
      <c r="AB466" s="3"/>
      <c r="AC466" s="4"/>
      <c r="AD466" s="4"/>
      <c r="AE466" s="4"/>
      <c r="AF466" s="4"/>
      <c r="AG466" s="4"/>
      <c r="AH466" s="4"/>
      <c r="AI466" s="4"/>
    </row>
    <row r="467">
      <c r="A467" s="57"/>
      <c r="B467" s="4"/>
      <c r="C467" s="4"/>
      <c r="D467" s="4"/>
      <c r="E467" s="4"/>
      <c r="F467" s="4"/>
      <c r="G467" s="4"/>
      <c r="H467" s="52"/>
      <c r="I467" s="4"/>
      <c r="J467" s="52"/>
      <c r="K467" s="52"/>
      <c r="L467" s="52"/>
      <c r="M467" s="52"/>
      <c r="N467" s="52"/>
      <c r="O467" s="52"/>
      <c r="P467" s="52"/>
      <c r="Q467" s="52"/>
      <c r="R467" s="4"/>
      <c r="S467" s="4"/>
      <c r="T467" s="4"/>
      <c r="U467" s="74"/>
      <c r="V467" s="3"/>
      <c r="W467" s="3"/>
      <c r="X467" s="3"/>
      <c r="Y467" s="3"/>
      <c r="Z467" s="58"/>
      <c r="AA467" s="3"/>
      <c r="AB467" s="3"/>
      <c r="AC467" s="4"/>
      <c r="AD467" s="4"/>
      <c r="AE467" s="4"/>
      <c r="AF467" s="4"/>
      <c r="AG467" s="4"/>
      <c r="AH467" s="4"/>
      <c r="AI467" s="4"/>
    </row>
    <row r="468">
      <c r="A468" s="57"/>
      <c r="B468" s="4"/>
      <c r="C468" s="4"/>
      <c r="D468" s="4"/>
      <c r="E468" s="4"/>
      <c r="F468" s="4"/>
      <c r="G468" s="4"/>
      <c r="H468" s="52"/>
      <c r="I468" s="4"/>
      <c r="J468" s="52"/>
      <c r="K468" s="52"/>
      <c r="L468" s="52"/>
      <c r="M468" s="52"/>
      <c r="N468" s="52"/>
      <c r="O468" s="52"/>
      <c r="P468" s="52"/>
      <c r="Q468" s="52"/>
      <c r="R468" s="4"/>
      <c r="S468" s="4"/>
      <c r="T468" s="4"/>
      <c r="U468" s="74"/>
      <c r="V468" s="3"/>
      <c r="W468" s="3"/>
      <c r="X468" s="3"/>
      <c r="Y468" s="3"/>
      <c r="Z468" s="58"/>
      <c r="AA468" s="3"/>
      <c r="AB468" s="3"/>
      <c r="AC468" s="4"/>
      <c r="AD468" s="4"/>
      <c r="AE468" s="4"/>
      <c r="AF468" s="4"/>
      <c r="AG468" s="4"/>
      <c r="AH468" s="4"/>
      <c r="AI468" s="4"/>
    </row>
    <row r="469">
      <c r="A469" s="57"/>
      <c r="B469" s="4"/>
      <c r="C469" s="4"/>
      <c r="D469" s="4"/>
      <c r="E469" s="4"/>
      <c r="F469" s="4"/>
      <c r="G469" s="4"/>
      <c r="H469" s="52"/>
      <c r="I469" s="4"/>
      <c r="J469" s="52"/>
      <c r="K469" s="52"/>
      <c r="L469" s="52"/>
      <c r="M469" s="52"/>
      <c r="N469" s="52"/>
      <c r="O469" s="52"/>
      <c r="P469" s="52"/>
      <c r="Q469" s="52"/>
      <c r="R469" s="4"/>
      <c r="S469" s="4"/>
      <c r="T469" s="4"/>
      <c r="U469" s="74"/>
      <c r="V469" s="3"/>
      <c r="W469" s="3"/>
      <c r="X469" s="3"/>
      <c r="Y469" s="3"/>
      <c r="Z469" s="58"/>
      <c r="AA469" s="3"/>
      <c r="AB469" s="3"/>
      <c r="AC469" s="4"/>
      <c r="AD469" s="4"/>
      <c r="AE469" s="4"/>
      <c r="AF469" s="4"/>
      <c r="AG469" s="4"/>
      <c r="AH469" s="4"/>
      <c r="AI469" s="4"/>
    </row>
    <row r="470">
      <c r="A470" s="57"/>
      <c r="B470" s="4"/>
      <c r="C470" s="4"/>
      <c r="D470" s="4"/>
      <c r="E470" s="4"/>
      <c r="F470" s="4"/>
      <c r="G470" s="4"/>
      <c r="H470" s="52"/>
      <c r="I470" s="4"/>
      <c r="J470" s="52"/>
      <c r="K470" s="52"/>
      <c r="L470" s="52"/>
      <c r="M470" s="52"/>
      <c r="N470" s="52"/>
      <c r="O470" s="52"/>
      <c r="P470" s="52"/>
      <c r="Q470" s="52"/>
      <c r="R470" s="4"/>
      <c r="S470" s="4"/>
      <c r="T470" s="4"/>
      <c r="U470" s="74"/>
      <c r="V470" s="3"/>
      <c r="W470" s="3"/>
      <c r="X470" s="3"/>
      <c r="Y470" s="3"/>
      <c r="Z470" s="58"/>
      <c r="AA470" s="3"/>
      <c r="AB470" s="3"/>
      <c r="AC470" s="4"/>
      <c r="AD470" s="4"/>
      <c r="AE470" s="4"/>
      <c r="AF470" s="4"/>
      <c r="AG470" s="4"/>
      <c r="AH470" s="4"/>
      <c r="AI470" s="4"/>
    </row>
    <row r="471">
      <c r="A471" s="57"/>
      <c r="B471" s="4"/>
      <c r="C471" s="4"/>
      <c r="D471" s="4"/>
      <c r="E471" s="4"/>
      <c r="F471" s="4"/>
      <c r="G471" s="4"/>
      <c r="H471" s="52"/>
      <c r="I471" s="4"/>
      <c r="J471" s="52"/>
      <c r="K471" s="52"/>
      <c r="L471" s="52"/>
      <c r="M471" s="52"/>
      <c r="N471" s="52"/>
      <c r="O471" s="52"/>
      <c r="P471" s="52"/>
      <c r="Q471" s="52"/>
      <c r="R471" s="4"/>
      <c r="S471" s="4"/>
      <c r="T471" s="4"/>
      <c r="U471" s="74"/>
      <c r="V471" s="3"/>
      <c r="W471" s="3"/>
      <c r="X471" s="3"/>
      <c r="Y471" s="3"/>
      <c r="Z471" s="58"/>
      <c r="AA471" s="3"/>
      <c r="AB471" s="3"/>
      <c r="AC471" s="4"/>
      <c r="AD471" s="4"/>
      <c r="AE471" s="4"/>
      <c r="AF471" s="4"/>
      <c r="AG471" s="4"/>
      <c r="AH471" s="4"/>
      <c r="AI471" s="4"/>
    </row>
    <row r="472">
      <c r="A472" s="57"/>
      <c r="B472" s="4"/>
      <c r="C472" s="4"/>
      <c r="D472" s="4"/>
      <c r="E472" s="4"/>
      <c r="F472" s="4"/>
      <c r="G472" s="4"/>
      <c r="H472" s="52"/>
      <c r="I472" s="4"/>
      <c r="J472" s="52"/>
      <c r="K472" s="52"/>
      <c r="L472" s="52"/>
      <c r="M472" s="52"/>
      <c r="N472" s="52"/>
      <c r="O472" s="52"/>
      <c r="P472" s="52"/>
      <c r="Q472" s="52"/>
      <c r="R472" s="4"/>
      <c r="S472" s="4"/>
      <c r="T472" s="4"/>
      <c r="U472" s="74"/>
      <c r="V472" s="3"/>
      <c r="W472" s="3"/>
      <c r="X472" s="3"/>
      <c r="Y472" s="3"/>
      <c r="Z472" s="58"/>
      <c r="AA472" s="3"/>
      <c r="AB472" s="3"/>
      <c r="AC472" s="4"/>
      <c r="AD472" s="4"/>
      <c r="AE472" s="4"/>
      <c r="AF472" s="4"/>
      <c r="AG472" s="4"/>
      <c r="AH472" s="4"/>
      <c r="AI472" s="4"/>
    </row>
    <row r="473">
      <c r="A473" s="57"/>
      <c r="B473" s="4"/>
      <c r="C473" s="4"/>
      <c r="D473" s="4"/>
      <c r="E473" s="4"/>
      <c r="F473" s="4"/>
      <c r="G473" s="4"/>
      <c r="H473" s="52"/>
      <c r="I473" s="4"/>
      <c r="J473" s="52"/>
      <c r="K473" s="52"/>
      <c r="L473" s="52"/>
      <c r="M473" s="52"/>
      <c r="N473" s="52"/>
      <c r="O473" s="52"/>
      <c r="P473" s="52"/>
      <c r="Q473" s="52"/>
      <c r="R473" s="4"/>
      <c r="S473" s="4"/>
      <c r="T473" s="4"/>
      <c r="U473" s="74"/>
      <c r="V473" s="3"/>
      <c r="W473" s="3"/>
      <c r="X473" s="3"/>
      <c r="Y473" s="3"/>
      <c r="Z473" s="58"/>
      <c r="AA473" s="3"/>
      <c r="AB473" s="3"/>
      <c r="AC473" s="4"/>
      <c r="AD473" s="4"/>
      <c r="AE473" s="4"/>
      <c r="AF473" s="4"/>
      <c r="AG473" s="4"/>
      <c r="AH473" s="4"/>
      <c r="AI473" s="4"/>
    </row>
    <row r="474">
      <c r="A474" s="57"/>
      <c r="B474" s="4"/>
      <c r="C474" s="4"/>
      <c r="D474" s="4"/>
      <c r="E474" s="4"/>
      <c r="F474" s="4"/>
      <c r="G474" s="4"/>
      <c r="H474" s="52"/>
      <c r="I474" s="4"/>
      <c r="J474" s="52"/>
      <c r="K474" s="52"/>
      <c r="L474" s="52"/>
      <c r="M474" s="52"/>
      <c r="N474" s="52"/>
      <c r="O474" s="52"/>
      <c r="P474" s="52"/>
      <c r="Q474" s="52"/>
      <c r="R474" s="4"/>
      <c r="S474" s="4"/>
      <c r="T474" s="4"/>
      <c r="U474" s="74"/>
      <c r="V474" s="3"/>
      <c r="W474" s="3"/>
      <c r="X474" s="3"/>
      <c r="Y474" s="3"/>
      <c r="Z474" s="58"/>
      <c r="AA474" s="3"/>
      <c r="AB474" s="3"/>
      <c r="AC474" s="4"/>
      <c r="AD474" s="4"/>
      <c r="AE474" s="4"/>
      <c r="AF474" s="4"/>
      <c r="AG474" s="4"/>
      <c r="AH474" s="4"/>
      <c r="AI474" s="4"/>
    </row>
    <row r="475">
      <c r="A475" s="57"/>
      <c r="B475" s="4"/>
      <c r="C475" s="4"/>
      <c r="D475" s="4"/>
      <c r="E475" s="4"/>
      <c r="F475" s="4"/>
      <c r="G475" s="4"/>
      <c r="H475" s="52"/>
      <c r="I475" s="4"/>
      <c r="J475" s="52"/>
      <c r="K475" s="52"/>
      <c r="L475" s="52"/>
      <c r="M475" s="52"/>
      <c r="N475" s="52"/>
      <c r="O475" s="52"/>
      <c r="P475" s="52"/>
      <c r="Q475" s="52"/>
      <c r="R475" s="4"/>
      <c r="S475" s="4"/>
      <c r="T475" s="4"/>
      <c r="U475" s="74"/>
      <c r="V475" s="3"/>
      <c r="W475" s="3"/>
      <c r="X475" s="3"/>
      <c r="Y475" s="3"/>
      <c r="Z475" s="58"/>
      <c r="AA475" s="3"/>
      <c r="AB475" s="3"/>
      <c r="AC475" s="4"/>
      <c r="AD475" s="4"/>
      <c r="AE475" s="4"/>
      <c r="AF475" s="4"/>
      <c r="AG475" s="4"/>
      <c r="AH475" s="4"/>
      <c r="AI475" s="4"/>
    </row>
    <row r="476">
      <c r="A476" s="57"/>
      <c r="B476" s="4"/>
      <c r="C476" s="4"/>
      <c r="D476" s="4"/>
      <c r="E476" s="4"/>
      <c r="F476" s="4"/>
      <c r="G476" s="4"/>
      <c r="H476" s="52"/>
      <c r="I476" s="4"/>
      <c r="J476" s="52"/>
      <c r="K476" s="52"/>
      <c r="L476" s="52"/>
      <c r="M476" s="52"/>
      <c r="N476" s="52"/>
      <c r="O476" s="52"/>
      <c r="P476" s="52"/>
      <c r="Q476" s="52"/>
      <c r="R476" s="4"/>
      <c r="S476" s="4"/>
      <c r="T476" s="4"/>
      <c r="U476" s="74"/>
      <c r="V476" s="3"/>
      <c r="W476" s="3"/>
      <c r="X476" s="3"/>
      <c r="Y476" s="3"/>
      <c r="Z476" s="58"/>
      <c r="AA476" s="3"/>
      <c r="AB476" s="3"/>
      <c r="AC476" s="4"/>
      <c r="AD476" s="4"/>
      <c r="AE476" s="4"/>
      <c r="AF476" s="4"/>
      <c r="AG476" s="4"/>
      <c r="AH476" s="4"/>
      <c r="AI476" s="4"/>
    </row>
    <row r="477">
      <c r="A477" s="57"/>
      <c r="B477" s="4"/>
      <c r="C477" s="4"/>
      <c r="D477" s="4"/>
      <c r="E477" s="4"/>
      <c r="F477" s="4"/>
      <c r="G477" s="4"/>
      <c r="H477" s="52"/>
      <c r="I477" s="4"/>
      <c r="J477" s="52"/>
      <c r="K477" s="52"/>
      <c r="L477" s="52"/>
      <c r="M477" s="52"/>
      <c r="N477" s="52"/>
      <c r="O477" s="52"/>
      <c r="P477" s="52"/>
      <c r="Q477" s="52"/>
      <c r="R477" s="4"/>
      <c r="S477" s="4"/>
      <c r="T477" s="4"/>
      <c r="U477" s="74"/>
      <c r="V477" s="3"/>
      <c r="W477" s="3"/>
      <c r="X477" s="3"/>
      <c r="Y477" s="3"/>
      <c r="Z477" s="58"/>
      <c r="AA477" s="3"/>
      <c r="AB477" s="3"/>
      <c r="AC477" s="4"/>
      <c r="AD477" s="4"/>
      <c r="AE477" s="4"/>
      <c r="AF477" s="4"/>
      <c r="AG477" s="4"/>
      <c r="AH477" s="4"/>
      <c r="AI477" s="4"/>
    </row>
    <row r="478">
      <c r="A478" s="57"/>
      <c r="B478" s="4"/>
      <c r="C478" s="4"/>
      <c r="D478" s="4"/>
      <c r="E478" s="4"/>
      <c r="F478" s="4"/>
      <c r="G478" s="4"/>
      <c r="H478" s="52"/>
      <c r="I478" s="4"/>
      <c r="J478" s="52"/>
      <c r="K478" s="52"/>
      <c r="L478" s="52"/>
      <c r="M478" s="52"/>
      <c r="N478" s="52"/>
      <c r="O478" s="52"/>
      <c r="P478" s="52"/>
      <c r="Q478" s="52"/>
      <c r="R478" s="4"/>
      <c r="S478" s="4"/>
      <c r="T478" s="4"/>
      <c r="U478" s="74"/>
      <c r="V478" s="3"/>
      <c r="W478" s="3"/>
      <c r="X478" s="3"/>
      <c r="Y478" s="3"/>
      <c r="Z478" s="58"/>
      <c r="AA478" s="3"/>
      <c r="AB478" s="3"/>
      <c r="AC478" s="4"/>
      <c r="AD478" s="4"/>
      <c r="AE478" s="4"/>
      <c r="AF478" s="4"/>
      <c r="AG478" s="4"/>
      <c r="AH478" s="4"/>
      <c r="AI478" s="4"/>
    </row>
    <row r="479">
      <c r="A479" s="57"/>
      <c r="B479" s="4"/>
      <c r="C479" s="4"/>
      <c r="D479" s="4"/>
      <c r="E479" s="4"/>
      <c r="F479" s="4"/>
      <c r="G479" s="4"/>
      <c r="H479" s="52"/>
      <c r="I479" s="4"/>
      <c r="J479" s="52"/>
      <c r="K479" s="52"/>
      <c r="L479" s="52"/>
      <c r="M479" s="52"/>
      <c r="N479" s="52"/>
      <c r="O479" s="52"/>
      <c r="P479" s="52"/>
      <c r="Q479" s="52"/>
      <c r="R479" s="4"/>
      <c r="S479" s="4"/>
      <c r="T479" s="4"/>
      <c r="U479" s="74"/>
      <c r="V479" s="3"/>
      <c r="W479" s="3"/>
      <c r="X479" s="3"/>
      <c r="Y479" s="3"/>
      <c r="Z479" s="58"/>
      <c r="AA479" s="3"/>
      <c r="AB479" s="3"/>
      <c r="AC479" s="4"/>
      <c r="AD479" s="4"/>
      <c r="AE479" s="4"/>
      <c r="AF479" s="4"/>
      <c r="AG479" s="4"/>
      <c r="AH479" s="4"/>
      <c r="AI479" s="4"/>
    </row>
    <row r="480">
      <c r="A480" s="57"/>
      <c r="B480" s="4"/>
      <c r="C480" s="4"/>
      <c r="D480" s="4"/>
      <c r="E480" s="4"/>
      <c r="F480" s="4"/>
      <c r="G480" s="4"/>
      <c r="H480" s="52"/>
      <c r="I480" s="4"/>
      <c r="J480" s="52"/>
      <c r="K480" s="52"/>
      <c r="L480" s="52"/>
      <c r="M480" s="52"/>
      <c r="N480" s="52"/>
      <c r="O480" s="52"/>
      <c r="P480" s="52"/>
      <c r="Q480" s="52"/>
      <c r="R480" s="4"/>
      <c r="S480" s="4"/>
      <c r="T480" s="4"/>
      <c r="U480" s="74"/>
      <c r="V480" s="3"/>
      <c r="W480" s="3"/>
      <c r="X480" s="3"/>
      <c r="Y480" s="3"/>
      <c r="Z480" s="58"/>
      <c r="AA480" s="3"/>
      <c r="AB480" s="3"/>
      <c r="AC480" s="4"/>
      <c r="AD480" s="4"/>
      <c r="AE480" s="4"/>
      <c r="AF480" s="4"/>
      <c r="AG480" s="4"/>
      <c r="AH480" s="4"/>
      <c r="AI480" s="4"/>
    </row>
    <row r="481">
      <c r="A481" s="57"/>
      <c r="B481" s="4"/>
      <c r="C481" s="4"/>
      <c r="D481" s="4"/>
      <c r="E481" s="4"/>
      <c r="F481" s="4"/>
      <c r="G481" s="4"/>
      <c r="H481" s="52"/>
      <c r="I481" s="4"/>
      <c r="J481" s="52"/>
      <c r="K481" s="52"/>
      <c r="L481" s="52"/>
      <c r="M481" s="52"/>
      <c r="N481" s="52"/>
      <c r="O481" s="52"/>
      <c r="P481" s="52"/>
      <c r="Q481" s="52"/>
      <c r="R481" s="4"/>
      <c r="S481" s="4"/>
      <c r="T481" s="4"/>
      <c r="U481" s="74"/>
      <c r="V481" s="3"/>
      <c r="W481" s="3"/>
      <c r="X481" s="3"/>
      <c r="Y481" s="3"/>
      <c r="Z481" s="58"/>
      <c r="AA481" s="3"/>
      <c r="AB481" s="3"/>
      <c r="AC481" s="4"/>
      <c r="AD481" s="4"/>
      <c r="AE481" s="4"/>
      <c r="AF481" s="4"/>
      <c r="AG481" s="4"/>
      <c r="AH481" s="4"/>
      <c r="AI481" s="4"/>
    </row>
    <row r="482">
      <c r="A482" s="57"/>
      <c r="B482" s="4"/>
      <c r="C482" s="4"/>
      <c r="D482" s="4"/>
      <c r="E482" s="4"/>
      <c r="F482" s="4"/>
      <c r="G482" s="4"/>
      <c r="H482" s="52"/>
      <c r="I482" s="4"/>
      <c r="J482" s="52"/>
      <c r="K482" s="52"/>
      <c r="L482" s="52"/>
      <c r="M482" s="52"/>
      <c r="N482" s="52"/>
      <c r="O482" s="52"/>
      <c r="P482" s="52"/>
      <c r="Q482" s="52"/>
      <c r="R482" s="4"/>
      <c r="S482" s="4"/>
      <c r="T482" s="4"/>
      <c r="U482" s="74"/>
      <c r="V482" s="3"/>
      <c r="W482" s="3"/>
      <c r="X482" s="3"/>
      <c r="Y482" s="3"/>
      <c r="Z482" s="58"/>
      <c r="AA482" s="3"/>
      <c r="AB482" s="3"/>
      <c r="AC482" s="4"/>
      <c r="AD482" s="4"/>
      <c r="AE482" s="4"/>
      <c r="AF482" s="4"/>
      <c r="AG482" s="4"/>
      <c r="AH482" s="4"/>
      <c r="AI482" s="4"/>
    </row>
    <row r="483">
      <c r="A483" s="57"/>
      <c r="B483" s="4"/>
      <c r="C483" s="4"/>
      <c r="D483" s="4"/>
      <c r="E483" s="4"/>
      <c r="F483" s="4"/>
      <c r="G483" s="4"/>
      <c r="H483" s="52"/>
      <c r="I483" s="4"/>
      <c r="J483" s="52"/>
      <c r="K483" s="52"/>
      <c r="L483" s="52"/>
      <c r="M483" s="52"/>
      <c r="N483" s="52"/>
      <c r="O483" s="52"/>
      <c r="P483" s="52"/>
      <c r="Q483" s="52"/>
      <c r="R483" s="4"/>
      <c r="S483" s="4"/>
      <c r="T483" s="4"/>
      <c r="U483" s="74"/>
      <c r="V483" s="3"/>
      <c r="W483" s="3"/>
      <c r="X483" s="3"/>
      <c r="Y483" s="3"/>
      <c r="Z483" s="58"/>
      <c r="AA483" s="3"/>
      <c r="AB483" s="3"/>
      <c r="AC483" s="4"/>
      <c r="AD483" s="4"/>
      <c r="AE483" s="4"/>
      <c r="AF483" s="4"/>
      <c r="AG483" s="4"/>
      <c r="AH483" s="4"/>
      <c r="AI483" s="4"/>
    </row>
    <row r="484">
      <c r="A484" s="57"/>
      <c r="B484" s="4"/>
      <c r="C484" s="4"/>
      <c r="D484" s="4"/>
      <c r="E484" s="4"/>
      <c r="F484" s="4"/>
      <c r="G484" s="4"/>
      <c r="H484" s="52"/>
      <c r="I484" s="4"/>
      <c r="J484" s="52"/>
      <c r="K484" s="52"/>
      <c r="L484" s="52"/>
      <c r="M484" s="52"/>
      <c r="N484" s="52"/>
      <c r="O484" s="52"/>
      <c r="P484" s="52"/>
      <c r="Q484" s="52"/>
      <c r="R484" s="4"/>
      <c r="S484" s="4"/>
      <c r="T484" s="4"/>
      <c r="U484" s="74"/>
      <c r="V484" s="3"/>
      <c r="W484" s="3"/>
      <c r="X484" s="3"/>
      <c r="Y484" s="3"/>
      <c r="Z484" s="58"/>
      <c r="AA484" s="3"/>
      <c r="AB484" s="3"/>
      <c r="AC484" s="4"/>
      <c r="AD484" s="4"/>
      <c r="AE484" s="4"/>
      <c r="AF484" s="4"/>
      <c r="AG484" s="4"/>
      <c r="AH484" s="4"/>
      <c r="AI484" s="4"/>
    </row>
    <row r="485">
      <c r="A485" s="57"/>
      <c r="B485" s="4"/>
      <c r="C485" s="4"/>
      <c r="D485" s="4"/>
      <c r="E485" s="4"/>
      <c r="F485" s="4"/>
      <c r="G485" s="4"/>
      <c r="H485" s="52"/>
      <c r="I485" s="4"/>
      <c r="J485" s="52"/>
      <c r="K485" s="52"/>
      <c r="L485" s="52"/>
      <c r="M485" s="52"/>
      <c r="N485" s="52"/>
      <c r="O485" s="52"/>
      <c r="P485" s="52"/>
      <c r="Q485" s="52"/>
      <c r="R485" s="4"/>
      <c r="S485" s="4"/>
      <c r="T485" s="4"/>
      <c r="U485" s="74"/>
      <c r="V485" s="3"/>
      <c r="W485" s="3"/>
      <c r="X485" s="3"/>
      <c r="Y485" s="3"/>
      <c r="Z485" s="58"/>
      <c r="AA485" s="3"/>
      <c r="AB485" s="3"/>
      <c r="AC485" s="4"/>
      <c r="AD485" s="4"/>
      <c r="AE485" s="4"/>
      <c r="AF485" s="4"/>
      <c r="AG485" s="4"/>
      <c r="AH485" s="4"/>
      <c r="AI485" s="4"/>
    </row>
    <row r="486">
      <c r="A486" s="57"/>
      <c r="B486" s="4"/>
      <c r="C486" s="4"/>
      <c r="D486" s="4"/>
      <c r="E486" s="4"/>
      <c r="F486" s="4"/>
      <c r="G486" s="4"/>
      <c r="H486" s="52"/>
      <c r="I486" s="4"/>
      <c r="J486" s="52"/>
      <c r="K486" s="52"/>
      <c r="L486" s="52"/>
      <c r="M486" s="52"/>
      <c r="N486" s="52"/>
      <c r="O486" s="52"/>
      <c r="P486" s="52"/>
      <c r="Q486" s="52"/>
      <c r="R486" s="4"/>
      <c r="S486" s="4"/>
      <c r="T486" s="4"/>
      <c r="U486" s="74"/>
      <c r="V486" s="3"/>
      <c r="W486" s="3"/>
      <c r="X486" s="3"/>
      <c r="Y486" s="3"/>
      <c r="Z486" s="58"/>
      <c r="AA486" s="3"/>
      <c r="AB486" s="3"/>
      <c r="AC486" s="4"/>
      <c r="AD486" s="4"/>
      <c r="AE486" s="4"/>
      <c r="AF486" s="4"/>
      <c r="AG486" s="4"/>
      <c r="AH486" s="4"/>
      <c r="AI486" s="4"/>
    </row>
    <row r="487">
      <c r="A487" s="57"/>
      <c r="B487" s="4"/>
      <c r="C487" s="4"/>
      <c r="D487" s="4"/>
      <c r="E487" s="4"/>
      <c r="F487" s="4"/>
      <c r="G487" s="4"/>
      <c r="H487" s="52"/>
      <c r="I487" s="4"/>
      <c r="J487" s="52"/>
      <c r="K487" s="52"/>
      <c r="L487" s="52"/>
      <c r="M487" s="52"/>
      <c r="N487" s="52"/>
      <c r="O487" s="52"/>
      <c r="P487" s="52"/>
      <c r="Q487" s="52"/>
      <c r="R487" s="4"/>
      <c r="S487" s="4"/>
      <c r="T487" s="4"/>
      <c r="U487" s="74"/>
      <c r="V487" s="3"/>
      <c r="W487" s="3"/>
      <c r="X487" s="3"/>
      <c r="Y487" s="3"/>
      <c r="Z487" s="58"/>
      <c r="AA487" s="3"/>
      <c r="AB487" s="3"/>
      <c r="AC487" s="4"/>
      <c r="AD487" s="4"/>
      <c r="AE487" s="4"/>
      <c r="AF487" s="4"/>
      <c r="AG487" s="4"/>
      <c r="AH487" s="4"/>
      <c r="AI487" s="4"/>
    </row>
    <row r="488">
      <c r="A488" s="57"/>
      <c r="B488" s="4"/>
      <c r="C488" s="4"/>
      <c r="D488" s="4"/>
      <c r="E488" s="4"/>
      <c r="F488" s="4"/>
      <c r="G488" s="4"/>
      <c r="H488" s="52"/>
      <c r="I488" s="4"/>
      <c r="J488" s="52"/>
      <c r="K488" s="52"/>
      <c r="L488" s="52"/>
      <c r="M488" s="52"/>
      <c r="N488" s="52"/>
      <c r="O488" s="52"/>
      <c r="P488" s="52"/>
      <c r="Q488" s="52"/>
      <c r="R488" s="4"/>
      <c r="S488" s="4"/>
      <c r="T488" s="4"/>
      <c r="U488" s="74"/>
      <c r="V488" s="3"/>
      <c r="W488" s="3"/>
      <c r="X488" s="3"/>
      <c r="Y488" s="3"/>
      <c r="Z488" s="58"/>
      <c r="AA488" s="3"/>
      <c r="AB488" s="3"/>
      <c r="AC488" s="4"/>
      <c r="AD488" s="4"/>
      <c r="AE488" s="4"/>
      <c r="AF488" s="4"/>
      <c r="AG488" s="4"/>
      <c r="AH488" s="4"/>
      <c r="AI488" s="4"/>
    </row>
    <row r="489">
      <c r="A489" s="57"/>
      <c r="B489" s="4"/>
      <c r="C489" s="4"/>
      <c r="D489" s="4"/>
      <c r="E489" s="4"/>
      <c r="F489" s="4"/>
      <c r="G489" s="4"/>
      <c r="H489" s="52"/>
      <c r="I489" s="4"/>
      <c r="J489" s="52"/>
      <c r="K489" s="52"/>
      <c r="L489" s="52"/>
      <c r="M489" s="52"/>
      <c r="N489" s="52"/>
      <c r="O489" s="52"/>
      <c r="P489" s="52"/>
      <c r="Q489" s="52"/>
      <c r="R489" s="4"/>
      <c r="S489" s="4"/>
      <c r="T489" s="4"/>
      <c r="U489" s="74"/>
      <c r="V489" s="3"/>
      <c r="W489" s="3"/>
      <c r="X489" s="3"/>
      <c r="Y489" s="3"/>
      <c r="Z489" s="58"/>
      <c r="AA489" s="3"/>
      <c r="AB489" s="3"/>
      <c r="AC489" s="4"/>
      <c r="AD489" s="4"/>
      <c r="AE489" s="4"/>
      <c r="AF489" s="4"/>
      <c r="AG489" s="4"/>
      <c r="AH489" s="4"/>
      <c r="AI489" s="4"/>
    </row>
    <row r="490">
      <c r="A490" s="57"/>
      <c r="B490" s="4"/>
      <c r="C490" s="4"/>
      <c r="D490" s="4"/>
      <c r="E490" s="4"/>
      <c r="F490" s="4"/>
      <c r="G490" s="4"/>
      <c r="H490" s="52"/>
      <c r="I490" s="4"/>
      <c r="J490" s="52"/>
      <c r="K490" s="52"/>
      <c r="L490" s="52"/>
      <c r="M490" s="52"/>
      <c r="N490" s="52"/>
      <c r="O490" s="52"/>
      <c r="P490" s="52"/>
      <c r="Q490" s="52"/>
      <c r="R490" s="4"/>
      <c r="S490" s="4"/>
      <c r="T490" s="4"/>
      <c r="U490" s="74"/>
      <c r="V490" s="3"/>
      <c r="W490" s="3"/>
      <c r="X490" s="3"/>
      <c r="Y490" s="3"/>
      <c r="Z490" s="58"/>
      <c r="AA490" s="3"/>
      <c r="AB490" s="3"/>
      <c r="AC490" s="4"/>
      <c r="AD490" s="4"/>
      <c r="AE490" s="4"/>
      <c r="AF490" s="4"/>
      <c r="AG490" s="4"/>
      <c r="AH490" s="4"/>
      <c r="AI490" s="4"/>
    </row>
    <row r="491">
      <c r="A491" s="57"/>
      <c r="B491" s="4"/>
      <c r="C491" s="4"/>
      <c r="D491" s="4"/>
      <c r="E491" s="4"/>
      <c r="F491" s="4"/>
      <c r="G491" s="4"/>
      <c r="H491" s="52"/>
      <c r="I491" s="4"/>
      <c r="J491" s="52"/>
      <c r="K491" s="52"/>
      <c r="L491" s="52"/>
      <c r="M491" s="52"/>
      <c r="N491" s="52"/>
      <c r="O491" s="52"/>
      <c r="P491" s="52"/>
      <c r="Q491" s="52"/>
      <c r="R491" s="4"/>
      <c r="S491" s="4"/>
      <c r="T491" s="4"/>
      <c r="U491" s="74"/>
      <c r="V491" s="3"/>
      <c r="W491" s="3"/>
      <c r="X491" s="3"/>
      <c r="Y491" s="3"/>
      <c r="Z491" s="58"/>
      <c r="AA491" s="3"/>
      <c r="AB491" s="3"/>
      <c r="AC491" s="4"/>
      <c r="AD491" s="4"/>
      <c r="AE491" s="4"/>
      <c r="AF491" s="4"/>
      <c r="AG491" s="4"/>
      <c r="AH491" s="4"/>
      <c r="AI491" s="4"/>
    </row>
    <row r="492">
      <c r="A492" s="57"/>
      <c r="B492" s="4"/>
      <c r="C492" s="4"/>
      <c r="D492" s="4"/>
      <c r="E492" s="4"/>
      <c r="F492" s="4"/>
      <c r="G492" s="4"/>
      <c r="H492" s="52"/>
      <c r="I492" s="4"/>
      <c r="J492" s="52"/>
      <c r="K492" s="52"/>
      <c r="L492" s="52"/>
      <c r="M492" s="52"/>
      <c r="N492" s="52"/>
      <c r="O492" s="52"/>
      <c r="P492" s="52"/>
      <c r="Q492" s="52"/>
      <c r="R492" s="4"/>
      <c r="S492" s="4"/>
      <c r="T492" s="4"/>
      <c r="U492" s="74"/>
      <c r="V492" s="3"/>
      <c r="W492" s="3"/>
      <c r="X492" s="3"/>
      <c r="Y492" s="3"/>
      <c r="Z492" s="58"/>
      <c r="AA492" s="3"/>
      <c r="AB492" s="3"/>
      <c r="AC492" s="4"/>
      <c r="AD492" s="4"/>
      <c r="AE492" s="4"/>
      <c r="AF492" s="4"/>
      <c r="AG492" s="4"/>
      <c r="AH492" s="4"/>
      <c r="AI492" s="4"/>
    </row>
    <row r="493">
      <c r="A493" s="57"/>
      <c r="B493" s="4"/>
      <c r="C493" s="4"/>
      <c r="D493" s="4"/>
      <c r="E493" s="4"/>
      <c r="F493" s="4"/>
      <c r="G493" s="4"/>
      <c r="H493" s="52"/>
      <c r="I493" s="4"/>
      <c r="J493" s="52"/>
      <c r="K493" s="52"/>
      <c r="L493" s="52"/>
      <c r="M493" s="52"/>
      <c r="N493" s="52"/>
      <c r="O493" s="52"/>
      <c r="P493" s="52"/>
      <c r="Q493" s="52"/>
      <c r="R493" s="4"/>
      <c r="S493" s="4"/>
      <c r="T493" s="4"/>
      <c r="U493" s="74"/>
      <c r="V493" s="3"/>
      <c r="W493" s="3"/>
      <c r="X493" s="3"/>
      <c r="Y493" s="3"/>
      <c r="Z493" s="58"/>
      <c r="AA493" s="3"/>
      <c r="AB493" s="3"/>
      <c r="AC493" s="4"/>
      <c r="AD493" s="4"/>
      <c r="AE493" s="4"/>
      <c r="AF493" s="4"/>
      <c r="AG493" s="4"/>
      <c r="AH493" s="4"/>
      <c r="AI493" s="4"/>
    </row>
    <row r="494">
      <c r="A494" s="57"/>
      <c r="B494" s="4"/>
      <c r="C494" s="4"/>
      <c r="D494" s="4"/>
      <c r="E494" s="4"/>
      <c r="F494" s="4"/>
      <c r="G494" s="4"/>
      <c r="H494" s="52"/>
      <c r="I494" s="4"/>
      <c r="J494" s="52"/>
      <c r="K494" s="52"/>
      <c r="L494" s="52"/>
      <c r="M494" s="52"/>
      <c r="N494" s="52"/>
      <c r="O494" s="52"/>
      <c r="P494" s="52"/>
      <c r="Q494" s="52"/>
      <c r="R494" s="4"/>
      <c r="S494" s="4"/>
      <c r="T494" s="4"/>
      <c r="U494" s="74"/>
      <c r="V494" s="3"/>
      <c r="W494" s="3"/>
      <c r="X494" s="3"/>
      <c r="Y494" s="3"/>
      <c r="Z494" s="58"/>
      <c r="AA494" s="3"/>
      <c r="AB494" s="3"/>
      <c r="AC494" s="4"/>
      <c r="AD494" s="4"/>
      <c r="AE494" s="4"/>
      <c r="AF494" s="4"/>
      <c r="AG494" s="4"/>
      <c r="AH494" s="4"/>
      <c r="AI494" s="4"/>
    </row>
    <row r="495">
      <c r="A495" s="57"/>
      <c r="B495" s="4"/>
      <c r="C495" s="4"/>
      <c r="D495" s="4"/>
      <c r="E495" s="4"/>
      <c r="F495" s="4"/>
      <c r="G495" s="4"/>
      <c r="H495" s="52"/>
      <c r="I495" s="4"/>
      <c r="J495" s="52"/>
      <c r="K495" s="52"/>
      <c r="L495" s="52"/>
      <c r="M495" s="52"/>
      <c r="N495" s="52"/>
      <c r="O495" s="52"/>
      <c r="P495" s="52"/>
      <c r="Q495" s="52"/>
      <c r="R495" s="4"/>
      <c r="S495" s="4"/>
      <c r="T495" s="4"/>
      <c r="U495" s="74"/>
      <c r="V495" s="3"/>
      <c r="W495" s="3"/>
      <c r="X495" s="3"/>
      <c r="Y495" s="3"/>
      <c r="Z495" s="58"/>
      <c r="AA495" s="3"/>
      <c r="AB495" s="3"/>
      <c r="AC495" s="4"/>
      <c r="AD495" s="4"/>
      <c r="AE495" s="4"/>
      <c r="AF495" s="4"/>
      <c r="AG495" s="4"/>
      <c r="AH495" s="4"/>
      <c r="AI495" s="4"/>
    </row>
    <row r="496">
      <c r="A496" s="57"/>
      <c r="B496" s="4"/>
      <c r="C496" s="4"/>
      <c r="D496" s="4"/>
      <c r="E496" s="4"/>
      <c r="F496" s="4"/>
      <c r="G496" s="4"/>
      <c r="H496" s="52"/>
      <c r="I496" s="4"/>
      <c r="J496" s="52"/>
      <c r="K496" s="52"/>
      <c r="L496" s="52"/>
      <c r="M496" s="52"/>
      <c r="N496" s="52"/>
      <c r="O496" s="52"/>
      <c r="P496" s="52"/>
      <c r="Q496" s="52"/>
      <c r="R496" s="4"/>
      <c r="S496" s="4"/>
      <c r="T496" s="4"/>
      <c r="U496" s="74"/>
      <c r="V496" s="3"/>
      <c r="W496" s="3"/>
      <c r="X496" s="3"/>
      <c r="Y496" s="3"/>
      <c r="Z496" s="58"/>
      <c r="AA496" s="3"/>
      <c r="AB496" s="3"/>
      <c r="AC496" s="4"/>
      <c r="AD496" s="4"/>
      <c r="AE496" s="4"/>
      <c r="AF496" s="4"/>
      <c r="AG496" s="4"/>
      <c r="AH496" s="4"/>
      <c r="AI496" s="4"/>
    </row>
    <row r="497">
      <c r="A497" s="57"/>
      <c r="B497" s="4"/>
      <c r="C497" s="4"/>
      <c r="D497" s="4"/>
      <c r="E497" s="4"/>
      <c r="F497" s="4"/>
      <c r="G497" s="4"/>
      <c r="H497" s="52"/>
      <c r="I497" s="4"/>
      <c r="J497" s="52"/>
      <c r="K497" s="52"/>
      <c r="L497" s="52"/>
      <c r="M497" s="52"/>
      <c r="N497" s="52"/>
      <c r="O497" s="52"/>
      <c r="P497" s="52"/>
      <c r="Q497" s="52"/>
      <c r="R497" s="4"/>
      <c r="S497" s="4"/>
      <c r="T497" s="4"/>
      <c r="U497" s="74"/>
      <c r="V497" s="3"/>
      <c r="W497" s="3"/>
      <c r="X497" s="3"/>
      <c r="Y497" s="3"/>
      <c r="Z497" s="58"/>
      <c r="AA497" s="3"/>
      <c r="AB497" s="3"/>
      <c r="AC497" s="4"/>
      <c r="AD497" s="4"/>
      <c r="AE497" s="4"/>
      <c r="AF497" s="4"/>
      <c r="AG497" s="4"/>
      <c r="AH497" s="4"/>
      <c r="AI497" s="4"/>
    </row>
    <row r="498">
      <c r="A498" s="57"/>
      <c r="B498" s="4"/>
      <c r="C498" s="4"/>
      <c r="D498" s="4"/>
      <c r="E498" s="4"/>
      <c r="F498" s="4"/>
      <c r="G498" s="4"/>
      <c r="H498" s="52"/>
      <c r="I498" s="4"/>
      <c r="J498" s="52"/>
      <c r="K498" s="52"/>
      <c r="L498" s="52"/>
      <c r="M498" s="52"/>
      <c r="N498" s="52"/>
      <c r="O498" s="52"/>
      <c r="P498" s="52"/>
      <c r="Q498" s="52"/>
      <c r="R498" s="4"/>
      <c r="S498" s="4"/>
      <c r="T498" s="4"/>
      <c r="U498" s="74"/>
      <c r="V498" s="3"/>
      <c r="W498" s="3"/>
      <c r="X498" s="3"/>
      <c r="Y498" s="3"/>
      <c r="Z498" s="58"/>
      <c r="AA498" s="3"/>
      <c r="AB498" s="3"/>
      <c r="AC498" s="4"/>
      <c r="AD498" s="4"/>
      <c r="AE498" s="4"/>
      <c r="AF498" s="4"/>
      <c r="AG498" s="4"/>
      <c r="AH498" s="4"/>
      <c r="AI498" s="4"/>
    </row>
    <row r="499">
      <c r="A499" s="57"/>
      <c r="B499" s="4"/>
      <c r="C499" s="4"/>
      <c r="D499" s="4"/>
      <c r="E499" s="4"/>
      <c r="F499" s="4"/>
      <c r="G499" s="4"/>
      <c r="H499" s="52"/>
      <c r="I499" s="4"/>
      <c r="J499" s="52"/>
      <c r="K499" s="52"/>
      <c r="L499" s="52"/>
      <c r="M499" s="52"/>
      <c r="N499" s="52"/>
      <c r="O499" s="52"/>
      <c r="P499" s="52"/>
      <c r="Q499" s="52"/>
      <c r="R499" s="4"/>
      <c r="S499" s="4"/>
      <c r="T499" s="4"/>
      <c r="U499" s="74"/>
      <c r="V499" s="3"/>
      <c r="W499" s="3"/>
      <c r="X499" s="3"/>
      <c r="Y499" s="3"/>
      <c r="Z499" s="58"/>
      <c r="AA499" s="3"/>
      <c r="AB499" s="3"/>
      <c r="AC499" s="4"/>
      <c r="AD499" s="4"/>
      <c r="AE499" s="4"/>
      <c r="AF499" s="4"/>
      <c r="AG499" s="4"/>
      <c r="AH499" s="4"/>
      <c r="AI499" s="4"/>
    </row>
    <row r="500">
      <c r="A500" s="57"/>
      <c r="B500" s="4"/>
      <c r="C500" s="4"/>
      <c r="D500" s="4"/>
      <c r="E500" s="4"/>
      <c r="F500" s="4"/>
      <c r="G500" s="4"/>
      <c r="H500" s="52"/>
      <c r="I500" s="4"/>
      <c r="J500" s="52"/>
      <c r="K500" s="52"/>
      <c r="L500" s="52"/>
      <c r="M500" s="52"/>
      <c r="N500" s="52"/>
      <c r="O500" s="52"/>
      <c r="P500" s="52"/>
      <c r="Q500" s="52"/>
      <c r="R500" s="4"/>
      <c r="S500" s="4"/>
      <c r="T500" s="4"/>
      <c r="U500" s="74"/>
      <c r="V500" s="3"/>
      <c r="W500" s="3"/>
      <c r="X500" s="3"/>
      <c r="Y500" s="3"/>
      <c r="Z500" s="58"/>
      <c r="AA500" s="3"/>
      <c r="AB500" s="3"/>
      <c r="AC500" s="4"/>
      <c r="AD500" s="4"/>
      <c r="AE500" s="4"/>
      <c r="AF500" s="4"/>
      <c r="AG500" s="4"/>
      <c r="AH500" s="4"/>
      <c r="AI500" s="4"/>
    </row>
    <row r="501">
      <c r="A501" s="57"/>
      <c r="B501" s="4"/>
      <c r="C501" s="4"/>
      <c r="D501" s="4"/>
      <c r="E501" s="4"/>
      <c r="F501" s="4"/>
      <c r="G501" s="4"/>
      <c r="H501" s="52"/>
      <c r="I501" s="4"/>
      <c r="J501" s="52"/>
      <c r="K501" s="52"/>
      <c r="L501" s="52"/>
      <c r="M501" s="52"/>
      <c r="N501" s="52"/>
      <c r="O501" s="52"/>
      <c r="P501" s="52"/>
      <c r="Q501" s="52"/>
      <c r="R501" s="4"/>
      <c r="S501" s="4"/>
      <c r="T501" s="4"/>
      <c r="U501" s="74"/>
      <c r="V501" s="3"/>
      <c r="W501" s="3"/>
      <c r="X501" s="3"/>
      <c r="Y501" s="3"/>
      <c r="Z501" s="58"/>
      <c r="AA501" s="3"/>
      <c r="AB501" s="3"/>
      <c r="AC501" s="4"/>
      <c r="AD501" s="4"/>
      <c r="AE501" s="4"/>
      <c r="AF501" s="4"/>
      <c r="AG501" s="4"/>
      <c r="AH501" s="4"/>
      <c r="AI501" s="4"/>
    </row>
    <row r="502">
      <c r="A502" s="57"/>
      <c r="B502" s="4"/>
      <c r="C502" s="4"/>
      <c r="D502" s="4"/>
      <c r="E502" s="4"/>
      <c r="F502" s="4"/>
      <c r="G502" s="4"/>
      <c r="H502" s="52"/>
      <c r="I502" s="4"/>
      <c r="J502" s="52"/>
      <c r="K502" s="52"/>
      <c r="L502" s="52"/>
      <c r="M502" s="52"/>
      <c r="N502" s="52"/>
      <c r="O502" s="52"/>
      <c r="P502" s="52"/>
      <c r="Q502" s="52"/>
      <c r="R502" s="4"/>
      <c r="S502" s="4"/>
      <c r="T502" s="4"/>
      <c r="U502" s="74"/>
      <c r="V502" s="3"/>
      <c r="W502" s="3"/>
      <c r="X502" s="3"/>
      <c r="Y502" s="3"/>
      <c r="Z502" s="58"/>
      <c r="AA502" s="3"/>
      <c r="AB502" s="3"/>
      <c r="AC502" s="4"/>
      <c r="AD502" s="4"/>
      <c r="AE502" s="4"/>
      <c r="AF502" s="4"/>
      <c r="AG502" s="4"/>
      <c r="AH502" s="4"/>
      <c r="AI502" s="4"/>
    </row>
    <row r="503">
      <c r="A503" s="57"/>
      <c r="B503" s="4"/>
      <c r="C503" s="4"/>
      <c r="D503" s="4"/>
      <c r="E503" s="4"/>
      <c r="F503" s="4"/>
      <c r="G503" s="4"/>
      <c r="H503" s="52"/>
      <c r="I503" s="4"/>
      <c r="J503" s="52"/>
      <c r="K503" s="52"/>
      <c r="L503" s="52"/>
      <c r="M503" s="52"/>
      <c r="N503" s="52"/>
      <c r="O503" s="52"/>
      <c r="P503" s="52"/>
      <c r="Q503" s="52"/>
      <c r="R503" s="4"/>
      <c r="S503" s="4"/>
      <c r="T503" s="4"/>
      <c r="U503" s="74"/>
      <c r="V503" s="3"/>
      <c r="W503" s="3"/>
      <c r="X503" s="3"/>
      <c r="Y503" s="3"/>
      <c r="Z503" s="58"/>
      <c r="AA503" s="3"/>
      <c r="AB503" s="3"/>
      <c r="AC503" s="4"/>
      <c r="AD503" s="4"/>
      <c r="AE503" s="4"/>
      <c r="AF503" s="4"/>
      <c r="AG503" s="4"/>
      <c r="AH503" s="4"/>
      <c r="AI503" s="4"/>
    </row>
    <row r="504">
      <c r="A504" s="57"/>
      <c r="B504" s="4"/>
      <c r="C504" s="4"/>
      <c r="D504" s="4"/>
      <c r="E504" s="4"/>
      <c r="F504" s="4"/>
      <c r="G504" s="4"/>
      <c r="H504" s="52"/>
      <c r="I504" s="4"/>
      <c r="J504" s="52"/>
      <c r="K504" s="52"/>
      <c r="L504" s="52"/>
      <c r="M504" s="52"/>
      <c r="N504" s="52"/>
      <c r="O504" s="52"/>
      <c r="P504" s="52"/>
      <c r="Q504" s="52"/>
      <c r="R504" s="4"/>
      <c r="S504" s="4"/>
      <c r="T504" s="4"/>
      <c r="U504" s="74"/>
      <c r="V504" s="3"/>
      <c r="W504" s="3"/>
      <c r="X504" s="3"/>
      <c r="Y504" s="3"/>
      <c r="Z504" s="58"/>
      <c r="AA504" s="3"/>
      <c r="AB504" s="3"/>
      <c r="AC504" s="4"/>
      <c r="AD504" s="4"/>
      <c r="AE504" s="4"/>
      <c r="AF504" s="4"/>
      <c r="AG504" s="4"/>
      <c r="AH504" s="4"/>
      <c r="AI504" s="4"/>
    </row>
    <row r="505">
      <c r="A505" s="57"/>
      <c r="B505" s="4"/>
      <c r="C505" s="4"/>
      <c r="D505" s="4"/>
      <c r="E505" s="4"/>
      <c r="F505" s="4"/>
      <c r="G505" s="4"/>
      <c r="H505" s="52"/>
      <c r="I505" s="4"/>
      <c r="J505" s="52"/>
      <c r="K505" s="52"/>
      <c r="L505" s="52"/>
      <c r="M505" s="52"/>
      <c r="N505" s="52"/>
      <c r="O505" s="52"/>
      <c r="P505" s="52"/>
      <c r="Q505" s="52"/>
      <c r="R505" s="4"/>
      <c r="S505" s="4"/>
      <c r="T505" s="4"/>
      <c r="U505" s="74"/>
      <c r="V505" s="3"/>
      <c r="W505" s="3"/>
      <c r="X505" s="3"/>
      <c r="Y505" s="3"/>
      <c r="Z505" s="58"/>
      <c r="AA505" s="3"/>
      <c r="AB505" s="3"/>
      <c r="AC505" s="4"/>
      <c r="AD505" s="4"/>
      <c r="AE505" s="4"/>
      <c r="AF505" s="4"/>
      <c r="AG505" s="4"/>
      <c r="AH505" s="4"/>
      <c r="AI505" s="4"/>
    </row>
    <row r="506">
      <c r="A506" s="57"/>
      <c r="B506" s="4"/>
      <c r="C506" s="4"/>
      <c r="D506" s="4"/>
      <c r="E506" s="4"/>
      <c r="F506" s="4"/>
      <c r="G506" s="4"/>
      <c r="H506" s="52"/>
      <c r="I506" s="4"/>
      <c r="J506" s="52"/>
      <c r="K506" s="52"/>
      <c r="L506" s="52"/>
      <c r="M506" s="52"/>
      <c r="N506" s="52"/>
      <c r="O506" s="52"/>
      <c r="P506" s="52"/>
      <c r="Q506" s="52"/>
      <c r="R506" s="4"/>
      <c r="S506" s="4"/>
      <c r="T506" s="4"/>
      <c r="U506" s="74"/>
      <c r="V506" s="3"/>
      <c r="W506" s="3"/>
      <c r="X506" s="3"/>
      <c r="Y506" s="3"/>
      <c r="Z506" s="58"/>
      <c r="AA506" s="3"/>
      <c r="AB506" s="3"/>
      <c r="AC506" s="4"/>
      <c r="AD506" s="4"/>
      <c r="AE506" s="4"/>
      <c r="AF506" s="4"/>
      <c r="AG506" s="4"/>
      <c r="AH506" s="4"/>
      <c r="AI506" s="4"/>
    </row>
    <row r="507">
      <c r="A507" s="57"/>
      <c r="B507" s="4"/>
      <c r="C507" s="4"/>
      <c r="D507" s="4"/>
      <c r="E507" s="4"/>
      <c r="F507" s="4"/>
      <c r="G507" s="4"/>
      <c r="H507" s="52"/>
      <c r="I507" s="4"/>
      <c r="J507" s="52"/>
      <c r="K507" s="52"/>
      <c r="L507" s="52"/>
      <c r="M507" s="52"/>
      <c r="N507" s="52"/>
      <c r="O507" s="52"/>
      <c r="P507" s="52"/>
      <c r="Q507" s="52"/>
      <c r="R507" s="4"/>
      <c r="S507" s="4"/>
      <c r="T507" s="4"/>
      <c r="U507" s="74"/>
      <c r="V507" s="3"/>
      <c r="W507" s="3"/>
      <c r="X507" s="3"/>
      <c r="Y507" s="3"/>
      <c r="Z507" s="58"/>
      <c r="AA507" s="3"/>
      <c r="AB507" s="3"/>
      <c r="AC507" s="4"/>
      <c r="AD507" s="4"/>
      <c r="AE507" s="4"/>
      <c r="AF507" s="4"/>
      <c r="AG507" s="4"/>
      <c r="AH507" s="4"/>
      <c r="AI507" s="4"/>
    </row>
    <row r="508">
      <c r="A508" s="57"/>
      <c r="B508" s="4"/>
      <c r="C508" s="4"/>
      <c r="D508" s="4"/>
      <c r="E508" s="4"/>
      <c r="F508" s="4"/>
      <c r="G508" s="4"/>
      <c r="H508" s="52"/>
      <c r="I508" s="4"/>
      <c r="J508" s="52"/>
      <c r="K508" s="52"/>
      <c r="L508" s="52"/>
      <c r="M508" s="52"/>
      <c r="N508" s="52"/>
      <c r="O508" s="52"/>
      <c r="P508" s="52"/>
      <c r="Q508" s="52"/>
      <c r="R508" s="4"/>
      <c r="S508" s="4"/>
      <c r="T508" s="4"/>
      <c r="U508" s="74"/>
      <c r="V508" s="3"/>
      <c r="W508" s="3"/>
      <c r="X508" s="3"/>
      <c r="Y508" s="3"/>
      <c r="Z508" s="58"/>
      <c r="AA508" s="3"/>
      <c r="AB508" s="3"/>
      <c r="AC508" s="4"/>
      <c r="AD508" s="4"/>
      <c r="AE508" s="4"/>
      <c r="AF508" s="4"/>
      <c r="AG508" s="4"/>
      <c r="AH508" s="4"/>
      <c r="AI508" s="4"/>
    </row>
    <row r="509">
      <c r="A509" s="57"/>
      <c r="B509" s="4"/>
      <c r="C509" s="4"/>
      <c r="D509" s="4"/>
      <c r="E509" s="4"/>
      <c r="F509" s="4"/>
      <c r="G509" s="4"/>
      <c r="H509" s="52"/>
      <c r="I509" s="4"/>
      <c r="J509" s="52"/>
      <c r="K509" s="52"/>
      <c r="L509" s="52"/>
      <c r="M509" s="52"/>
      <c r="N509" s="52"/>
      <c r="O509" s="52"/>
      <c r="P509" s="52"/>
      <c r="Q509" s="52"/>
      <c r="R509" s="4"/>
      <c r="S509" s="4"/>
      <c r="T509" s="4"/>
      <c r="U509" s="74"/>
      <c r="V509" s="3"/>
      <c r="W509" s="3"/>
      <c r="X509" s="3"/>
      <c r="Y509" s="3"/>
      <c r="Z509" s="58"/>
      <c r="AA509" s="3"/>
      <c r="AB509" s="3"/>
      <c r="AC509" s="4"/>
      <c r="AD509" s="4"/>
      <c r="AE509" s="4"/>
      <c r="AF509" s="4"/>
      <c r="AG509" s="4"/>
      <c r="AH509" s="4"/>
      <c r="AI509" s="4"/>
    </row>
    <row r="510">
      <c r="A510" s="57"/>
      <c r="B510" s="4"/>
      <c r="C510" s="4"/>
      <c r="D510" s="4"/>
      <c r="E510" s="4"/>
      <c r="F510" s="4"/>
      <c r="G510" s="4"/>
      <c r="H510" s="52"/>
      <c r="I510" s="4"/>
      <c r="J510" s="52"/>
      <c r="K510" s="52"/>
      <c r="L510" s="52"/>
      <c r="M510" s="52"/>
      <c r="N510" s="52"/>
      <c r="O510" s="52"/>
      <c r="P510" s="52"/>
      <c r="Q510" s="52"/>
      <c r="R510" s="4"/>
      <c r="S510" s="4"/>
      <c r="T510" s="4"/>
      <c r="U510" s="74"/>
      <c r="V510" s="3"/>
      <c r="W510" s="3"/>
      <c r="X510" s="3"/>
      <c r="Y510" s="3"/>
      <c r="Z510" s="58"/>
      <c r="AA510" s="3"/>
      <c r="AB510" s="3"/>
      <c r="AC510" s="4"/>
      <c r="AD510" s="4"/>
      <c r="AE510" s="4"/>
      <c r="AF510" s="4"/>
      <c r="AG510" s="4"/>
      <c r="AH510" s="4"/>
      <c r="AI510" s="4"/>
    </row>
    <row r="511">
      <c r="A511" s="57"/>
      <c r="B511" s="4"/>
      <c r="C511" s="4"/>
      <c r="D511" s="4"/>
      <c r="E511" s="4"/>
      <c r="F511" s="4"/>
      <c r="G511" s="4"/>
      <c r="H511" s="52"/>
      <c r="I511" s="4"/>
      <c r="J511" s="52"/>
      <c r="K511" s="52"/>
      <c r="L511" s="52"/>
      <c r="M511" s="52"/>
      <c r="N511" s="52"/>
      <c r="O511" s="52"/>
      <c r="P511" s="52"/>
      <c r="Q511" s="52"/>
      <c r="R511" s="4"/>
      <c r="S511" s="4"/>
      <c r="T511" s="4"/>
      <c r="U511" s="74"/>
      <c r="V511" s="3"/>
      <c r="W511" s="3"/>
      <c r="X511" s="3"/>
      <c r="Y511" s="3"/>
      <c r="Z511" s="58"/>
      <c r="AA511" s="3"/>
      <c r="AB511" s="3"/>
      <c r="AC511" s="4"/>
      <c r="AD511" s="4"/>
      <c r="AE511" s="4"/>
      <c r="AF511" s="4"/>
      <c r="AG511" s="4"/>
      <c r="AH511" s="4"/>
      <c r="AI511" s="4"/>
    </row>
    <row r="512">
      <c r="A512" s="57"/>
      <c r="B512" s="4"/>
      <c r="C512" s="4"/>
      <c r="D512" s="4"/>
      <c r="E512" s="4"/>
      <c r="F512" s="4"/>
      <c r="G512" s="4"/>
      <c r="H512" s="52"/>
      <c r="I512" s="4"/>
      <c r="J512" s="52"/>
      <c r="K512" s="52"/>
      <c r="L512" s="52"/>
      <c r="M512" s="52"/>
      <c r="N512" s="52"/>
      <c r="O512" s="52"/>
      <c r="P512" s="52"/>
      <c r="Q512" s="52"/>
      <c r="R512" s="4"/>
      <c r="S512" s="4"/>
      <c r="T512" s="4"/>
      <c r="U512" s="74"/>
      <c r="V512" s="3"/>
      <c r="W512" s="3"/>
      <c r="X512" s="3"/>
      <c r="Y512" s="3"/>
      <c r="Z512" s="58"/>
      <c r="AA512" s="3"/>
      <c r="AB512" s="3"/>
      <c r="AC512" s="4"/>
      <c r="AD512" s="4"/>
      <c r="AE512" s="4"/>
      <c r="AF512" s="4"/>
      <c r="AG512" s="4"/>
      <c r="AH512" s="4"/>
      <c r="AI512" s="4"/>
    </row>
    <row r="513">
      <c r="A513" s="57"/>
      <c r="B513" s="4"/>
      <c r="C513" s="4"/>
      <c r="D513" s="4"/>
      <c r="E513" s="4"/>
      <c r="F513" s="4"/>
      <c r="G513" s="4"/>
      <c r="H513" s="52"/>
      <c r="I513" s="4"/>
      <c r="J513" s="52"/>
      <c r="K513" s="52"/>
      <c r="L513" s="52"/>
      <c r="M513" s="52"/>
      <c r="N513" s="52"/>
      <c r="O513" s="52"/>
      <c r="P513" s="52"/>
      <c r="Q513" s="52"/>
      <c r="R513" s="4"/>
      <c r="S513" s="4"/>
      <c r="T513" s="4"/>
      <c r="U513" s="74"/>
      <c r="V513" s="3"/>
      <c r="W513" s="3"/>
      <c r="X513" s="3"/>
      <c r="Y513" s="3"/>
      <c r="Z513" s="58"/>
      <c r="AA513" s="3"/>
      <c r="AB513" s="3"/>
      <c r="AC513" s="4"/>
      <c r="AD513" s="4"/>
      <c r="AE513" s="4"/>
      <c r="AF513" s="4"/>
      <c r="AG513" s="4"/>
      <c r="AH513" s="4"/>
      <c r="AI513" s="4"/>
    </row>
    <row r="514">
      <c r="A514" s="57"/>
      <c r="B514" s="4"/>
      <c r="C514" s="4"/>
      <c r="D514" s="4"/>
      <c r="E514" s="4"/>
      <c r="F514" s="4"/>
      <c r="G514" s="4"/>
      <c r="H514" s="52"/>
      <c r="I514" s="4"/>
      <c r="J514" s="52"/>
      <c r="K514" s="52"/>
      <c r="L514" s="52"/>
      <c r="M514" s="52"/>
      <c r="N514" s="52"/>
      <c r="O514" s="52"/>
      <c r="P514" s="52"/>
      <c r="Q514" s="52"/>
      <c r="R514" s="4"/>
      <c r="S514" s="4"/>
      <c r="T514" s="4"/>
      <c r="U514" s="74"/>
      <c r="V514" s="3"/>
      <c r="W514" s="3"/>
      <c r="X514" s="3"/>
      <c r="Y514" s="3"/>
      <c r="Z514" s="58"/>
      <c r="AA514" s="3"/>
      <c r="AB514" s="3"/>
      <c r="AC514" s="4"/>
      <c r="AD514" s="4"/>
      <c r="AE514" s="4"/>
      <c r="AF514" s="4"/>
      <c r="AG514" s="4"/>
      <c r="AH514" s="4"/>
      <c r="AI514" s="4"/>
    </row>
    <row r="515">
      <c r="A515" s="57"/>
      <c r="B515" s="4"/>
      <c r="C515" s="4"/>
      <c r="D515" s="4"/>
      <c r="E515" s="4"/>
      <c r="F515" s="4"/>
      <c r="G515" s="4"/>
      <c r="H515" s="52"/>
      <c r="I515" s="4"/>
      <c r="J515" s="52"/>
      <c r="K515" s="52"/>
      <c r="L515" s="52"/>
      <c r="M515" s="52"/>
      <c r="N515" s="52"/>
      <c r="O515" s="52"/>
      <c r="P515" s="52"/>
      <c r="Q515" s="52"/>
      <c r="R515" s="4"/>
      <c r="S515" s="4"/>
      <c r="T515" s="4"/>
      <c r="U515" s="74"/>
      <c r="V515" s="3"/>
      <c r="W515" s="3"/>
      <c r="X515" s="3"/>
      <c r="Y515" s="3"/>
      <c r="Z515" s="58"/>
      <c r="AA515" s="3"/>
      <c r="AB515" s="3"/>
      <c r="AC515" s="4"/>
      <c r="AD515" s="4"/>
      <c r="AE515" s="4"/>
      <c r="AF515" s="4"/>
      <c r="AG515" s="4"/>
      <c r="AH515" s="4"/>
      <c r="AI515" s="4"/>
    </row>
    <row r="516">
      <c r="A516" s="57"/>
      <c r="B516" s="4"/>
      <c r="C516" s="4"/>
      <c r="D516" s="4"/>
      <c r="E516" s="4"/>
      <c r="F516" s="4"/>
      <c r="G516" s="4"/>
      <c r="H516" s="52"/>
      <c r="I516" s="4"/>
      <c r="J516" s="52"/>
      <c r="K516" s="52"/>
      <c r="L516" s="52"/>
      <c r="M516" s="52"/>
      <c r="N516" s="52"/>
      <c r="O516" s="52"/>
      <c r="P516" s="52"/>
      <c r="Q516" s="52"/>
      <c r="R516" s="4"/>
      <c r="S516" s="4"/>
      <c r="T516" s="4"/>
      <c r="U516" s="74"/>
      <c r="V516" s="3"/>
      <c r="W516" s="3"/>
      <c r="X516" s="3"/>
      <c r="Y516" s="3"/>
      <c r="Z516" s="58"/>
      <c r="AA516" s="3"/>
      <c r="AB516" s="3"/>
      <c r="AC516" s="4"/>
      <c r="AD516" s="4"/>
      <c r="AE516" s="4"/>
      <c r="AF516" s="4"/>
      <c r="AG516" s="4"/>
      <c r="AH516" s="4"/>
      <c r="AI516" s="4"/>
    </row>
    <row r="517">
      <c r="A517" s="57"/>
      <c r="B517" s="4"/>
      <c r="C517" s="4"/>
      <c r="D517" s="4"/>
      <c r="E517" s="4"/>
      <c r="F517" s="4"/>
      <c r="G517" s="4"/>
      <c r="H517" s="52"/>
      <c r="I517" s="4"/>
      <c r="J517" s="52"/>
      <c r="K517" s="52"/>
      <c r="L517" s="52"/>
      <c r="M517" s="52"/>
      <c r="N517" s="52"/>
      <c r="O517" s="52"/>
      <c r="P517" s="52"/>
      <c r="Q517" s="52"/>
      <c r="R517" s="4"/>
      <c r="S517" s="4"/>
      <c r="T517" s="4"/>
      <c r="U517" s="74"/>
      <c r="V517" s="3"/>
      <c r="W517" s="3"/>
      <c r="X517" s="3"/>
      <c r="Y517" s="3"/>
      <c r="Z517" s="58"/>
      <c r="AA517" s="3"/>
      <c r="AB517" s="3"/>
      <c r="AC517" s="4"/>
      <c r="AD517" s="4"/>
      <c r="AE517" s="4"/>
      <c r="AF517" s="4"/>
      <c r="AG517" s="4"/>
      <c r="AH517" s="4"/>
      <c r="AI517" s="4"/>
    </row>
    <row r="518">
      <c r="A518" s="57"/>
      <c r="B518" s="4"/>
      <c r="C518" s="4"/>
      <c r="D518" s="4"/>
      <c r="E518" s="4"/>
      <c r="F518" s="4"/>
      <c r="G518" s="4"/>
      <c r="H518" s="52"/>
      <c r="I518" s="4"/>
      <c r="J518" s="52"/>
      <c r="K518" s="52"/>
      <c r="L518" s="52"/>
      <c r="M518" s="52"/>
      <c r="N518" s="52"/>
      <c r="O518" s="52"/>
      <c r="P518" s="52"/>
      <c r="Q518" s="52"/>
      <c r="R518" s="4"/>
      <c r="S518" s="4"/>
      <c r="T518" s="4"/>
      <c r="U518" s="74"/>
      <c r="V518" s="3"/>
      <c r="W518" s="3"/>
      <c r="X518" s="3"/>
      <c r="Y518" s="3"/>
      <c r="Z518" s="58"/>
      <c r="AA518" s="3"/>
      <c r="AB518" s="3"/>
      <c r="AC518" s="4"/>
      <c r="AD518" s="4"/>
      <c r="AE518" s="4"/>
      <c r="AF518" s="4"/>
      <c r="AG518" s="4"/>
      <c r="AH518" s="4"/>
      <c r="AI518" s="4"/>
    </row>
    <row r="519">
      <c r="A519" s="57"/>
      <c r="B519" s="4"/>
      <c r="C519" s="4"/>
      <c r="D519" s="4"/>
      <c r="E519" s="4"/>
      <c r="F519" s="4"/>
      <c r="G519" s="4"/>
      <c r="H519" s="52"/>
      <c r="I519" s="4"/>
      <c r="J519" s="52"/>
      <c r="K519" s="52"/>
      <c r="L519" s="52"/>
      <c r="M519" s="52"/>
      <c r="N519" s="52"/>
      <c r="O519" s="52"/>
      <c r="P519" s="52"/>
      <c r="Q519" s="52"/>
      <c r="R519" s="4"/>
      <c r="S519" s="4"/>
      <c r="T519" s="4"/>
      <c r="U519" s="74"/>
      <c r="V519" s="3"/>
      <c r="W519" s="3"/>
      <c r="X519" s="3"/>
      <c r="Y519" s="3"/>
      <c r="Z519" s="58"/>
      <c r="AA519" s="3"/>
      <c r="AB519" s="3"/>
      <c r="AC519" s="4"/>
      <c r="AD519" s="4"/>
      <c r="AE519" s="4"/>
      <c r="AF519" s="4"/>
      <c r="AG519" s="4"/>
      <c r="AH519" s="4"/>
      <c r="AI519" s="4"/>
    </row>
    <row r="520">
      <c r="A520" s="57"/>
      <c r="B520" s="4"/>
      <c r="C520" s="4"/>
      <c r="D520" s="4"/>
      <c r="E520" s="4"/>
      <c r="F520" s="4"/>
      <c r="G520" s="4"/>
      <c r="H520" s="52"/>
      <c r="I520" s="4"/>
      <c r="J520" s="52"/>
      <c r="K520" s="52"/>
      <c r="L520" s="52"/>
      <c r="M520" s="52"/>
      <c r="N520" s="52"/>
      <c r="O520" s="52"/>
      <c r="P520" s="52"/>
      <c r="Q520" s="52"/>
      <c r="R520" s="4"/>
      <c r="S520" s="4"/>
      <c r="T520" s="4"/>
      <c r="U520" s="74"/>
      <c r="V520" s="3"/>
      <c r="W520" s="3"/>
      <c r="X520" s="3"/>
      <c r="Y520" s="3"/>
      <c r="Z520" s="58"/>
      <c r="AA520" s="3"/>
      <c r="AB520" s="3"/>
      <c r="AC520" s="4"/>
      <c r="AD520" s="4"/>
      <c r="AE520" s="4"/>
      <c r="AF520" s="4"/>
      <c r="AG520" s="4"/>
      <c r="AH520" s="4"/>
      <c r="AI520" s="4"/>
    </row>
    <row r="521">
      <c r="A521" s="57"/>
      <c r="B521" s="4"/>
      <c r="C521" s="4"/>
      <c r="D521" s="4"/>
      <c r="E521" s="4"/>
      <c r="F521" s="4"/>
      <c r="G521" s="4"/>
      <c r="H521" s="52"/>
      <c r="I521" s="4"/>
      <c r="J521" s="52"/>
      <c r="K521" s="52"/>
      <c r="L521" s="52"/>
      <c r="M521" s="52"/>
      <c r="N521" s="52"/>
      <c r="O521" s="52"/>
      <c r="P521" s="52"/>
      <c r="Q521" s="52"/>
      <c r="R521" s="4"/>
      <c r="S521" s="4"/>
      <c r="T521" s="4"/>
      <c r="U521" s="74"/>
      <c r="V521" s="3"/>
      <c r="W521" s="3"/>
      <c r="X521" s="3"/>
      <c r="Y521" s="3"/>
      <c r="Z521" s="58"/>
      <c r="AA521" s="3"/>
      <c r="AB521" s="3"/>
      <c r="AC521" s="4"/>
      <c r="AD521" s="4"/>
      <c r="AE521" s="4"/>
      <c r="AF521" s="4"/>
      <c r="AG521" s="4"/>
      <c r="AH521" s="4"/>
      <c r="AI521" s="4"/>
    </row>
    <row r="522">
      <c r="A522" s="57"/>
      <c r="B522" s="4"/>
      <c r="C522" s="4"/>
      <c r="D522" s="4"/>
      <c r="E522" s="4"/>
      <c r="F522" s="4"/>
      <c r="G522" s="4"/>
      <c r="H522" s="52"/>
      <c r="I522" s="4"/>
      <c r="J522" s="52"/>
      <c r="K522" s="52"/>
      <c r="L522" s="52"/>
      <c r="M522" s="52"/>
      <c r="N522" s="52"/>
      <c r="O522" s="52"/>
      <c r="P522" s="52"/>
      <c r="Q522" s="52"/>
      <c r="R522" s="4"/>
      <c r="S522" s="4"/>
      <c r="T522" s="4"/>
      <c r="U522" s="74"/>
      <c r="V522" s="3"/>
      <c r="W522" s="3"/>
      <c r="X522" s="3"/>
      <c r="Y522" s="3"/>
      <c r="Z522" s="58"/>
      <c r="AA522" s="3"/>
      <c r="AB522" s="3"/>
      <c r="AC522" s="4"/>
      <c r="AD522" s="4"/>
      <c r="AE522" s="4"/>
      <c r="AF522" s="4"/>
      <c r="AG522" s="4"/>
      <c r="AH522" s="4"/>
      <c r="AI522" s="4"/>
    </row>
    <row r="523">
      <c r="A523" s="57"/>
      <c r="B523" s="4"/>
      <c r="C523" s="4"/>
      <c r="D523" s="4"/>
      <c r="E523" s="4"/>
      <c r="F523" s="4"/>
      <c r="G523" s="4"/>
      <c r="H523" s="52"/>
      <c r="I523" s="4"/>
      <c r="J523" s="52"/>
      <c r="K523" s="52"/>
      <c r="L523" s="52"/>
      <c r="M523" s="52"/>
      <c r="N523" s="52"/>
      <c r="O523" s="52"/>
      <c r="P523" s="52"/>
      <c r="Q523" s="52"/>
      <c r="R523" s="4"/>
      <c r="S523" s="4"/>
      <c r="T523" s="4"/>
      <c r="U523" s="74"/>
      <c r="V523" s="3"/>
      <c r="W523" s="3"/>
      <c r="X523" s="3"/>
      <c r="Y523" s="3"/>
      <c r="Z523" s="58"/>
      <c r="AA523" s="3"/>
      <c r="AB523" s="3"/>
      <c r="AC523" s="4"/>
      <c r="AD523" s="4"/>
      <c r="AE523" s="4"/>
      <c r="AF523" s="4"/>
      <c r="AG523" s="4"/>
      <c r="AH523" s="4"/>
      <c r="AI523" s="4"/>
    </row>
    <row r="524">
      <c r="A524" s="57"/>
      <c r="B524" s="4"/>
      <c r="C524" s="4"/>
      <c r="D524" s="4"/>
      <c r="E524" s="4"/>
      <c r="F524" s="4"/>
      <c r="G524" s="4"/>
      <c r="H524" s="52"/>
      <c r="I524" s="4"/>
      <c r="J524" s="52"/>
      <c r="K524" s="52"/>
      <c r="L524" s="52"/>
      <c r="M524" s="52"/>
      <c r="N524" s="52"/>
      <c r="O524" s="52"/>
      <c r="P524" s="52"/>
      <c r="Q524" s="52"/>
      <c r="R524" s="4"/>
      <c r="S524" s="4"/>
      <c r="T524" s="4"/>
      <c r="U524" s="74"/>
      <c r="V524" s="3"/>
      <c r="W524" s="3"/>
      <c r="X524" s="3"/>
      <c r="Y524" s="3"/>
      <c r="Z524" s="58"/>
      <c r="AA524" s="3"/>
      <c r="AB524" s="3"/>
      <c r="AC524" s="4"/>
      <c r="AD524" s="4"/>
      <c r="AE524" s="4"/>
      <c r="AF524" s="4"/>
      <c r="AG524" s="4"/>
      <c r="AH524" s="4"/>
      <c r="AI524" s="4"/>
    </row>
    <row r="525">
      <c r="A525" s="57"/>
      <c r="B525" s="4"/>
      <c r="C525" s="4"/>
      <c r="D525" s="4"/>
      <c r="E525" s="4"/>
      <c r="F525" s="4"/>
      <c r="G525" s="4"/>
      <c r="H525" s="52"/>
      <c r="I525" s="4"/>
      <c r="J525" s="52"/>
      <c r="K525" s="52"/>
      <c r="L525" s="52"/>
      <c r="M525" s="52"/>
      <c r="N525" s="52"/>
      <c r="O525" s="52"/>
      <c r="P525" s="52"/>
      <c r="Q525" s="52"/>
      <c r="R525" s="4"/>
      <c r="S525" s="4"/>
      <c r="T525" s="4"/>
      <c r="U525" s="74"/>
      <c r="V525" s="3"/>
      <c r="W525" s="3"/>
      <c r="X525" s="3"/>
      <c r="Y525" s="3"/>
      <c r="Z525" s="58"/>
      <c r="AA525" s="3"/>
      <c r="AB525" s="3"/>
      <c r="AC525" s="4"/>
      <c r="AD525" s="4"/>
      <c r="AE525" s="4"/>
      <c r="AF525" s="4"/>
      <c r="AG525" s="4"/>
      <c r="AH525" s="4"/>
      <c r="AI525" s="4"/>
    </row>
    <row r="526">
      <c r="A526" s="57"/>
      <c r="B526" s="4"/>
      <c r="C526" s="4"/>
      <c r="D526" s="4"/>
      <c r="E526" s="4"/>
      <c r="F526" s="4"/>
      <c r="G526" s="4"/>
      <c r="H526" s="52"/>
      <c r="I526" s="4"/>
      <c r="J526" s="52"/>
      <c r="K526" s="52"/>
      <c r="L526" s="52"/>
      <c r="M526" s="52"/>
      <c r="N526" s="52"/>
      <c r="O526" s="52"/>
      <c r="P526" s="52"/>
      <c r="Q526" s="52"/>
      <c r="R526" s="4"/>
      <c r="S526" s="4"/>
      <c r="T526" s="4"/>
      <c r="U526" s="74"/>
      <c r="V526" s="3"/>
      <c r="W526" s="3"/>
      <c r="X526" s="3"/>
      <c r="Y526" s="3"/>
      <c r="Z526" s="58"/>
      <c r="AA526" s="3"/>
      <c r="AB526" s="3"/>
      <c r="AC526" s="4"/>
      <c r="AD526" s="4"/>
      <c r="AE526" s="4"/>
      <c r="AF526" s="4"/>
      <c r="AG526" s="4"/>
      <c r="AH526" s="4"/>
      <c r="AI526" s="4"/>
    </row>
    <row r="527">
      <c r="A527" s="57"/>
      <c r="B527" s="4"/>
      <c r="C527" s="4"/>
      <c r="D527" s="4"/>
      <c r="E527" s="4"/>
      <c r="F527" s="4"/>
      <c r="G527" s="4"/>
      <c r="H527" s="52"/>
      <c r="I527" s="4"/>
      <c r="J527" s="52"/>
      <c r="K527" s="52"/>
      <c r="L527" s="52"/>
      <c r="M527" s="52"/>
      <c r="N527" s="52"/>
      <c r="O527" s="52"/>
      <c r="P527" s="52"/>
      <c r="Q527" s="52"/>
      <c r="R527" s="4"/>
      <c r="S527" s="4"/>
      <c r="T527" s="4"/>
      <c r="U527" s="74"/>
      <c r="V527" s="3"/>
      <c r="W527" s="3"/>
      <c r="X527" s="3"/>
      <c r="Y527" s="3"/>
      <c r="Z527" s="58"/>
      <c r="AA527" s="3"/>
      <c r="AB527" s="3"/>
      <c r="AC527" s="4"/>
      <c r="AD527" s="4"/>
      <c r="AE527" s="4"/>
      <c r="AF527" s="4"/>
      <c r="AG527" s="4"/>
      <c r="AH527" s="4"/>
      <c r="AI527" s="4"/>
    </row>
    <row r="528">
      <c r="A528" s="57"/>
      <c r="B528" s="4"/>
      <c r="C528" s="4"/>
      <c r="D528" s="4"/>
      <c r="E528" s="4"/>
      <c r="F528" s="4"/>
      <c r="G528" s="4"/>
      <c r="H528" s="52"/>
      <c r="I528" s="4"/>
      <c r="J528" s="52"/>
      <c r="K528" s="52"/>
      <c r="L528" s="52"/>
      <c r="M528" s="52"/>
      <c r="N528" s="52"/>
      <c r="O528" s="52"/>
      <c r="P528" s="52"/>
      <c r="Q528" s="52"/>
      <c r="R528" s="4"/>
      <c r="S528" s="4"/>
      <c r="T528" s="4"/>
      <c r="U528" s="74"/>
      <c r="V528" s="3"/>
      <c r="W528" s="3"/>
      <c r="X528" s="3"/>
      <c r="Y528" s="3"/>
      <c r="Z528" s="58"/>
      <c r="AA528" s="3"/>
      <c r="AB528" s="3"/>
      <c r="AC528" s="4"/>
      <c r="AD528" s="4"/>
      <c r="AE528" s="4"/>
      <c r="AF528" s="4"/>
      <c r="AG528" s="4"/>
      <c r="AH528" s="4"/>
      <c r="AI528" s="4"/>
    </row>
    <row r="529">
      <c r="A529" s="57"/>
      <c r="B529" s="4"/>
      <c r="C529" s="4"/>
      <c r="D529" s="4"/>
      <c r="E529" s="4"/>
      <c r="F529" s="4"/>
      <c r="G529" s="4"/>
      <c r="H529" s="52"/>
      <c r="I529" s="4"/>
      <c r="J529" s="52"/>
      <c r="K529" s="52"/>
      <c r="L529" s="52"/>
      <c r="M529" s="52"/>
      <c r="N529" s="52"/>
      <c r="O529" s="52"/>
      <c r="P529" s="52"/>
      <c r="Q529" s="52"/>
      <c r="R529" s="4"/>
      <c r="S529" s="4"/>
      <c r="T529" s="4"/>
      <c r="U529" s="74"/>
      <c r="V529" s="3"/>
      <c r="W529" s="3"/>
      <c r="X529" s="3"/>
      <c r="Y529" s="3"/>
      <c r="Z529" s="58"/>
      <c r="AA529" s="3"/>
      <c r="AB529" s="3"/>
      <c r="AC529" s="4"/>
      <c r="AD529" s="4"/>
      <c r="AE529" s="4"/>
      <c r="AF529" s="4"/>
      <c r="AG529" s="4"/>
      <c r="AH529" s="4"/>
      <c r="AI529" s="4"/>
    </row>
    <row r="530">
      <c r="A530" s="57"/>
      <c r="B530" s="4"/>
      <c r="C530" s="4"/>
      <c r="D530" s="4"/>
      <c r="E530" s="4"/>
      <c r="F530" s="4"/>
      <c r="G530" s="4"/>
      <c r="H530" s="52"/>
      <c r="I530" s="4"/>
      <c r="J530" s="52"/>
      <c r="K530" s="52"/>
      <c r="L530" s="52"/>
      <c r="M530" s="52"/>
      <c r="N530" s="52"/>
      <c r="O530" s="52"/>
      <c r="P530" s="52"/>
      <c r="Q530" s="52"/>
      <c r="R530" s="4"/>
      <c r="S530" s="4"/>
      <c r="T530" s="4"/>
      <c r="U530" s="74"/>
      <c r="V530" s="3"/>
      <c r="W530" s="3"/>
      <c r="X530" s="3"/>
      <c r="Y530" s="3"/>
      <c r="Z530" s="58"/>
      <c r="AA530" s="3"/>
      <c r="AB530" s="3"/>
      <c r="AC530" s="4"/>
      <c r="AD530" s="4"/>
      <c r="AE530" s="4"/>
      <c r="AF530" s="4"/>
      <c r="AG530" s="4"/>
      <c r="AH530" s="4"/>
      <c r="AI530" s="4"/>
    </row>
    <row r="531">
      <c r="A531" s="57"/>
      <c r="B531" s="4"/>
      <c r="C531" s="4"/>
      <c r="D531" s="4"/>
      <c r="E531" s="4"/>
      <c r="F531" s="4"/>
      <c r="G531" s="4"/>
      <c r="H531" s="52"/>
      <c r="I531" s="4"/>
      <c r="J531" s="52"/>
      <c r="K531" s="52"/>
      <c r="L531" s="52"/>
      <c r="M531" s="52"/>
      <c r="N531" s="52"/>
      <c r="O531" s="52"/>
      <c r="P531" s="52"/>
      <c r="Q531" s="52"/>
      <c r="R531" s="4"/>
      <c r="S531" s="4"/>
      <c r="T531" s="4"/>
      <c r="U531" s="74"/>
      <c r="V531" s="3"/>
      <c r="W531" s="3"/>
      <c r="X531" s="3"/>
      <c r="Y531" s="3"/>
      <c r="Z531" s="58"/>
      <c r="AA531" s="3"/>
      <c r="AB531" s="3"/>
      <c r="AC531" s="4"/>
      <c r="AD531" s="4"/>
      <c r="AE531" s="4"/>
      <c r="AF531" s="4"/>
      <c r="AG531" s="4"/>
      <c r="AH531" s="4"/>
      <c r="AI531" s="4"/>
    </row>
    <row r="532">
      <c r="A532" s="57"/>
      <c r="B532" s="4"/>
      <c r="C532" s="4"/>
      <c r="D532" s="4"/>
      <c r="E532" s="4"/>
      <c r="F532" s="4"/>
      <c r="G532" s="4"/>
      <c r="H532" s="52"/>
      <c r="I532" s="4"/>
      <c r="J532" s="52"/>
      <c r="K532" s="52"/>
      <c r="L532" s="52"/>
      <c r="M532" s="52"/>
      <c r="N532" s="52"/>
      <c r="O532" s="52"/>
      <c r="P532" s="52"/>
      <c r="Q532" s="52"/>
      <c r="R532" s="4"/>
      <c r="S532" s="4"/>
      <c r="T532" s="4"/>
      <c r="U532" s="74"/>
      <c r="V532" s="3"/>
      <c r="W532" s="3"/>
      <c r="X532" s="3"/>
      <c r="Y532" s="3"/>
      <c r="Z532" s="58"/>
      <c r="AA532" s="3"/>
      <c r="AB532" s="3"/>
      <c r="AC532" s="4"/>
      <c r="AD532" s="4"/>
      <c r="AE532" s="4"/>
      <c r="AF532" s="4"/>
      <c r="AG532" s="4"/>
      <c r="AH532" s="4"/>
      <c r="AI532" s="4"/>
    </row>
    <row r="533">
      <c r="A533" s="57"/>
      <c r="B533" s="4"/>
      <c r="C533" s="4"/>
      <c r="D533" s="4"/>
      <c r="E533" s="4"/>
      <c r="F533" s="4"/>
      <c r="G533" s="4"/>
      <c r="H533" s="52"/>
      <c r="I533" s="4"/>
      <c r="J533" s="52"/>
      <c r="K533" s="52"/>
      <c r="L533" s="52"/>
      <c r="M533" s="52"/>
      <c r="N533" s="52"/>
      <c r="O533" s="52"/>
      <c r="P533" s="52"/>
      <c r="Q533" s="52"/>
      <c r="R533" s="4"/>
      <c r="S533" s="4"/>
      <c r="T533" s="4"/>
      <c r="U533" s="74"/>
      <c r="V533" s="3"/>
      <c r="W533" s="3"/>
      <c r="X533" s="3"/>
      <c r="Y533" s="3"/>
      <c r="Z533" s="58"/>
      <c r="AA533" s="3"/>
      <c r="AB533" s="3"/>
      <c r="AC533" s="4"/>
      <c r="AD533" s="4"/>
      <c r="AE533" s="4"/>
      <c r="AF533" s="4"/>
      <c r="AG533" s="4"/>
      <c r="AH533" s="4"/>
      <c r="AI533" s="4"/>
    </row>
    <row r="534">
      <c r="A534" s="57"/>
      <c r="B534" s="4"/>
      <c r="C534" s="4"/>
      <c r="D534" s="4"/>
      <c r="E534" s="4"/>
      <c r="F534" s="4"/>
      <c r="G534" s="4"/>
      <c r="H534" s="52"/>
      <c r="I534" s="4"/>
      <c r="J534" s="52"/>
      <c r="K534" s="52"/>
      <c r="L534" s="52"/>
      <c r="M534" s="52"/>
      <c r="N534" s="52"/>
      <c r="O534" s="52"/>
      <c r="P534" s="52"/>
      <c r="Q534" s="52"/>
      <c r="R534" s="4"/>
      <c r="S534" s="4"/>
      <c r="T534" s="4"/>
      <c r="U534" s="74"/>
      <c r="V534" s="3"/>
      <c r="W534" s="3"/>
      <c r="X534" s="3"/>
      <c r="Y534" s="3"/>
      <c r="Z534" s="58"/>
      <c r="AA534" s="3"/>
      <c r="AB534" s="3"/>
      <c r="AC534" s="4"/>
      <c r="AD534" s="4"/>
      <c r="AE534" s="4"/>
      <c r="AF534" s="4"/>
      <c r="AG534" s="4"/>
      <c r="AH534" s="4"/>
      <c r="AI534" s="4"/>
    </row>
    <row r="535">
      <c r="A535" s="57"/>
      <c r="B535" s="4"/>
      <c r="C535" s="4"/>
      <c r="D535" s="4"/>
      <c r="E535" s="4"/>
      <c r="F535" s="4"/>
      <c r="G535" s="4"/>
      <c r="H535" s="52"/>
      <c r="I535" s="4"/>
      <c r="J535" s="52"/>
      <c r="K535" s="52"/>
      <c r="L535" s="52"/>
      <c r="M535" s="52"/>
      <c r="N535" s="52"/>
      <c r="O535" s="52"/>
      <c r="P535" s="52"/>
      <c r="Q535" s="52"/>
      <c r="R535" s="4"/>
      <c r="S535" s="4"/>
      <c r="T535" s="4"/>
      <c r="U535" s="74"/>
      <c r="V535" s="3"/>
      <c r="W535" s="3"/>
      <c r="X535" s="3"/>
      <c r="Y535" s="3"/>
      <c r="Z535" s="58"/>
      <c r="AA535" s="3"/>
      <c r="AB535" s="3"/>
      <c r="AC535" s="4"/>
      <c r="AD535" s="4"/>
      <c r="AE535" s="4"/>
      <c r="AF535" s="4"/>
      <c r="AG535" s="4"/>
      <c r="AH535" s="4"/>
      <c r="AI535" s="4"/>
    </row>
    <row r="536">
      <c r="A536" s="57"/>
      <c r="B536" s="4"/>
      <c r="C536" s="4"/>
      <c r="D536" s="4"/>
      <c r="E536" s="4"/>
      <c r="F536" s="4"/>
      <c r="G536" s="4"/>
      <c r="H536" s="52"/>
      <c r="I536" s="4"/>
      <c r="J536" s="52"/>
      <c r="K536" s="52"/>
      <c r="L536" s="52"/>
      <c r="M536" s="52"/>
      <c r="N536" s="52"/>
      <c r="O536" s="52"/>
      <c r="P536" s="52"/>
      <c r="Q536" s="52"/>
      <c r="R536" s="4"/>
      <c r="S536" s="4"/>
      <c r="T536" s="4"/>
      <c r="U536" s="74"/>
      <c r="V536" s="3"/>
      <c r="W536" s="3"/>
      <c r="X536" s="3"/>
      <c r="Y536" s="3"/>
      <c r="Z536" s="58"/>
      <c r="AA536" s="3"/>
      <c r="AB536" s="3"/>
      <c r="AC536" s="4"/>
      <c r="AD536" s="4"/>
      <c r="AE536" s="4"/>
      <c r="AF536" s="4"/>
      <c r="AG536" s="4"/>
      <c r="AH536" s="4"/>
      <c r="AI536" s="4"/>
    </row>
    <row r="537">
      <c r="A537" s="57"/>
      <c r="B537" s="4"/>
      <c r="C537" s="4"/>
      <c r="D537" s="4"/>
      <c r="E537" s="4"/>
      <c r="F537" s="4"/>
      <c r="G537" s="4"/>
      <c r="H537" s="52"/>
      <c r="I537" s="4"/>
      <c r="J537" s="52"/>
      <c r="K537" s="52"/>
      <c r="L537" s="52"/>
      <c r="M537" s="52"/>
      <c r="N537" s="52"/>
      <c r="O537" s="52"/>
      <c r="P537" s="52"/>
      <c r="Q537" s="52"/>
      <c r="R537" s="4"/>
      <c r="S537" s="4"/>
      <c r="T537" s="4"/>
      <c r="U537" s="74"/>
      <c r="V537" s="3"/>
      <c r="W537" s="3"/>
      <c r="X537" s="3"/>
      <c r="Y537" s="3"/>
      <c r="Z537" s="58"/>
      <c r="AA537" s="3"/>
      <c r="AB537" s="3"/>
      <c r="AC537" s="4"/>
      <c r="AD537" s="4"/>
      <c r="AE537" s="4"/>
      <c r="AF537" s="4"/>
      <c r="AG537" s="4"/>
      <c r="AH537" s="4"/>
      <c r="AI537" s="4"/>
    </row>
    <row r="538">
      <c r="A538" s="57"/>
      <c r="B538" s="4"/>
      <c r="C538" s="4"/>
      <c r="D538" s="4"/>
      <c r="E538" s="4"/>
      <c r="F538" s="4"/>
      <c r="G538" s="4"/>
      <c r="H538" s="52"/>
      <c r="I538" s="4"/>
      <c r="J538" s="52"/>
      <c r="K538" s="52"/>
      <c r="L538" s="52"/>
      <c r="M538" s="52"/>
      <c r="N538" s="52"/>
      <c r="O538" s="52"/>
      <c r="P538" s="52"/>
      <c r="Q538" s="52"/>
      <c r="R538" s="4"/>
      <c r="S538" s="4"/>
      <c r="T538" s="4"/>
      <c r="U538" s="74"/>
      <c r="V538" s="3"/>
      <c r="W538" s="3"/>
      <c r="X538" s="3"/>
      <c r="Y538" s="3"/>
      <c r="Z538" s="58"/>
      <c r="AA538" s="3"/>
      <c r="AB538" s="3"/>
      <c r="AC538" s="4"/>
      <c r="AD538" s="4"/>
      <c r="AE538" s="4"/>
      <c r="AF538" s="4"/>
      <c r="AG538" s="4"/>
      <c r="AH538" s="4"/>
      <c r="AI538" s="4"/>
    </row>
    <row r="539">
      <c r="A539" s="57"/>
      <c r="B539" s="4"/>
      <c r="C539" s="4"/>
      <c r="D539" s="4"/>
      <c r="E539" s="4"/>
      <c r="F539" s="4"/>
      <c r="G539" s="4"/>
      <c r="H539" s="52"/>
      <c r="I539" s="4"/>
      <c r="J539" s="52"/>
      <c r="K539" s="52"/>
      <c r="L539" s="52"/>
      <c r="M539" s="52"/>
      <c r="N539" s="52"/>
      <c r="O539" s="52"/>
      <c r="P539" s="52"/>
      <c r="Q539" s="52"/>
      <c r="R539" s="4"/>
      <c r="S539" s="4"/>
      <c r="T539" s="4"/>
      <c r="U539" s="74"/>
      <c r="V539" s="3"/>
      <c r="W539" s="3"/>
      <c r="X539" s="3"/>
      <c r="Y539" s="3"/>
      <c r="Z539" s="58"/>
      <c r="AA539" s="3"/>
      <c r="AB539" s="3"/>
      <c r="AC539" s="4"/>
      <c r="AD539" s="4"/>
      <c r="AE539" s="4"/>
      <c r="AF539" s="4"/>
      <c r="AG539" s="4"/>
      <c r="AH539" s="4"/>
      <c r="AI539" s="4"/>
    </row>
    <row r="540">
      <c r="A540" s="57"/>
      <c r="B540" s="4"/>
      <c r="C540" s="4"/>
      <c r="D540" s="4"/>
      <c r="E540" s="4"/>
      <c r="F540" s="4"/>
      <c r="G540" s="4"/>
      <c r="H540" s="52"/>
      <c r="I540" s="4"/>
      <c r="J540" s="52"/>
      <c r="K540" s="52"/>
      <c r="L540" s="52"/>
      <c r="M540" s="52"/>
      <c r="N540" s="52"/>
      <c r="O540" s="52"/>
      <c r="P540" s="52"/>
      <c r="Q540" s="52"/>
      <c r="R540" s="4"/>
      <c r="S540" s="4"/>
      <c r="T540" s="4"/>
      <c r="U540" s="74"/>
      <c r="V540" s="3"/>
      <c r="W540" s="3"/>
      <c r="X540" s="3"/>
      <c r="Y540" s="3"/>
      <c r="Z540" s="58"/>
      <c r="AA540" s="3"/>
      <c r="AB540" s="3"/>
      <c r="AC540" s="4"/>
      <c r="AD540" s="4"/>
      <c r="AE540" s="4"/>
      <c r="AF540" s="4"/>
      <c r="AG540" s="4"/>
      <c r="AH540" s="4"/>
      <c r="AI540" s="4"/>
    </row>
    <row r="541">
      <c r="A541" s="57"/>
      <c r="B541" s="4"/>
      <c r="C541" s="4"/>
      <c r="D541" s="4"/>
      <c r="E541" s="4"/>
      <c r="F541" s="4"/>
      <c r="G541" s="4"/>
      <c r="H541" s="52"/>
      <c r="I541" s="4"/>
      <c r="J541" s="52"/>
      <c r="K541" s="52"/>
      <c r="L541" s="52"/>
      <c r="M541" s="52"/>
      <c r="N541" s="52"/>
      <c r="O541" s="52"/>
      <c r="P541" s="52"/>
      <c r="Q541" s="52"/>
      <c r="R541" s="4"/>
      <c r="S541" s="4"/>
      <c r="T541" s="4"/>
      <c r="U541" s="74"/>
      <c r="V541" s="3"/>
      <c r="W541" s="3"/>
      <c r="X541" s="3"/>
      <c r="Y541" s="3"/>
      <c r="Z541" s="58"/>
      <c r="AA541" s="3"/>
      <c r="AB541" s="3"/>
      <c r="AC541" s="4"/>
      <c r="AD541" s="4"/>
      <c r="AE541" s="4"/>
      <c r="AF541" s="4"/>
      <c r="AG541" s="4"/>
      <c r="AH541" s="4"/>
      <c r="AI541" s="4"/>
    </row>
    <row r="542">
      <c r="A542" s="57"/>
      <c r="B542" s="4"/>
      <c r="C542" s="4"/>
      <c r="D542" s="4"/>
      <c r="E542" s="4"/>
      <c r="F542" s="4"/>
      <c r="G542" s="4"/>
      <c r="H542" s="52"/>
      <c r="I542" s="4"/>
      <c r="J542" s="52"/>
      <c r="K542" s="52"/>
      <c r="L542" s="52"/>
      <c r="M542" s="52"/>
      <c r="N542" s="52"/>
      <c r="O542" s="52"/>
      <c r="P542" s="52"/>
      <c r="Q542" s="52"/>
      <c r="R542" s="4"/>
      <c r="S542" s="4"/>
      <c r="T542" s="4"/>
      <c r="U542" s="74"/>
      <c r="V542" s="3"/>
      <c r="W542" s="3"/>
      <c r="X542" s="3"/>
      <c r="Y542" s="3"/>
      <c r="Z542" s="58"/>
      <c r="AA542" s="3"/>
      <c r="AB542" s="3"/>
      <c r="AC542" s="4"/>
      <c r="AD542" s="4"/>
      <c r="AE542" s="4"/>
      <c r="AF542" s="4"/>
      <c r="AG542" s="4"/>
      <c r="AH542" s="4"/>
      <c r="AI542" s="4"/>
    </row>
    <row r="543">
      <c r="A543" s="57"/>
      <c r="B543" s="4"/>
      <c r="C543" s="4"/>
      <c r="D543" s="4"/>
      <c r="E543" s="4"/>
      <c r="F543" s="4"/>
      <c r="G543" s="4"/>
      <c r="H543" s="52"/>
      <c r="I543" s="4"/>
      <c r="J543" s="52"/>
      <c r="K543" s="52"/>
      <c r="L543" s="52"/>
      <c r="M543" s="52"/>
      <c r="N543" s="52"/>
      <c r="O543" s="52"/>
      <c r="P543" s="52"/>
      <c r="Q543" s="52"/>
      <c r="R543" s="4"/>
      <c r="S543" s="4"/>
      <c r="T543" s="4"/>
      <c r="U543" s="74"/>
      <c r="V543" s="3"/>
      <c r="W543" s="3"/>
      <c r="X543" s="3"/>
      <c r="Y543" s="3"/>
      <c r="Z543" s="58"/>
      <c r="AA543" s="3"/>
      <c r="AB543" s="3"/>
      <c r="AC543" s="4"/>
      <c r="AD543" s="4"/>
      <c r="AE543" s="4"/>
      <c r="AF543" s="4"/>
      <c r="AG543" s="4"/>
      <c r="AH543" s="4"/>
      <c r="AI543" s="4"/>
    </row>
    <row r="544">
      <c r="A544" s="57"/>
      <c r="B544" s="4"/>
      <c r="C544" s="4"/>
      <c r="D544" s="4"/>
      <c r="E544" s="4"/>
      <c r="F544" s="4"/>
      <c r="G544" s="4"/>
      <c r="H544" s="52"/>
      <c r="I544" s="4"/>
      <c r="J544" s="52"/>
      <c r="K544" s="52"/>
      <c r="L544" s="52"/>
      <c r="M544" s="52"/>
      <c r="N544" s="52"/>
      <c r="O544" s="52"/>
      <c r="P544" s="52"/>
      <c r="Q544" s="52"/>
      <c r="R544" s="4"/>
      <c r="S544" s="4"/>
      <c r="T544" s="4"/>
      <c r="U544" s="74"/>
      <c r="V544" s="3"/>
      <c r="W544" s="3"/>
      <c r="X544" s="3"/>
      <c r="Y544" s="3"/>
      <c r="Z544" s="58"/>
      <c r="AA544" s="3"/>
      <c r="AB544" s="3"/>
      <c r="AC544" s="4"/>
      <c r="AD544" s="4"/>
      <c r="AE544" s="4"/>
      <c r="AF544" s="4"/>
      <c r="AG544" s="4"/>
      <c r="AH544" s="4"/>
      <c r="AI544" s="4"/>
    </row>
    <row r="545">
      <c r="A545" s="57"/>
      <c r="B545" s="4"/>
      <c r="C545" s="4"/>
      <c r="D545" s="4"/>
      <c r="E545" s="4"/>
      <c r="F545" s="4"/>
      <c r="G545" s="4"/>
      <c r="H545" s="52"/>
      <c r="I545" s="4"/>
      <c r="J545" s="52"/>
      <c r="K545" s="52"/>
      <c r="L545" s="52"/>
      <c r="M545" s="52"/>
      <c r="N545" s="52"/>
      <c r="O545" s="52"/>
      <c r="P545" s="52"/>
      <c r="Q545" s="52"/>
      <c r="R545" s="4"/>
      <c r="S545" s="4"/>
      <c r="T545" s="4"/>
      <c r="U545" s="74"/>
      <c r="V545" s="3"/>
      <c r="W545" s="3"/>
      <c r="X545" s="3"/>
      <c r="Y545" s="3"/>
      <c r="Z545" s="58"/>
      <c r="AA545" s="3"/>
      <c r="AB545" s="3"/>
      <c r="AC545" s="4"/>
      <c r="AD545" s="4"/>
      <c r="AE545" s="4"/>
      <c r="AF545" s="4"/>
      <c r="AG545" s="4"/>
      <c r="AH545" s="4"/>
      <c r="AI545" s="4"/>
    </row>
    <row r="546">
      <c r="A546" s="57"/>
      <c r="B546" s="4"/>
      <c r="C546" s="4"/>
      <c r="D546" s="4"/>
      <c r="E546" s="4"/>
      <c r="F546" s="4"/>
      <c r="G546" s="4"/>
      <c r="H546" s="52"/>
      <c r="I546" s="4"/>
      <c r="J546" s="52"/>
      <c r="K546" s="52"/>
      <c r="L546" s="52"/>
      <c r="M546" s="52"/>
      <c r="N546" s="52"/>
      <c r="O546" s="52"/>
      <c r="P546" s="52"/>
      <c r="Q546" s="52"/>
      <c r="R546" s="4"/>
      <c r="S546" s="4"/>
      <c r="T546" s="4"/>
      <c r="U546" s="74"/>
      <c r="V546" s="3"/>
      <c r="W546" s="3"/>
      <c r="X546" s="3"/>
      <c r="Y546" s="3"/>
      <c r="Z546" s="58"/>
      <c r="AA546" s="3"/>
      <c r="AB546" s="3"/>
      <c r="AC546" s="4"/>
      <c r="AD546" s="4"/>
      <c r="AE546" s="4"/>
      <c r="AF546" s="4"/>
      <c r="AG546" s="4"/>
      <c r="AH546" s="4"/>
      <c r="AI546" s="4"/>
    </row>
    <row r="547">
      <c r="A547" s="57"/>
      <c r="B547" s="4"/>
      <c r="C547" s="4"/>
      <c r="D547" s="4"/>
      <c r="E547" s="4"/>
      <c r="F547" s="4"/>
      <c r="G547" s="4"/>
      <c r="H547" s="52"/>
      <c r="I547" s="4"/>
      <c r="J547" s="52"/>
      <c r="K547" s="52"/>
      <c r="L547" s="52"/>
      <c r="M547" s="52"/>
      <c r="N547" s="52"/>
      <c r="O547" s="52"/>
      <c r="P547" s="52"/>
      <c r="Q547" s="52"/>
      <c r="R547" s="4"/>
      <c r="S547" s="4"/>
      <c r="T547" s="4"/>
      <c r="U547" s="74"/>
      <c r="V547" s="3"/>
      <c r="W547" s="3"/>
      <c r="X547" s="3"/>
      <c r="Y547" s="3"/>
      <c r="Z547" s="58"/>
      <c r="AA547" s="3"/>
      <c r="AB547" s="3"/>
      <c r="AC547" s="4"/>
      <c r="AD547" s="4"/>
      <c r="AE547" s="4"/>
      <c r="AF547" s="4"/>
      <c r="AG547" s="4"/>
      <c r="AH547" s="4"/>
      <c r="AI547" s="4"/>
    </row>
    <row r="548">
      <c r="A548" s="57"/>
      <c r="B548" s="4"/>
      <c r="C548" s="4"/>
      <c r="D548" s="4"/>
      <c r="E548" s="4"/>
      <c r="F548" s="4"/>
      <c r="G548" s="4"/>
      <c r="H548" s="52"/>
      <c r="I548" s="4"/>
      <c r="J548" s="52"/>
      <c r="K548" s="52"/>
      <c r="L548" s="52"/>
      <c r="M548" s="52"/>
      <c r="N548" s="52"/>
      <c r="O548" s="52"/>
      <c r="P548" s="52"/>
      <c r="Q548" s="52"/>
      <c r="R548" s="4"/>
      <c r="S548" s="4"/>
      <c r="T548" s="4"/>
      <c r="U548" s="74"/>
      <c r="V548" s="3"/>
      <c r="W548" s="3"/>
      <c r="X548" s="3"/>
      <c r="Y548" s="3"/>
      <c r="Z548" s="58"/>
      <c r="AA548" s="3"/>
      <c r="AB548" s="3"/>
      <c r="AC548" s="4"/>
      <c r="AD548" s="4"/>
      <c r="AE548" s="4"/>
      <c r="AF548" s="4"/>
      <c r="AG548" s="4"/>
      <c r="AH548" s="4"/>
      <c r="AI548" s="4"/>
    </row>
    <row r="549">
      <c r="A549" s="57"/>
      <c r="B549" s="4"/>
      <c r="C549" s="4"/>
      <c r="D549" s="4"/>
      <c r="E549" s="4"/>
      <c r="F549" s="4"/>
      <c r="G549" s="4"/>
      <c r="H549" s="52"/>
      <c r="I549" s="4"/>
      <c r="J549" s="52"/>
      <c r="K549" s="52"/>
      <c r="L549" s="52"/>
      <c r="M549" s="52"/>
      <c r="N549" s="52"/>
      <c r="O549" s="52"/>
      <c r="P549" s="52"/>
      <c r="Q549" s="52"/>
      <c r="R549" s="4"/>
      <c r="S549" s="4"/>
      <c r="T549" s="4"/>
      <c r="U549" s="74"/>
      <c r="V549" s="3"/>
      <c r="W549" s="3"/>
      <c r="X549" s="3"/>
      <c r="Y549" s="3"/>
      <c r="Z549" s="58"/>
      <c r="AA549" s="3"/>
      <c r="AB549" s="3"/>
      <c r="AC549" s="4"/>
      <c r="AD549" s="4"/>
      <c r="AE549" s="4"/>
      <c r="AF549" s="4"/>
      <c r="AG549" s="4"/>
      <c r="AH549" s="4"/>
      <c r="AI549" s="4"/>
    </row>
    <row r="550">
      <c r="A550" s="57"/>
      <c r="B550" s="4"/>
      <c r="C550" s="4"/>
      <c r="D550" s="4"/>
      <c r="E550" s="4"/>
      <c r="F550" s="4"/>
      <c r="G550" s="4"/>
      <c r="H550" s="52"/>
      <c r="I550" s="4"/>
      <c r="J550" s="52"/>
      <c r="K550" s="52"/>
      <c r="L550" s="52"/>
      <c r="M550" s="52"/>
      <c r="N550" s="52"/>
      <c r="O550" s="52"/>
      <c r="P550" s="52"/>
      <c r="Q550" s="52"/>
      <c r="R550" s="4"/>
      <c r="S550" s="4"/>
      <c r="T550" s="4"/>
      <c r="U550" s="74"/>
      <c r="V550" s="3"/>
      <c r="W550" s="3"/>
      <c r="X550" s="3"/>
      <c r="Y550" s="3"/>
      <c r="Z550" s="58"/>
      <c r="AA550" s="3"/>
      <c r="AB550" s="3"/>
      <c r="AC550" s="4"/>
      <c r="AD550" s="4"/>
      <c r="AE550" s="4"/>
      <c r="AF550" s="4"/>
      <c r="AG550" s="4"/>
      <c r="AH550" s="4"/>
      <c r="AI550" s="4"/>
    </row>
    <row r="551">
      <c r="A551" s="57"/>
      <c r="B551" s="4"/>
      <c r="C551" s="4"/>
      <c r="D551" s="4"/>
      <c r="E551" s="4"/>
      <c r="F551" s="4"/>
      <c r="G551" s="4"/>
      <c r="H551" s="52"/>
      <c r="I551" s="4"/>
      <c r="J551" s="52"/>
      <c r="K551" s="52"/>
      <c r="L551" s="52"/>
      <c r="M551" s="52"/>
      <c r="N551" s="52"/>
      <c r="O551" s="52"/>
      <c r="P551" s="52"/>
      <c r="Q551" s="52"/>
      <c r="R551" s="4"/>
      <c r="S551" s="4"/>
      <c r="T551" s="4"/>
      <c r="U551" s="74"/>
      <c r="V551" s="3"/>
      <c r="W551" s="3"/>
      <c r="X551" s="3"/>
      <c r="Y551" s="3"/>
      <c r="Z551" s="58"/>
      <c r="AA551" s="3"/>
      <c r="AB551" s="3"/>
      <c r="AC551" s="4"/>
      <c r="AD551" s="4"/>
      <c r="AE551" s="4"/>
      <c r="AF551" s="4"/>
      <c r="AG551" s="4"/>
      <c r="AH551" s="4"/>
      <c r="AI551" s="4"/>
    </row>
    <row r="552">
      <c r="A552" s="57"/>
      <c r="B552" s="4"/>
      <c r="C552" s="4"/>
      <c r="D552" s="4"/>
      <c r="E552" s="4"/>
      <c r="F552" s="4"/>
      <c r="G552" s="4"/>
      <c r="H552" s="52"/>
      <c r="I552" s="4"/>
      <c r="J552" s="52"/>
      <c r="K552" s="52"/>
      <c r="L552" s="52"/>
      <c r="M552" s="52"/>
      <c r="N552" s="52"/>
      <c r="O552" s="52"/>
      <c r="P552" s="52"/>
      <c r="Q552" s="52"/>
      <c r="R552" s="4"/>
      <c r="S552" s="4"/>
      <c r="T552" s="4"/>
      <c r="U552" s="74"/>
      <c r="V552" s="3"/>
      <c r="W552" s="3"/>
      <c r="X552" s="3"/>
      <c r="Y552" s="3"/>
      <c r="Z552" s="58"/>
      <c r="AA552" s="3"/>
      <c r="AB552" s="3"/>
      <c r="AC552" s="4"/>
      <c r="AD552" s="4"/>
      <c r="AE552" s="4"/>
      <c r="AF552" s="4"/>
      <c r="AG552" s="4"/>
      <c r="AH552" s="4"/>
      <c r="AI552" s="4"/>
    </row>
    <row r="553">
      <c r="A553" s="57"/>
      <c r="B553" s="4"/>
      <c r="C553" s="4"/>
      <c r="D553" s="4"/>
      <c r="E553" s="4"/>
      <c r="F553" s="4"/>
      <c r="G553" s="4"/>
      <c r="H553" s="52"/>
      <c r="I553" s="4"/>
      <c r="J553" s="52"/>
      <c r="K553" s="52"/>
      <c r="L553" s="52"/>
      <c r="M553" s="52"/>
      <c r="N553" s="52"/>
      <c r="O553" s="52"/>
      <c r="P553" s="52"/>
      <c r="Q553" s="52"/>
      <c r="R553" s="4"/>
      <c r="S553" s="4"/>
      <c r="T553" s="4"/>
      <c r="U553" s="74"/>
      <c r="V553" s="3"/>
      <c r="W553" s="3"/>
      <c r="X553" s="3"/>
      <c r="Y553" s="3"/>
      <c r="Z553" s="58"/>
      <c r="AA553" s="3"/>
      <c r="AB553" s="3"/>
      <c r="AC553" s="4"/>
      <c r="AD553" s="4"/>
      <c r="AE553" s="4"/>
      <c r="AF553" s="4"/>
      <c r="AG553" s="4"/>
      <c r="AH553" s="4"/>
      <c r="AI553" s="4"/>
    </row>
    <row r="554">
      <c r="A554" s="57"/>
      <c r="B554" s="4"/>
      <c r="C554" s="4"/>
      <c r="D554" s="4"/>
      <c r="E554" s="4"/>
      <c r="F554" s="4"/>
      <c r="G554" s="4"/>
      <c r="H554" s="52"/>
      <c r="I554" s="4"/>
      <c r="J554" s="52"/>
      <c r="K554" s="52"/>
      <c r="L554" s="52"/>
      <c r="M554" s="52"/>
      <c r="N554" s="52"/>
      <c r="O554" s="52"/>
      <c r="P554" s="52"/>
      <c r="Q554" s="52"/>
      <c r="R554" s="4"/>
      <c r="S554" s="4"/>
      <c r="T554" s="4"/>
      <c r="U554" s="74"/>
      <c r="V554" s="3"/>
      <c r="W554" s="3"/>
      <c r="X554" s="3"/>
      <c r="Y554" s="3"/>
      <c r="Z554" s="58"/>
      <c r="AA554" s="3"/>
      <c r="AB554" s="3"/>
      <c r="AC554" s="4"/>
      <c r="AD554" s="4"/>
      <c r="AE554" s="4"/>
      <c r="AF554" s="4"/>
      <c r="AG554" s="4"/>
      <c r="AH554" s="4"/>
      <c r="AI554" s="4"/>
    </row>
    <row r="555">
      <c r="A555" s="57"/>
      <c r="B555" s="4"/>
      <c r="C555" s="4"/>
      <c r="D555" s="4"/>
      <c r="E555" s="4"/>
      <c r="F555" s="4"/>
      <c r="G555" s="4"/>
      <c r="H555" s="52"/>
      <c r="I555" s="4"/>
      <c r="J555" s="52"/>
      <c r="K555" s="52"/>
      <c r="L555" s="52"/>
      <c r="M555" s="52"/>
      <c r="N555" s="52"/>
      <c r="O555" s="52"/>
      <c r="P555" s="52"/>
      <c r="Q555" s="52"/>
      <c r="R555" s="4"/>
      <c r="S555" s="4"/>
      <c r="T555" s="4"/>
      <c r="U555" s="74"/>
      <c r="V555" s="3"/>
      <c r="W555" s="3"/>
      <c r="X555" s="3"/>
      <c r="Y555" s="3"/>
      <c r="Z555" s="58"/>
      <c r="AA555" s="3"/>
      <c r="AB555" s="3"/>
      <c r="AC555" s="4"/>
      <c r="AD555" s="4"/>
      <c r="AE555" s="4"/>
      <c r="AF555" s="4"/>
      <c r="AG555" s="4"/>
      <c r="AH555" s="4"/>
      <c r="AI555" s="4"/>
    </row>
    <row r="556">
      <c r="A556" s="57"/>
      <c r="B556" s="4"/>
      <c r="C556" s="4"/>
      <c r="D556" s="4"/>
      <c r="E556" s="4"/>
      <c r="F556" s="4"/>
      <c r="G556" s="4"/>
      <c r="H556" s="52"/>
      <c r="I556" s="4"/>
      <c r="J556" s="52"/>
      <c r="K556" s="52"/>
      <c r="L556" s="52"/>
      <c r="M556" s="52"/>
      <c r="N556" s="52"/>
      <c r="O556" s="52"/>
      <c r="P556" s="52"/>
      <c r="Q556" s="52"/>
      <c r="R556" s="4"/>
      <c r="S556" s="4"/>
      <c r="T556" s="4"/>
      <c r="U556" s="74"/>
      <c r="V556" s="3"/>
      <c r="W556" s="3"/>
      <c r="X556" s="3"/>
      <c r="Y556" s="3"/>
      <c r="Z556" s="58"/>
      <c r="AA556" s="3"/>
      <c r="AB556" s="3"/>
      <c r="AC556" s="4"/>
      <c r="AD556" s="4"/>
      <c r="AE556" s="4"/>
      <c r="AF556" s="4"/>
      <c r="AG556" s="4"/>
      <c r="AH556" s="4"/>
      <c r="AI556" s="4"/>
    </row>
    <row r="557">
      <c r="A557" s="57"/>
      <c r="B557" s="4"/>
      <c r="C557" s="4"/>
      <c r="D557" s="4"/>
      <c r="E557" s="4"/>
      <c r="F557" s="4"/>
      <c r="G557" s="4"/>
      <c r="H557" s="52"/>
      <c r="I557" s="4"/>
      <c r="J557" s="52"/>
      <c r="K557" s="52"/>
      <c r="L557" s="52"/>
      <c r="M557" s="52"/>
      <c r="N557" s="52"/>
      <c r="O557" s="52"/>
      <c r="P557" s="52"/>
      <c r="Q557" s="52"/>
      <c r="R557" s="4"/>
      <c r="S557" s="4"/>
      <c r="T557" s="4"/>
      <c r="U557" s="74"/>
      <c r="V557" s="3"/>
      <c r="W557" s="3"/>
      <c r="X557" s="3"/>
      <c r="Y557" s="3"/>
      <c r="Z557" s="58"/>
      <c r="AA557" s="3"/>
      <c r="AB557" s="3"/>
      <c r="AC557" s="4"/>
      <c r="AD557" s="4"/>
      <c r="AE557" s="4"/>
      <c r="AF557" s="4"/>
      <c r="AG557" s="4"/>
      <c r="AH557" s="4"/>
      <c r="AI557" s="4"/>
    </row>
    <row r="558">
      <c r="A558" s="57"/>
      <c r="B558" s="4"/>
      <c r="C558" s="4"/>
      <c r="D558" s="4"/>
      <c r="E558" s="4"/>
      <c r="F558" s="4"/>
      <c r="G558" s="4"/>
      <c r="H558" s="52"/>
      <c r="I558" s="4"/>
      <c r="J558" s="52"/>
      <c r="K558" s="52"/>
      <c r="L558" s="52"/>
      <c r="M558" s="52"/>
      <c r="N558" s="52"/>
      <c r="O558" s="52"/>
      <c r="P558" s="52"/>
      <c r="Q558" s="52"/>
      <c r="R558" s="4"/>
      <c r="S558" s="4"/>
      <c r="T558" s="4"/>
      <c r="U558" s="74"/>
      <c r="V558" s="3"/>
      <c r="W558" s="3"/>
      <c r="X558" s="3"/>
      <c r="Y558" s="3"/>
      <c r="Z558" s="58"/>
      <c r="AA558" s="3"/>
      <c r="AB558" s="3"/>
      <c r="AC558" s="4"/>
      <c r="AD558" s="4"/>
      <c r="AE558" s="4"/>
      <c r="AF558" s="4"/>
      <c r="AG558" s="4"/>
      <c r="AH558" s="4"/>
      <c r="AI558" s="4"/>
    </row>
    <row r="559">
      <c r="A559" s="57"/>
      <c r="B559" s="4"/>
      <c r="C559" s="4"/>
      <c r="D559" s="4"/>
      <c r="E559" s="4"/>
      <c r="F559" s="4"/>
      <c r="G559" s="4"/>
      <c r="H559" s="52"/>
      <c r="I559" s="4"/>
      <c r="J559" s="52"/>
      <c r="K559" s="52"/>
      <c r="L559" s="52"/>
      <c r="M559" s="52"/>
      <c r="N559" s="52"/>
      <c r="O559" s="52"/>
      <c r="P559" s="52"/>
      <c r="Q559" s="52"/>
      <c r="R559" s="4"/>
      <c r="S559" s="4"/>
      <c r="T559" s="4"/>
      <c r="U559" s="74"/>
      <c r="V559" s="3"/>
      <c r="W559" s="3"/>
      <c r="X559" s="3"/>
      <c r="Y559" s="3"/>
      <c r="Z559" s="58"/>
      <c r="AA559" s="3"/>
      <c r="AB559" s="3"/>
      <c r="AC559" s="4"/>
      <c r="AD559" s="4"/>
      <c r="AE559" s="4"/>
      <c r="AF559" s="4"/>
      <c r="AG559" s="4"/>
      <c r="AH559" s="4"/>
      <c r="AI559" s="4"/>
    </row>
    <row r="560">
      <c r="A560" s="57"/>
      <c r="B560" s="4"/>
      <c r="C560" s="4"/>
      <c r="D560" s="4"/>
      <c r="E560" s="4"/>
      <c r="F560" s="4"/>
      <c r="G560" s="4"/>
      <c r="H560" s="52"/>
      <c r="I560" s="4"/>
      <c r="J560" s="52"/>
      <c r="K560" s="52"/>
      <c r="L560" s="52"/>
      <c r="M560" s="52"/>
      <c r="N560" s="52"/>
      <c r="O560" s="52"/>
      <c r="P560" s="52"/>
      <c r="Q560" s="52"/>
      <c r="R560" s="4"/>
      <c r="S560" s="4"/>
      <c r="T560" s="4"/>
      <c r="U560" s="74"/>
      <c r="V560" s="3"/>
      <c r="W560" s="3"/>
      <c r="X560" s="3"/>
      <c r="Y560" s="3"/>
      <c r="Z560" s="58"/>
      <c r="AA560" s="3"/>
      <c r="AB560" s="3"/>
      <c r="AC560" s="4"/>
      <c r="AD560" s="4"/>
      <c r="AE560" s="4"/>
      <c r="AF560" s="4"/>
      <c r="AG560" s="4"/>
      <c r="AH560" s="4"/>
      <c r="AI560" s="4"/>
    </row>
    <row r="561">
      <c r="A561" s="57"/>
      <c r="B561" s="4"/>
      <c r="C561" s="4"/>
      <c r="D561" s="4"/>
      <c r="E561" s="4"/>
      <c r="F561" s="4"/>
      <c r="G561" s="4"/>
      <c r="H561" s="52"/>
      <c r="I561" s="4"/>
      <c r="J561" s="52"/>
      <c r="K561" s="52"/>
      <c r="L561" s="52"/>
      <c r="M561" s="52"/>
      <c r="N561" s="52"/>
      <c r="O561" s="52"/>
      <c r="P561" s="52"/>
      <c r="Q561" s="52"/>
      <c r="R561" s="4"/>
      <c r="S561" s="4"/>
      <c r="T561" s="4"/>
      <c r="U561" s="74"/>
      <c r="V561" s="3"/>
      <c r="W561" s="3"/>
      <c r="X561" s="3"/>
      <c r="Y561" s="3"/>
      <c r="Z561" s="58"/>
      <c r="AA561" s="3"/>
      <c r="AB561" s="3"/>
      <c r="AC561" s="4"/>
      <c r="AD561" s="4"/>
      <c r="AE561" s="4"/>
      <c r="AF561" s="4"/>
      <c r="AG561" s="4"/>
      <c r="AH561" s="4"/>
      <c r="AI561" s="4"/>
    </row>
    <row r="562">
      <c r="A562" s="57"/>
      <c r="B562" s="4"/>
      <c r="C562" s="4"/>
      <c r="D562" s="4"/>
      <c r="E562" s="4"/>
      <c r="F562" s="4"/>
      <c r="G562" s="4"/>
      <c r="H562" s="52"/>
      <c r="I562" s="4"/>
      <c r="J562" s="52"/>
      <c r="K562" s="52"/>
      <c r="L562" s="52"/>
      <c r="M562" s="52"/>
      <c r="N562" s="52"/>
      <c r="O562" s="52"/>
      <c r="P562" s="52"/>
      <c r="Q562" s="52"/>
      <c r="R562" s="4"/>
      <c r="S562" s="4"/>
      <c r="T562" s="4"/>
      <c r="U562" s="74"/>
      <c r="V562" s="3"/>
      <c r="W562" s="3"/>
      <c r="X562" s="3"/>
      <c r="Y562" s="3"/>
      <c r="Z562" s="58"/>
      <c r="AA562" s="3"/>
      <c r="AB562" s="3"/>
      <c r="AC562" s="4"/>
      <c r="AD562" s="4"/>
      <c r="AE562" s="4"/>
      <c r="AF562" s="4"/>
      <c r="AG562" s="4"/>
      <c r="AH562" s="4"/>
      <c r="AI562" s="4"/>
    </row>
    <row r="563">
      <c r="A563" s="57"/>
      <c r="B563" s="4"/>
      <c r="C563" s="4"/>
      <c r="D563" s="4"/>
      <c r="E563" s="4"/>
      <c r="F563" s="4"/>
      <c r="G563" s="4"/>
      <c r="H563" s="52"/>
      <c r="I563" s="4"/>
      <c r="J563" s="52"/>
      <c r="K563" s="52"/>
      <c r="L563" s="52"/>
      <c r="M563" s="52"/>
      <c r="N563" s="52"/>
      <c r="O563" s="52"/>
      <c r="P563" s="52"/>
      <c r="Q563" s="52"/>
      <c r="R563" s="4"/>
      <c r="S563" s="4"/>
      <c r="T563" s="4"/>
      <c r="U563" s="74"/>
      <c r="V563" s="3"/>
      <c r="W563" s="3"/>
      <c r="X563" s="3"/>
      <c r="Y563" s="3"/>
      <c r="Z563" s="58"/>
      <c r="AA563" s="3"/>
      <c r="AB563" s="3"/>
      <c r="AC563" s="4"/>
      <c r="AD563" s="4"/>
      <c r="AE563" s="4"/>
      <c r="AF563" s="4"/>
      <c r="AG563" s="4"/>
      <c r="AH563" s="4"/>
      <c r="AI563" s="4"/>
    </row>
    <row r="564">
      <c r="A564" s="57"/>
      <c r="B564" s="4"/>
      <c r="C564" s="4"/>
      <c r="D564" s="4"/>
      <c r="E564" s="4"/>
      <c r="F564" s="4"/>
      <c r="G564" s="4"/>
      <c r="H564" s="52"/>
      <c r="I564" s="4"/>
      <c r="J564" s="52"/>
      <c r="K564" s="52"/>
      <c r="L564" s="52"/>
      <c r="M564" s="52"/>
      <c r="N564" s="52"/>
      <c r="O564" s="52"/>
      <c r="P564" s="52"/>
      <c r="Q564" s="52"/>
      <c r="R564" s="4"/>
      <c r="S564" s="4"/>
      <c r="T564" s="4"/>
      <c r="U564" s="74"/>
      <c r="V564" s="3"/>
      <c r="W564" s="3"/>
      <c r="X564" s="3"/>
      <c r="Y564" s="3"/>
      <c r="Z564" s="58"/>
      <c r="AA564" s="3"/>
      <c r="AB564" s="3"/>
      <c r="AC564" s="4"/>
      <c r="AD564" s="4"/>
      <c r="AE564" s="4"/>
      <c r="AF564" s="4"/>
      <c r="AG564" s="4"/>
      <c r="AH564" s="4"/>
      <c r="AI564" s="4"/>
    </row>
    <row r="565">
      <c r="A565" s="57"/>
      <c r="B565" s="4"/>
      <c r="C565" s="4"/>
      <c r="D565" s="4"/>
      <c r="E565" s="4"/>
      <c r="F565" s="4"/>
      <c r="G565" s="4"/>
      <c r="H565" s="52"/>
      <c r="I565" s="4"/>
      <c r="J565" s="52"/>
      <c r="K565" s="52"/>
      <c r="L565" s="52"/>
      <c r="M565" s="52"/>
      <c r="N565" s="52"/>
      <c r="O565" s="52"/>
      <c r="P565" s="52"/>
      <c r="Q565" s="52"/>
      <c r="R565" s="4"/>
      <c r="S565" s="4"/>
      <c r="T565" s="4"/>
      <c r="U565" s="74"/>
      <c r="V565" s="3"/>
      <c r="W565" s="3"/>
      <c r="X565" s="3"/>
      <c r="Y565" s="3"/>
      <c r="Z565" s="58"/>
      <c r="AA565" s="3"/>
      <c r="AB565" s="3"/>
      <c r="AC565" s="4"/>
      <c r="AD565" s="4"/>
      <c r="AE565" s="4"/>
      <c r="AF565" s="4"/>
      <c r="AG565" s="4"/>
      <c r="AH565" s="4"/>
      <c r="AI565" s="4"/>
    </row>
    <row r="566">
      <c r="A566" s="57"/>
      <c r="B566" s="4"/>
      <c r="C566" s="4"/>
      <c r="D566" s="4"/>
      <c r="E566" s="4"/>
      <c r="F566" s="4"/>
      <c r="G566" s="4"/>
      <c r="H566" s="52"/>
      <c r="I566" s="4"/>
      <c r="J566" s="52"/>
      <c r="K566" s="52"/>
      <c r="L566" s="52"/>
      <c r="M566" s="52"/>
      <c r="N566" s="52"/>
      <c r="O566" s="52"/>
      <c r="P566" s="52"/>
      <c r="Q566" s="52"/>
      <c r="R566" s="4"/>
      <c r="S566" s="4"/>
      <c r="T566" s="4"/>
      <c r="U566" s="74"/>
      <c r="V566" s="3"/>
      <c r="W566" s="3"/>
      <c r="X566" s="3"/>
      <c r="Y566" s="3"/>
      <c r="Z566" s="58"/>
      <c r="AA566" s="3"/>
      <c r="AB566" s="3"/>
      <c r="AC566" s="4"/>
      <c r="AD566" s="4"/>
      <c r="AE566" s="4"/>
      <c r="AF566" s="4"/>
      <c r="AG566" s="4"/>
      <c r="AH566" s="4"/>
      <c r="AI566" s="4"/>
    </row>
    <row r="567">
      <c r="A567" s="57"/>
      <c r="B567" s="4"/>
      <c r="C567" s="4"/>
      <c r="D567" s="4"/>
      <c r="E567" s="4"/>
      <c r="F567" s="4"/>
      <c r="G567" s="4"/>
      <c r="H567" s="52"/>
      <c r="I567" s="4"/>
      <c r="J567" s="52"/>
      <c r="K567" s="52"/>
      <c r="L567" s="52"/>
      <c r="M567" s="52"/>
      <c r="N567" s="52"/>
      <c r="O567" s="52"/>
      <c r="P567" s="52"/>
      <c r="Q567" s="52"/>
      <c r="R567" s="4"/>
      <c r="S567" s="4"/>
      <c r="T567" s="4"/>
      <c r="U567" s="74"/>
      <c r="V567" s="3"/>
      <c r="W567" s="3"/>
      <c r="X567" s="3"/>
      <c r="Y567" s="3"/>
      <c r="Z567" s="58"/>
      <c r="AA567" s="3"/>
      <c r="AB567" s="3"/>
      <c r="AC567" s="4"/>
      <c r="AD567" s="4"/>
      <c r="AE567" s="4"/>
      <c r="AF567" s="4"/>
      <c r="AG567" s="4"/>
      <c r="AH567" s="4"/>
      <c r="AI567" s="4"/>
    </row>
    <row r="568">
      <c r="A568" s="57"/>
      <c r="B568" s="4"/>
      <c r="C568" s="4"/>
      <c r="D568" s="4"/>
      <c r="E568" s="4"/>
      <c r="F568" s="4"/>
      <c r="G568" s="4"/>
      <c r="H568" s="52"/>
      <c r="I568" s="4"/>
      <c r="J568" s="52"/>
      <c r="K568" s="52"/>
      <c r="L568" s="52"/>
      <c r="M568" s="52"/>
      <c r="N568" s="52"/>
      <c r="O568" s="52"/>
      <c r="P568" s="52"/>
      <c r="Q568" s="52"/>
      <c r="R568" s="4"/>
      <c r="S568" s="4"/>
      <c r="T568" s="4"/>
      <c r="U568" s="74"/>
      <c r="V568" s="3"/>
      <c r="W568" s="3"/>
      <c r="X568" s="3"/>
      <c r="Y568" s="3"/>
      <c r="Z568" s="58"/>
      <c r="AA568" s="3"/>
      <c r="AB568" s="3"/>
      <c r="AC568" s="4"/>
      <c r="AD568" s="4"/>
      <c r="AE568" s="4"/>
      <c r="AF568" s="4"/>
      <c r="AG568" s="4"/>
      <c r="AH568" s="4"/>
      <c r="AI568" s="4"/>
    </row>
    <row r="569">
      <c r="A569" s="57"/>
      <c r="B569" s="4"/>
      <c r="C569" s="4"/>
      <c r="D569" s="4"/>
      <c r="E569" s="4"/>
      <c r="F569" s="4"/>
      <c r="G569" s="4"/>
      <c r="H569" s="52"/>
      <c r="I569" s="4"/>
      <c r="J569" s="52"/>
      <c r="K569" s="52"/>
      <c r="L569" s="52"/>
      <c r="M569" s="52"/>
      <c r="N569" s="52"/>
      <c r="O569" s="52"/>
      <c r="P569" s="52"/>
      <c r="Q569" s="52"/>
      <c r="R569" s="4"/>
      <c r="S569" s="4"/>
      <c r="T569" s="4"/>
      <c r="U569" s="74"/>
      <c r="V569" s="3"/>
      <c r="W569" s="3"/>
      <c r="X569" s="3"/>
      <c r="Y569" s="3"/>
      <c r="Z569" s="58"/>
      <c r="AA569" s="3"/>
      <c r="AB569" s="3"/>
      <c r="AC569" s="4"/>
      <c r="AD569" s="4"/>
      <c r="AE569" s="4"/>
      <c r="AF569" s="4"/>
      <c r="AG569" s="4"/>
      <c r="AH569" s="4"/>
      <c r="AI569" s="4"/>
    </row>
    <row r="570">
      <c r="A570" s="57"/>
      <c r="B570" s="4"/>
      <c r="C570" s="4"/>
      <c r="D570" s="4"/>
      <c r="E570" s="4"/>
      <c r="F570" s="4"/>
      <c r="G570" s="4"/>
      <c r="H570" s="52"/>
      <c r="I570" s="4"/>
      <c r="J570" s="52"/>
      <c r="K570" s="52"/>
      <c r="L570" s="52"/>
      <c r="M570" s="52"/>
      <c r="N570" s="52"/>
      <c r="O570" s="52"/>
      <c r="P570" s="52"/>
      <c r="Q570" s="52"/>
      <c r="R570" s="4"/>
      <c r="S570" s="4"/>
      <c r="T570" s="4"/>
      <c r="U570" s="74"/>
      <c r="V570" s="3"/>
      <c r="W570" s="3"/>
      <c r="X570" s="3"/>
      <c r="Y570" s="3"/>
      <c r="Z570" s="58"/>
      <c r="AA570" s="3"/>
      <c r="AB570" s="3"/>
      <c r="AC570" s="4"/>
      <c r="AD570" s="4"/>
      <c r="AE570" s="4"/>
      <c r="AF570" s="4"/>
      <c r="AG570" s="4"/>
      <c r="AH570" s="4"/>
      <c r="AI570" s="4"/>
    </row>
    <row r="571">
      <c r="A571" s="57"/>
      <c r="B571" s="4"/>
      <c r="C571" s="4"/>
      <c r="D571" s="4"/>
      <c r="E571" s="4"/>
      <c r="F571" s="4"/>
      <c r="G571" s="4"/>
      <c r="H571" s="52"/>
      <c r="I571" s="4"/>
      <c r="J571" s="52"/>
      <c r="K571" s="52"/>
      <c r="L571" s="52"/>
      <c r="M571" s="52"/>
      <c r="N571" s="52"/>
      <c r="O571" s="52"/>
      <c r="P571" s="52"/>
      <c r="Q571" s="52"/>
      <c r="R571" s="4"/>
      <c r="S571" s="4"/>
      <c r="T571" s="4"/>
      <c r="U571" s="74"/>
      <c r="V571" s="3"/>
      <c r="W571" s="3"/>
      <c r="X571" s="3"/>
      <c r="Y571" s="3"/>
      <c r="Z571" s="58"/>
      <c r="AA571" s="3"/>
      <c r="AB571" s="3"/>
      <c r="AC571" s="4"/>
      <c r="AD571" s="4"/>
      <c r="AE571" s="4"/>
      <c r="AF571" s="4"/>
      <c r="AG571" s="4"/>
      <c r="AH571" s="4"/>
      <c r="AI571" s="4"/>
    </row>
    <row r="572">
      <c r="A572" s="57"/>
      <c r="B572" s="4"/>
      <c r="C572" s="4"/>
      <c r="D572" s="4"/>
      <c r="E572" s="4"/>
      <c r="F572" s="4"/>
      <c r="G572" s="4"/>
      <c r="H572" s="52"/>
      <c r="I572" s="4"/>
      <c r="J572" s="52"/>
      <c r="K572" s="52"/>
      <c r="L572" s="52"/>
      <c r="M572" s="52"/>
      <c r="N572" s="52"/>
      <c r="O572" s="52"/>
      <c r="P572" s="52"/>
      <c r="Q572" s="52"/>
      <c r="R572" s="4"/>
      <c r="S572" s="4"/>
      <c r="T572" s="4"/>
      <c r="U572" s="74"/>
      <c r="V572" s="3"/>
      <c r="W572" s="3"/>
      <c r="X572" s="3"/>
      <c r="Y572" s="3"/>
      <c r="Z572" s="58"/>
      <c r="AA572" s="3"/>
      <c r="AB572" s="3"/>
      <c r="AC572" s="4"/>
      <c r="AD572" s="4"/>
      <c r="AE572" s="4"/>
      <c r="AF572" s="4"/>
      <c r="AG572" s="4"/>
      <c r="AH572" s="4"/>
      <c r="AI572" s="4"/>
    </row>
    <row r="573">
      <c r="A573" s="57"/>
      <c r="B573" s="4"/>
      <c r="C573" s="4"/>
      <c r="D573" s="4"/>
      <c r="E573" s="4"/>
      <c r="F573" s="4"/>
      <c r="G573" s="4"/>
      <c r="H573" s="52"/>
      <c r="I573" s="4"/>
      <c r="J573" s="52"/>
      <c r="K573" s="52"/>
      <c r="L573" s="52"/>
      <c r="M573" s="52"/>
      <c r="N573" s="52"/>
      <c r="O573" s="52"/>
      <c r="P573" s="52"/>
      <c r="Q573" s="52"/>
      <c r="R573" s="4"/>
      <c r="S573" s="4"/>
      <c r="T573" s="4"/>
      <c r="U573" s="74"/>
      <c r="V573" s="3"/>
      <c r="W573" s="3"/>
      <c r="X573" s="3"/>
      <c r="Y573" s="3"/>
      <c r="Z573" s="58"/>
      <c r="AA573" s="3"/>
      <c r="AB573" s="3"/>
      <c r="AC573" s="4"/>
      <c r="AD573" s="4"/>
      <c r="AE573" s="4"/>
      <c r="AF573" s="4"/>
      <c r="AG573" s="4"/>
      <c r="AH573" s="4"/>
      <c r="AI573" s="4"/>
    </row>
    <row r="574">
      <c r="A574" s="57"/>
      <c r="B574" s="4"/>
      <c r="C574" s="4"/>
      <c r="D574" s="4"/>
      <c r="E574" s="4"/>
      <c r="F574" s="4"/>
      <c r="G574" s="4"/>
      <c r="H574" s="52"/>
      <c r="I574" s="4"/>
      <c r="J574" s="52"/>
      <c r="K574" s="52"/>
      <c r="L574" s="52"/>
      <c r="M574" s="52"/>
      <c r="N574" s="52"/>
      <c r="O574" s="52"/>
      <c r="P574" s="52"/>
      <c r="Q574" s="52"/>
      <c r="R574" s="4"/>
      <c r="S574" s="4"/>
      <c r="T574" s="4"/>
      <c r="U574" s="74"/>
      <c r="V574" s="3"/>
      <c r="W574" s="3"/>
      <c r="X574" s="3"/>
      <c r="Y574" s="3"/>
      <c r="Z574" s="58"/>
      <c r="AA574" s="3"/>
      <c r="AB574" s="3"/>
      <c r="AC574" s="4"/>
      <c r="AD574" s="4"/>
      <c r="AE574" s="4"/>
      <c r="AF574" s="4"/>
      <c r="AG574" s="4"/>
      <c r="AH574" s="4"/>
      <c r="AI574" s="4"/>
    </row>
    <row r="575">
      <c r="A575" s="57"/>
      <c r="B575" s="4"/>
      <c r="C575" s="4"/>
      <c r="D575" s="4"/>
      <c r="E575" s="4"/>
      <c r="F575" s="4"/>
      <c r="G575" s="4"/>
      <c r="H575" s="52"/>
      <c r="I575" s="4"/>
      <c r="J575" s="52"/>
      <c r="K575" s="52"/>
      <c r="L575" s="52"/>
      <c r="M575" s="52"/>
      <c r="N575" s="52"/>
      <c r="O575" s="52"/>
      <c r="P575" s="52"/>
      <c r="Q575" s="52"/>
      <c r="R575" s="4"/>
      <c r="S575" s="4"/>
      <c r="T575" s="4"/>
      <c r="U575" s="74"/>
      <c r="V575" s="3"/>
      <c r="W575" s="3"/>
      <c r="X575" s="3"/>
      <c r="Y575" s="3"/>
      <c r="Z575" s="58"/>
      <c r="AA575" s="3"/>
      <c r="AB575" s="3"/>
      <c r="AC575" s="4"/>
      <c r="AD575" s="4"/>
      <c r="AE575" s="4"/>
      <c r="AF575" s="4"/>
      <c r="AG575" s="4"/>
      <c r="AH575" s="4"/>
      <c r="AI575" s="4"/>
    </row>
    <row r="576">
      <c r="A576" s="57"/>
      <c r="B576" s="4"/>
      <c r="C576" s="4"/>
      <c r="D576" s="4"/>
      <c r="E576" s="4"/>
      <c r="F576" s="4"/>
      <c r="G576" s="4"/>
      <c r="H576" s="52"/>
      <c r="I576" s="4"/>
      <c r="J576" s="52"/>
      <c r="K576" s="52"/>
      <c r="L576" s="52"/>
      <c r="M576" s="52"/>
      <c r="N576" s="52"/>
      <c r="O576" s="52"/>
      <c r="P576" s="52"/>
      <c r="Q576" s="52"/>
      <c r="R576" s="4"/>
      <c r="S576" s="4"/>
      <c r="T576" s="4"/>
      <c r="U576" s="74"/>
      <c r="V576" s="3"/>
      <c r="W576" s="3"/>
      <c r="X576" s="3"/>
      <c r="Y576" s="3"/>
      <c r="Z576" s="58"/>
      <c r="AA576" s="3"/>
      <c r="AB576" s="3"/>
      <c r="AC576" s="4"/>
      <c r="AD576" s="4"/>
      <c r="AE576" s="4"/>
      <c r="AF576" s="4"/>
      <c r="AG576" s="4"/>
      <c r="AH576" s="4"/>
      <c r="AI576" s="4"/>
    </row>
    <row r="577">
      <c r="A577" s="57"/>
      <c r="B577" s="4"/>
      <c r="C577" s="4"/>
      <c r="D577" s="4"/>
      <c r="E577" s="4"/>
      <c r="F577" s="4"/>
      <c r="G577" s="4"/>
      <c r="H577" s="52"/>
      <c r="I577" s="4"/>
      <c r="J577" s="52"/>
      <c r="K577" s="52"/>
      <c r="L577" s="52"/>
      <c r="M577" s="52"/>
      <c r="N577" s="52"/>
      <c r="O577" s="52"/>
      <c r="P577" s="52"/>
      <c r="Q577" s="52"/>
      <c r="R577" s="4"/>
      <c r="S577" s="4"/>
      <c r="T577" s="4"/>
      <c r="U577" s="74"/>
      <c r="V577" s="3"/>
      <c r="W577" s="3"/>
      <c r="X577" s="3"/>
      <c r="Y577" s="3"/>
      <c r="Z577" s="58"/>
      <c r="AA577" s="3"/>
      <c r="AB577" s="3"/>
      <c r="AC577" s="4"/>
      <c r="AD577" s="4"/>
      <c r="AE577" s="4"/>
      <c r="AF577" s="4"/>
      <c r="AG577" s="4"/>
      <c r="AH577" s="4"/>
      <c r="AI577" s="4"/>
    </row>
    <row r="578">
      <c r="A578" s="57"/>
      <c r="B578" s="4"/>
      <c r="C578" s="4"/>
      <c r="D578" s="4"/>
      <c r="E578" s="4"/>
      <c r="F578" s="4"/>
      <c r="G578" s="4"/>
      <c r="H578" s="52"/>
      <c r="I578" s="4"/>
      <c r="J578" s="52"/>
      <c r="K578" s="52"/>
      <c r="L578" s="52"/>
      <c r="M578" s="52"/>
      <c r="N578" s="52"/>
      <c r="O578" s="52"/>
      <c r="P578" s="52"/>
      <c r="Q578" s="52"/>
      <c r="R578" s="4"/>
      <c r="S578" s="4"/>
      <c r="T578" s="4"/>
      <c r="U578" s="74"/>
      <c r="V578" s="3"/>
      <c r="W578" s="3"/>
      <c r="X578" s="3"/>
      <c r="Y578" s="3"/>
      <c r="Z578" s="58"/>
      <c r="AA578" s="3"/>
      <c r="AB578" s="3"/>
      <c r="AC578" s="4"/>
      <c r="AD578" s="4"/>
      <c r="AE578" s="4"/>
      <c r="AF578" s="4"/>
      <c r="AG578" s="4"/>
      <c r="AH578" s="4"/>
      <c r="AI578" s="4"/>
    </row>
    <row r="579">
      <c r="A579" s="57"/>
      <c r="B579" s="4"/>
      <c r="C579" s="4"/>
      <c r="D579" s="4"/>
      <c r="E579" s="4"/>
      <c r="F579" s="4"/>
      <c r="G579" s="4"/>
      <c r="H579" s="52"/>
      <c r="I579" s="4"/>
      <c r="J579" s="52"/>
      <c r="K579" s="52"/>
      <c r="L579" s="52"/>
      <c r="M579" s="52"/>
      <c r="N579" s="52"/>
      <c r="O579" s="52"/>
      <c r="P579" s="52"/>
      <c r="Q579" s="52"/>
      <c r="R579" s="4"/>
      <c r="S579" s="4"/>
      <c r="T579" s="4"/>
      <c r="U579" s="74"/>
      <c r="V579" s="3"/>
      <c r="W579" s="3"/>
      <c r="X579" s="3"/>
      <c r="Y579" s="3"/>
      <c r="Z579" s="58"/>
      <c r="AA579" s="3"/>
      <c r="AB579" s="3"/>
      <c r="AC579" s="4"/>
      <c r="AD579" s="4"/>
      <c r="AE579" s="4"/>
      <c r="AF579" s="4"/>
      <c r="AG579" s="4"/>
      <c r="AH579" s="4"/>
      <c r="AI579" s="4"/>
    </row>
    <row r="580">
      <c r="A580" s="57"/>
      <c r="B580" s="4"/>
      <c r="C580" s="4"/>
      <c r="D580" s="4"/>
      <c r="E580" s="4"/>
      <c r="F580" s="4"/>
      <c r="G580" s="4"/>
      <c r="H580" s="52"/>
      <c r="I580" s="4"/>
      <c r="J580" s="52"/>
      <c r="K580" s="52"/>
      <c r="L580" s="52"/>
      <c r="M580" s="52"/>
      <c r="N580" s="52"/>
      <c r="O580" s="52"/>
      <c r="P580" s="52"/>
      <c r="Q580" s="52"/>
      <c r="R580" s="4"/>
      <c r="S580" s="4"/>
      <c r="T580" s="4"/>
      <c r="U580" s="74"/>
      <c r="V580" s="3"/>
      <c r="W580" s="3"/>
      <c r="X580" s="3"/>
      <c r="Y580" s="3"/>
      <c r="Z580" s="58"/>
      <c r="AA580" s="3"/>
      <c r="AB580" s="3"/>
      <c r="AC580" s="4"/>
      <c r="AD580" s="4"/>
      <c r="AE580" s="4"/>
      <c r="AF580" s="4"/>
      <c r="AG580" s="4"/>
      <c r="AH580" s="4"/>
      <c r="AI580" s="4"/>
    </row>
    <row r="581">
      <c r="A581" s="57"/>
      <c r="B581" s="4"/>
      <c r="C581" s="4"/>
      <c r="D581" s="4"/>
      <c r="E581" s="4"/>
      <c r="F581" s="4"/>
      <c r="G581" s="4"/>
      <c r="H581" s="52"/>
      <c r="I581" s="4"/>
      <c r="J581" s="52"/>
      <c r="K581" s="52"/>
      <c r="L581" s="52"/>
      <c r="M581" s="52"/>
      <c r="N581" s="52"/>
      <c r="O581" s="52"/>
      <c r="P581" s="52"/>
      <c r="Q581" s="52"/>
      <c r="R581" s="4"/>
      <c r="S581" s="4"/>
      <c r="T581" s="4"/>
      <c r="U581" s="74"/>
      <c r="V581" s="3"/>
      <c r="W581" s="3"/>
      <c r="X581" s="3"/>
      <c r="Y581" s="3"/>
      <c r="Z581" s="58"/>
      <c r="AA581" s="3"/>
      <c r="AB581" s="3"/>
      <c r="AC581" s="4"/>
      <c r="AD581" s="4"/>
      <c r="AE581" s="4"/>
      <c r="AF581" s="4"/>
      <c r="AG581" s="4"/>
      <c r="AH581" s="4"/>
      <c r="AI581" s="4"/>
    </row>
    <row r="582">
      <c r="A582" s="57"/>
      <c r="B582" s="4"/>
      <c r="C582" s="4"/>
      <c r="D582" s="4"/>
      <c r="E582" s="4"/>
      <c r="F582" s="4"/>
      <c r="G582" s="4"/>
      <c r="H582" s="52"/>
      <c r="I582" s="4"/>
      <c r="J582" s="52"/>
      <c r="K582" s="52"/>
      <c r="L582" s="52"/>
      <c r="M582" s="52"/>
      <c r="N582" s="52"/>
      <c r="O582" s="52"/>
      <c r="P582" s="52"/>
      <c r="Q582" s="52"/>
      <c r="R582" s="4"/>
      <c r="S582" s="4"/>
      <c r="T582" s="4"/>
      <c r="U582" s="74"/>
      <c r="V582" s="3"/>
      <c r="W582" s="3"/>
      <c r="X582" s="3"/>
      <c r="Y582" s="3"/>
      <c r="Z582" s="58"/>
      <c r="AA582" s="3"/>
      <c r="AB582" s="3"/>
      <c r="AC582" s="4"/>
      <c r="AD582" s="4"/>
      <c r="AE582" s="4"/>
      <c r="AF582" s="4"/>
      <c r="AG582" s="4"/>
      <c r="AH582" s="4"/>
      <c r="AI582" s="4"/>
    </row>
    <row r="583">
      <c r="A583" s="57"/>
      <c r="B583" s="4"/>
      <c r="C583" s="4"/>
      <c r="D583" s="4"/>
      <c r="E583" s="4"/>
      <c r="F583" s="4"/>
      <c r="G583" s="4"/>
      <c r="H583" s="52"/>
      <c r="I583" s="4"/>
      <c r="J583" s="52"/>
      <c r="K583" s="52"/>
      <c r="L583" s="52"/>
      <c r="M583" s="52"/>
      <c r="N583" s="52"/>
      <c r="O583" s="52"/>
      <c r="P583" s="52"/>
      <c r="Q583" s="52"/>
      <c r="R583" s="4"/>
      <c r="S583" s="4"/>
      <c r="T583" s="4"/>
      <c r="U583" s="74"/>
      <c r="V583" s="3"/>
      <c r="W583" s="3"/>
      <c r="X583" s="3"/>
      <c r="Y583" s="3"/>
      <c r="Z583" s="58"/>
      <c r="AA583" s="3"/>
      <c r="AB583" s="3"/>
      <c r="AC583" s="4"/>
      <c r="AD583" s="4"/>
      <c r="AE583" s="4"/>
      <c r="AF583" s="4"/>
      <c r="AG583" s="4"/>
      <c r="AH583" s="4"/>
      <c r="AI583" s="4"/>
    </row>
    <row r="584">
      <c r="A584" s="57"/>
      <c r="B584" s="4"/>
      <c r="C584" s="4"/>
      <c r="D584" s="4"/>
      <c r="E584" s="4"/>
      <c r="F584" s="4"/>
      <c r="G584" s="4"/>
      <c r="H584" s="52"/>
      <c r="I584" s="4"/>
      <c r="J584" s="52"/>
      <c r="K584" s="52"/>
      <c r="L584" s="52"/>
      <c r="M584" s="52"/>
      <c r="N584" s="52"/>
      <c r="O584" s="52"/>
      <c r="P584" s="52"/>
      <c r="Q584" s="52"/>
      <c r="R584" s="4"/>
      <c r="S584" s="4"/>
      <c r="T584" s="4"/>
      <c r="U584" s="74"/>
      <c r="V584" s="3"/>
      <c r="W584" s="3"/>
      <c r="X584" s="3"/>
      <c r="Y584" s="3"/>
      <c r="Z584" s="58"/>
      <c r="AA584" s="3"/>
      <c r="AB584" s="3"/>
      <c r="AC584" s="4"/>
      <c r="AD584" s="4"/>
      <c r="AE584" s="4"/>
      <c r="AF584" s="4"/>
      <c r="AG584" s="4"/>
      <c r="AH584" s="4"/>
      <c r="AI584" s="4"/>
    </row>
    <row r="585">
      <c r="A585" s="57"/>
      <c r="B585" s="4"/>
      <c r="C585" s="4"/>
      <c r="D585" s="4"/>
      <c r="E585" s="4"/>
      <c r="F585" s="4"/>
      <c r="G585" s="4"/>
      <c r="H585" s="52"/>
      <c r="I585" s="4"/>
      <c r="J585" s="52"/>
      <c r="K585" s="52"/>
      <c r="L585" s="52"/>
      <c r="M585" s="52"/>
      <c r="N585" s="52"/>
      <c r="O585" s="52"/>
      <c r="P585" s="52"/>
      <c r="Q585" s="52"/>
      <c r="R585" s="4"/>
      <c r="S585" s="4"/>
      <c r="T585" s="4"/>
      <c r="U585" s="74"/>
      <c r="V585" s="3"/>
      <c r="W585" s="3"/>
      <c r="X585" s="3"/>
      <c r="Y585" s="3"/>
      <c r="Z585" s="58"/>
      <c r="AA585" s="3"/>
      <c r="AB585" s="3"/>
      <c r="AC585" s="4"/>
      <c r="AD585" s="4"/>
      <c r="AE585" s="4"/>
      <c r="AF585" s="4"/>
      <c r="AG585" s="4"/>
      <c r="AH585" s="4"/>
      <c r="AI585" s="4"/>
    </row>
    <row r="586">
      <c r="A586" s="57"/>
      <c r="B586" s="4"/>
      <c r="C586" s="4"/>
      <c r="D586" s="4"/>
      <c r="E586" s="4"/>
      <c r="F586" s="4"/>
      <c r="G586" s="4"/>
      <c r="H586" s="52"/>
      <c r="I586" s="4"/>
      <c r="J586" s="52"/>
      <c r="K586" s="52"/>
      <c r="L586" s="52"/>
      <c r="M586" s="52"/>
      <c r="N586" s="52"/>
      <c r="O586" s="52"/>
      <c r="P586" s="52"/>
      <c r="Q586" s="52"/>
      <c r="R586" s="4"/>
      <c r="S586" s="4"/>
      <c r="T586" s="4"/>
      <c r="U586" s="74"/>
      <c r="V586" s="3"/>
      <c r="W586" s="3"/>
      <c r="X586" s="3"/>
      <c r="Y586" s="3"/>
      <c r="Z586" s="58"/>
      <c r="AA586" s="3"/>
      <c r="AB586" s="3"/>
      <c r="AC586" s="4"/>
      <c r="AD586" s="4"/>
      <c r="AE586" s="4"/>
      <c r="AF586" s="4"/>
      <c r="AG586" s="4"/>
      <c r="AH586" s="4"/>
      <c r="AI586" s="4"/>
    </row>
    <row r="587">
      <c r="A587" s="57"/>
      <c r="B587" s="4"/>
      <c r="C587" s="4"/>
      <c r="D587" s="4"/>
      <c r="E587" s="4"/>
      <c r="F587" s="4"/>
      <c r="G587" s="4"/>
      <c r="H587" s="52"/>
      <c r="I587" s="4"/>
      <c r="J587" s="52"/>
      <c r="K587" s="52"/>
      <c r="L587" s="52"/>
      <c r="M587" s="52"/>
      <c r="N587" s="52"/>
      <c r="O587" s="52"/>
      <c r="P587" s="52"/>
      <c r="Q587" s="52"/>
      <c r="R587" s="4"/>
      <c r="S587" s="4"/>
      <c r="T587" s="4"/>
      <c r="U587" s="74"/>
      <c r="V587" s="3"/>
      <c r="W587" s="3"/>
      <c r="X587" s="3"/>
      <c r="Y587" s="3"/>
      <c r="Z587" s="58"/>
      <c r="AA587" s="3"/>
      <c r="AB587" s="3"/>
      <c r="AC587" s="4"/>
      <c r="AD587" s="4"/>
      <c r="AE587" s="4"/>
      <c r="AF587" s="4"/>
      <c r="AG587" s="4"/>
      <c r="AH587" s="4"/>
      <c r="AI587" s="4"/>
    </row>
    <row r="588">
      <c r="A588" s="57"/>
      <c r="B588" s="4"/>
      <c r="C588" s="4"/>
      <c r="D588" s="4"/>
      <c r="E588" s="4"/>
      <c r="F588" s="4"/>
      <c r="G588" s="4"/>
      <c r="H588" s="52"/>
      <c r="I588" s="4"/>
      <c r="J588" s="52"/>
      <c r="K588" s="52"/>
      <c r="L588" s="52"/>
      <c r="M588" s="52"/>
      <c r="N588" s="52"/>
      <c r="O588" s="52"/>
      <c r="P588" s="52"/>
      <c r="Q588" s="52"/>
      <c r="R588" s="4"/>
      <c r="S588" s="4"/>
      <c r="T588" s="4"/>
      <c r="U588" s="74"/>
      <c r="V588" s="3"/>
      <c r="W588" s="3"/>
      <c r="X588" s="3"/>
      <c r="Y588" s="3"/>
      <c r="Z588" s="58"/>
      <c r="AA588" s="3"/>
      <c r="AB588" s="3"/>
      <c r="AC588" s="4"/>
      <c r="AD588" s="4"/>
      <c r="AE588" s="4"/>
      <c r="AF588" s="4"/>
      <c r="AG588" s="4"/>
      <c r="AH588" s="4"/>
      <c r="AI588" s="4"/>
    </row>
    <row r="589">
      <c r="A589" s="57"/>
      <c r="B589" s="4"/>
      <c r="C589" s="4"/>
      <c r="D589" s="4"/>
      <c r="E589" s="4"/>
      <c r="F589" s="4"/>
      <c r="G589" s="4"/>
      <c r="H589" s="52"/>
      <c r="I589" s="4"/>
      <c r="J589" s="52"/>
      <c r="K589" s="52"/>
      <c r="L589" s="52"/>
      <c r="M589" s="52"/>
      <c r="N589" s="52"/>
      <c r="O589" s="52"/>
      <c r="P589" s="52"/>
      <c r="Q589" s="52"/>
      <c r="R589" s="4"/>
      <c r="S589" s="4"/>
      <c r="T589" s="4"/>
      <c r="U589" s="74"/>
      <c r="V589" s="3"/>
      <c r="W589" s="3"/>
      <c r="X589" s="3"/>
      <c r="Y589" s="3"/>
      <c r="Z589" s="58"/>
      <c r="AA589" s="3"/>
      <c r="AB589" s="3"/>
      <c r="AC589" s="4"/>
      <c r="AD589" s="4"/>
      <c r="AE589" s="4"/>
      <c r="AF589" s="4"/>
      <c r="AG589" s="4"/>
      <c r="AH589" s="4"/>
      <c r="AI589" s="4"/>
    </row>
    <row r="590">
      <c r="A590" s="57"/>
      <c r="B590" s="4"/>
      <c r="C590" s="4"/>
      <c r="D590" s="4"/>
      <c r="E590" s="4"/>
      <c r="F590" s="4"/>
      <c r="G590" s="4"/>
      <c r="H590" s="52"/>
      <c r="I590" s="4"/>
      <c r="J590" s="52"/>
      <c r="K590" s="52"/>
      <c r="L590" s="52"/>
      <c r="M590" s="52"/>
      <c r="N590" s="52"/>
      <c r="O590" s="52"/>
      <c r="P590" s="52"/>
      <c r="Q590" s="52"/>
      <c r="R590" s="4"/>
      <c r="S590" s="4"/>
      <c r="T590" s="4"/>
      <c r="U590" s="74"/>
      <c r="V590" s="3"/>
      <c r="W590" s="3"/>
      <c r="X590" s="3"/>
      <c r="Y590" s="3"/>
      <c r="Z590" s="58"/>
      <c r="AA590" s="3"/>
      <c r="AB590" s="3"/>
      <c r="AC590" s="4"/>
      <c r="AD590" s="4"/>
      <c r="AE590" s="4"/>
      <c r="AF590" s="4"/>
      <c r="AG590" s="4"/>
      <c r="AH590" s="4"/>
      <c r="AI590" s="4"/>
    </row>
    <row r="591">
      <c r="A591" s="57"/>
      <c r="B591" s="4"/>
      <c r="C591" s="4"/>
      <c r="D591" s="4"/>
      <c r="E591" s="4"/>
      <c r="F591" s="4"/>
      <c r="G591" s="4"/>
      <c r="H591" s="52"/>
      <c r="I591" s="4"/>
      <c r="J591" s="52"/>
      <c r="K591" s="52"/>
      <c r="L591" s="52"/>
      <c r="M591" s="52"/>
      <c r="N591" s="52"/>
      <c r="O591" s="52"/>
      <c r="P591" s="52"/>
      <c r="Q591" s="52"/>
      <c r="R591" s="4"/>
      <c r="S591" s="4"/>
      <c r="T591" s="4"/>
      <c r="U591" s="74"/>
      <c r="V591" s="3"/>
      <c r="W591" s="3"/>
      <c r="X591" s="3"/>
      <c r="Y591" s="3"/>
      <c r="Z591" s="58"/>
      <c r="AA591" s="3"/>
      <c r="AB591" s="3"/>
      <c r="AC591" s="4"/>
      <c r="AD591" s="4"/>
      <c r="AE591" s="4"/>
      <c r="AF591" s="4"/>
      <c r="AG591" s="4"/>
      <c r="AH591" s="4"/>
      <c r="AI591" s="4"/>
    </row>
    <row r="592">
      <c r="A592" s="57"/>
      <c r="B592" s="4"/>
      <c r="C592" s="4"/>
      <c r="D592" s="4"/>
      <c r="E592" s="4"/>
      <c r="F592" s="4"/>
      <c r="G592" s="4"/>
      <c r="H592" s="52"/>
      <c r="I592" s="4"/>
      <c r="J592" s="52"/>
      <c r="K592" s="52"/>
      <c r="L592" s="52"/>
      <c r="M592" s="52"/>
      <c r="N592" s="52"/>
      <c r="O592" s="52"/>
      <c r="P592" s="52"/>
      <c r="Q592" s="52"/>
      <c r="R592" s="4"/>
      <c r="S592" s="4"/>
      <c r="T592" s="4"/>
      <c r="U592" s="74"/>
      <c r="V592" s="3"/>
      <c r="W592" s="3"/>
      <c r="X592" s="3"/>
      <c r="Y592" s="3"/>
      <c r="Z592" s="58"/>
      <c r="AA592" s="3"/>
      <c r="AB592" s="3"/>
      <c r="AC592" s="4"/>
      <c r="AD592" s="4"/>
      <c r="AE592" s="4"/>
      <c r="AF592" s="4"/>
      <c r="AG592" s="4"/>
      <c r="AH592" s="4"/>
      <c r="AI592" s="4"/>
    </row>
    <row r="593">
      <c r="A593" s="57"/>
      <c r="B593" s="4"/>
      <c r="C593" s="4"/>
      <c r="D593" s="4"/>
      <c r="E593" s="4"/>
      <c r="F593" s="4"/>
      <c r="G593" s="4"/>
      <c r="H593" s="52"/>
      <c r="I593" s="4"/>
      <c r="J593" s="52"/>
      <c r="K593" s="52"/>
      <c r="L593" s="52"/>
      <c r="M593" s="52"/>
      <c r="N593" s="52"/>
      <c r="O593" s="52"/>
      <c r="P593" s="52"/>
      <c r="Q593" s="52"/>
      <c r="R593" s="4"/>
      <c r="S593" s="4"/>
      <c r="T593" s="4"/>
      <c r="U593" s="74"/>
      <c r="V593" s="3"/>
      <c r="W593" s="3"/>
      <c r="X593" s="3"/>
      <c r="Y593" s="3"/>
      <c r="Z593" s="58"/>
      <c r="AA593" s="3"/>
      <c r="AB593" s="3"/>
      <c r="AC593" s="4"/>
      <c r="AD593" s="4"/>
      <c r="AE593" s="4"/>
      <c r="AF593" s="4"/>
      <c r="AG593" s="4"/>
      <c r="AH593" s="4"/>
      <c r="AI593" s="4"/>
    </row>
    <row r="594">
      <c r="A594" s="57"/>
      <c r="B594" s="4"/>
      <c r="C594" s="4"/>
      <c r="D594" s="4"/>
      <c r="E594" s="4"/>
      <c r="F594" s="4"/>
      <c r="G594" s="4"/>
      <c r="H594" s="52"/>
      <c r="I594" s="4"/>
      <c r="J594" s="52"/>
      <c r="K594" s="52"/>
      <c r="L594" s="52"/>
      <c r="M594" s="52"/>
      <c r="N594" s="52"/>
      <c r="O594" s="52"/>
      <c r="P594" s="52"/>
      <c r="Q594" s="52"/>
      <c r="R594" s="4"/>
      <c r="S594" s="4"/>
      <c r="T594" s="4"/>
      <c r="U594" s="74"/>
      <c r="V594" s="3"/>
      <c r="W594" s="3"/>
      <c r="X594" s="3"/>
      <c r="Y594" s="3"/>
      <c r="Z594" s="58"/>
      <c r="AA594" s="3"/>
      <c r="AB594" s="3"/>
      <c r="AC594" s="4"/>
      <c r="AD594" s="4"/>
      <c r="AE594" s="4"/>
      <c r="AF594" s="4"/>
      <c r="AG594" s="4"/>
      <c r="AH594" s="4"/>
      <c r="AI594" s="4"/>
    </row>
    <row r="595">
      <c r="A595" s="57"/>
      <c r="B595" s="4"/>
      <c r="C595" s="4"/>
      <c r="D595" s="4"/>
      <c r="E595" s="4"/>
      <c r="F595" s="4"/>
      <c r="G595" s="4"/>
      <c r="H595" s="52"/>
      <c r="I595" s="4"/>
      <c r="J595" s="52"/>
      <c r="K595" s="52"/>
      <c r="L595" s="52"/>
      <c r="M595" s="52"/>
      <c r="N595" s="52"/>
      <c r="O595" s="52"/>
      <c r="P595" s="52"/>
      <c r="Q595" s="52"/>
      <c r="R595" s="4"/>
      <c r="S595" s="4"/>
      <c r="T595" s="4"/>
      <c r="U595" s="74"/>
      <c r="V595" s="3"/>
      <c r="W595" s="3"/>
      <c r="X595" s="3"/>
      <c r="Y595" s="3"/>
      <c r="Z595" s="58"/>
      <c r="AA595" s="3"/>
      <c r="AB595" s="3"/>
      <c r="AC595" s="4"/>
      <c r="AD595" s="4"/>
      <c r="AE595" s="4"/>
      <c r="AF595" s="4"/>
      <c r="AG595" s="4"/>
      <c r="AH595" s="4"/>
      <c r="AI595" s="4"/>
    </row>
    <row r="596">
      <c r="A596" s="57"/>
      <c r="B596" s="4"/>
      <c r="C596" s="4"/>
      <c r="D596" s="4"/>
      <c r="E596" s="4"/>
      <c r="F596" s="4"/>
      <c r="G596" s="4"/>
      <c r="H596" s="52"/>
      <c r="I596" s="4"/>
      <c r="J596" s="52"/>
      <c r="K596" s="52"/>
      <c r="L596" s="52"/>
      <c r="M596" s="52"/>
      <c r="N596" s="52"/>
      <c r="O596" s="52"/>
      <c r="P596" s="52"/>
      <c r="Q596" s="52"/>
      <c r="R596" s="4"/>
      <c r="S596" s="4"/>
      <c r="T596" s="4"/>
      <c r="U596" s="74"/>
      <c r="V596" s="3"/>
      <c r="W596" s="3"/>
      <c r="X596" s="3"/>
      <c r="Y596" s="3"/>
      <c r="Z596" s="58"/>
      <c r="AA596" s="3"/>
      <c r="AB596" s="3"/>
      <c r="AC596" s="4"/>
      <c r="AD596" s="4"/>
      <c r="AE596" s="4"/>
      <c r="AF596" s="4"/>
      <c r="AG596" s="4"/>
      <c r="AH596" s="4"/>
      <c r="AI596" s="4"/>
    </row>
    <row r="597">
      <c r="A597" s="57"/>
      <c r="B597" s="4"/>
      <c r="C597" s="4"/>
      <c r="D597" s="4"/>
      <c r="E597" s="4"/>
      <c r="F597" s="4"/>
      <c r="G597" s="4"/>
      <c r="H597" s="52"/>
      <c r="I597" s="4"/>
      <c r="J597" s="52"/>
      <c r="K597" s="52"/>
      <c r="L597" s="52"/>
      <c r="M597" s="52"/>
      <c r="N597" s="52"/>
      <c r="O597" s="52"/>
      <c r="P597" s="52"/>
      <c r="Q597" s="52"/>
      <c r="R597" s="4"/>
      <c r="S597" s="4"/>
      <c r="T597" s="4"/>
      <c r="U597" s="74"/>
      <c r="V597" s="3"/>
      <c r="W597" s="3"/>
      <c r="X597" s="3"/>
      <c r="Y597" s="3"/>
      <c r="Z597" s="58"/>
      <c r="AA597" s="3"/>
      <c r="AB597" s="3"/>
      <c r="AC597" s="4"/>
      <c r="AD597" s="4"/>
      <c r="AE597" s="4"/>
      <c r="AF597" s="4"/>
      <c r="AG597" s="4"/>
      <c r="AH597" s="4"/>
      <c r="AI597" s="4"/>
    </row>
    <row r="598">
      <c r="A598" s="57"/>
      <c r="B598" s="4"/>
      <c r="C598" s="4"/>
      <c r="D598" s="4"/>
      <c r="E598" s="4"/>
      <c r="F598" s="4"/>
      <c r="G598" s="4"/>
      <c r="H598" s="52"/>
      <c r="I598" s="4"/>
      <c r="J598" s="52"/>
      <c r="K598" s="52"/>
      <c r="L598" s="52"/>
      <c r="M598" s="52"/>
      <c r="N598" s="52"/>
      <c r="O598" s="52"/>
      <c r="P598" s="52"/>
      <c r="Q598" s="52"/>
      <c r="R598" s="4"/>
      <c r="S598" s="4"/>
      <c r="T598" s="4"/>
      <c r="U598" s="74"/>
      <c r="V598" s="3"/>
      <c r="W598" s="3"/>
      <c r="X598" s="3"/>
      <c r="Y598" s="3"/>
      <c r="Z598" s="58"/>
      <c r="AA598" s="3"/>
      <c r="AB598" s="3"/>
      <c r="AC598" s="4"/>
      <c r="AD598" s="4"/>
      <c r="AE598" s="4"/>
      <c r="AF598" s="4"/>
      <c r="AG598" s="4"/>
      <c r="AH598" s="4"/>
      <c r="AI598" s="4"/>
    </row>
    <row r="599">
      <c r="A599" s="57"/>
      <c r="B599" s="4"/>
      <c r="C599" s="4"/>
      <c r="D599" s="4"/>
      <c r="E599" s="4"/>
      <c r="F599" s="4"/>
      <c r="G599" s="4"/>
      <c r="H599" s="52"/>
      <c r="I599" s="4"/>
      <c r="J599" s="52"/>
      <c r="K599" s="52"/>
      <c r="L599" s="52"/>
      <c r="M599" s="52"/>
      <c r="N599" s="52"/>
      <c r="O599" s="52"/>
      <c r="P599" s="52"/>
      <c r="Q599" s="52"/>
      <c r="R599" s="4"/>
      <c r="S599" s="4"/>
      <c r="T599" s="4"/>
      <c r="U599" s="74"/>
      <c r="V599" s="3"/>
      <c r="W599" s="3"/>
      <c r="X599" s="3"/>
      <c r="Y599" s="3"/>
      <c r="Z599" s="58"/>
      <c r="AA599" s="3"/>
      <c r="AB599" s="3"/>
      <c r="AC599" s="4"/>
      <c r="AD599" s="4"/>
      <c r="AE599" s="4"/>
      <c r="AF599" s="4"/>
      <c r="AG599" s="4"/>
      <c r="AH599" s="4"/>
      <c r="AI599" s="4"/>
    </row>
    <row r="600">
      <c r="A600" s="57"/>
      <c r="B600" s="4"/>
      <c r="C600" s="4"/>
      <c r="D600" s="4"/>
      <c r="E600" s="4"/>
      <c r="F600" s="4"/>
      <c r="G600" s="4"/>
      <c r="H600" s="52"/>
      <c r="I600" s="4"/>
      <c r="J600" s="52"/>
      <c r="K600" s="52"/>
      <c r="L600" s="52"/>
      <c r="M600" s="52"/>
      <c r="N600" s="52"/>
      <c r="O600" s="52"/>
      <c r="P600" s="52"/>
      <c r="Q600" s="52"/>
      <c r="R600" s="4"/>
      <c r="S600" s="4"/>
      <c r="T600" s="4"/>
      <c r="U600" s="74"/>
      <c r="V600" s="3"/>
      <c r="W600" s="3"/>
      <c r="X600" s="3"/>
      <c r="Y600" s="3"/>
      <c r="Z600" s="58"/>
      <c r="AA600" s="3"/>
      <c r="AB600" s="3"/>
      <c r="AC600" s="4"/>
      <c r="AD600" s="4"/>
      <c r="AE600" s="4"/>
      <c r="AF600" s="4"/>
      <c r="AG600" s="4"/>
      <c r="AH600" s="4"/>
      <c r="AI600" s="4"/>
    </row>
    <row r="601">
      <c r="A601" s="57"/>
      <c r="B601" s="4"/>
      <c r="C601" s="4"/>
      <c r="D601" s="4"/>
      <c r="E601" s="4"/>
      <c r="F601" s="4"/>
      <c r="G601" s="4"/>
      <c r="H601" s="52"/>
      <c r="I601" s="4"/>
      <c r="J601" s="52"/>
      <c r="K601" s="52"/>
      <c r="L601" s="52"/>
      <c r="M601" s="52"/>
      <c r="N601" s="52"/>
      <c r="O601" s="52"/>
      <c r="P601" s="52"/>
      <c r="Q601" s="52"/>
      <c r="R601" s="4"/>
      <c r="S601" s="4"/>
      <c r="T601" s="4"/>
      <c r="U601" s="74"/>
      <c r="V601" s="3"/>
      <c r="W601" s="3"/>
      <c r="X601" s="3"/>
      <c r="Y601" s="3"/>
      <c r="Z601" s="58"/>
      <c r="AA601" s="3"/>
      <c r="AB601" s="3"/>
      <c r="AC601" s="4"/>
      <c r="AD601" s="4"/>
      <c r="AE601" s="4"/>
      <c r="AF601" s="4"/>
      <c r="AG601" s="4"/>
      <c r="AH601" s="4"/>
      <c r="AI601" s="4"/>
    </row>
    <row r="602">
      <c r="A602" s="57"/>
      <c r="B602" s="4"/>
      <c r="C602" s="4"/>
      <c r="D602" s="4"/>
      <c r="E602" s="4"/>
      <c r="F602" s="4"/>
      <c r="G602" s="4"/>
      <c r="H602" s="52"/>
      <c r="I602" s="4"/>
      <c r="J602" s="52"/>
      <c r="K602" s="52"/>
      <c r="L602" s="52"/>
      <c r="M602" s="52"/>
      <c r="N602" s="52"/>
      <c r="O602" s="52"/>
      <c r="P602" s="52"/>
      <c r="Q602" s="52"/>
      <c r="R602" s="4"/>
      <c r="S602" s="4"/>
      <c r="T602" s="4"/>
      <c r="U602" s="74"/>
      <c r="V602" s="3"/>
      <c r="W602" s="3"/>
      <c r="X602" s="3"/>
      <c r="Y602" s="3"/>
      <c r="Z602" s="58"/>
      <c r="AA602" s="3"/>
      <c r="AB602" s="3"/>
      <c r="AC602" s="4"/>
      <c r="AD602" s="4"/>
      <c r="AE602" s="4"/>
      <c r="AF602" s="4"/>
      <c r="AG602" s="4"/>
      <c r="AH602" s="4"/>
      <c r="AI602" s="4"/>
    </row>
    <row r="603">
      <c r="A603" s="57"/>
      <c r="B603" s="4"/>
      <c r="C603" s="4"/>
      <c r="D603" s="4"/>
      <c r="E603" s="4"/>
      <c r="F603" s="4"/>
      <c r="G603" s="4"/>
      <c r="H603" s="52"/>
      <c r="I603" s="4"/>
      <c r="J603" s="52"/>
      <c r="K603" s="52"/>
      <c r="L603" s="52"/>
      <c r="M603" s="52"/>
      <c r="N603" s="52"/>
      <c r="O603" s="52"/>
      <c r="P603" s="52"/>
      <c r="Q603" s="52"/>
      <c r="R603" s="4"/>
      <c r="S603" s="4"/>
      <c r="T603" s="4"/>
      <c r="U603" s="74"/>
      <c r="V603" s="3"/>
      <c r="W603" s="3"/>
      <c r="X603" s="3"/>
      <c r="Y603" s="3"/>
      <c r="Z603" s="58"/>
      <c r="AA603" s="3"/>
      <c r="AB603" s="3"/>
      <c r="AC603" s="4"/>
      <c r="AD603" s="4"/>
      <c r="AE603" s="4"/>
      <c r="AF603" s="4"/>
      <c r="AG603" s="4"/>
      <c r="AH603" s="4"/>
      <c r="AI603" s="4"/>
    </row>
    <row r="604">
      <c r="A604" s="57"/>
      <c r="B604" s="4"/>
      <c r="C604" s="4"/>
      <c r="D604" s="4"/>
      <c r="E604" s="4"/>
      <c r="F604" s="4"/>
      <c r="G604" s="4"/>
      <c r="H604" s="52"/>
      <c r="I604" s="4"/>
      <c r="J604" s="52"/>
      <c r="K604" s="52"/>
      <c r="L604" s="52"/>
      <c r="M604" s="52"/>
      <c r="N604" s="52"/>
      <c r="O604" s="52"/>
      <c r="P604" s="52"/>
      <c r="Q604" s="52"/>
      <c r="R604" s="4"/>
      <c r="S604" s="4"/>
      <c r="T604" s="4"/>
      <c r="U604" s="74"/>
      <c r="V604" s="3"/>
      <c r="W604" s="3"/>
      <c r="X604" s="3"/>
      <c r="Y604" s="3"/>
      <c r="Z604" s="58"/>
      <c r="AA604" s="3"/>
      <c r="AB604" s="3"/>
      <c r="AC604" s="4"/>
      <c r="AD604" s="4"/>
      <c r="AE604" s="4"/>
      <c r="AF604" s="4"/>
      <c r="AG604" s="4"/>
      <c r="AH604" s="4"/>
      <c r="AI604" s="4"/>
    </row>
    <row r="605">
      <c r="A605" s="57"/>
      <c r="B605" s="4"/>
      <c r="C605" s="4"/>
      <c r="D605" s="4"/>
      <c r="E605" s="4"/>
      <c r="F605" s="4"/>
      <c r="G605" s="4"/>
      <c r="H605" s="52"/>
      <c r="I605" s="4"/>
      <c r="J605" s="52"/>
      <c r="K605" s="52"/>
      <c r="L605" s="52"/>
      <c r="M605" s="52"/>
      <c r="N605" s="52"/>
      <c r="O605" s="52"/>
      <c r="P605" s="52"/>
      <c r="Q605" s="52"/>
      <c r="R605" s="4"/>
      <c r="S605" s="4"/>
      <c r="T605" s="4"/>
      <c r="U605" s="74"/>
      <c r="V605" s="3"/>
      <c r="W605" s="3"/>
      <c r="X605" s="3"/>
      <c r="Y605" s="3"/>
      <c r="Z605" s="58"/>
      <c r="AA605" s="3"/>
      <c r="AB605" s="3"/>
      <c r="AC605" s="4"/>
      <c r="AD605" s="4"/>
      <c r="AE605" s="4"/>
      <c r="AF605" s="4"/>
      <c r="AG605" s="4"/>
      <c r="AH605" s="4"/>
      <c r="AI605" s="4"/>
    </row>
    <row r="606">
      <c r="A606" s="57"/>
      <c r="B606" s="4"/>
      <c r="C606" s="4"/>
      <c r="D606" s="4"/>
      <c r="E606" s="4"/>
      <c r="F606" s="4"/>
      <c r="G606" s="4"/>
      <c r="H606" s="52"/>
      <c r="I606" s="4"/>
      <c r="J606" s="52"/>
      <c r="K606" s="52"/>
      <c r="L606" s="52"/>
      <c r="M606" s="52"/>
      <c r="N606" s="52"/>
      <c r="O606" s="52"/>
      <c r="P606" s="52"/>
      <c r="Q606" s="52"/>
      <c r="R606" s="4"/>
      <c r="S606" s="4"/>
      <c r="T606" s="4"/>
      <c r="U606" s="74"/>
      <c r="V606" s="3"/>
      <c r="W606" s="3"/>
      <c r="X606" s="3"/>
      <c r="Y606" s="3"/>
      <c r="Z606" s="58"/>
      <c r="AA606" s="3"/>
      <c r="AB606" s="3"/>
      <c r="AC606" s="4"/>
      <c r="AD606" s="4"/>
      <c r="AE606" s="4"/>
      <c r="AF606" s="4"/>
      <c r="AG606" s="4"/>
      <c r="AH606" s="4"/>
      <c r="AI606" s="4"/>
    </row>
    <row r="607">
      <c r="A607" s="57"/>
      <c r="B607" s="4"/>
      <c r="C607" s="4"/>
      <c r="D607" s="4"/>
      <c r="E607" s="4"/>
      <c r="F607" s="4"/>
      <c r="G607" s="4"/>
      <c r="H607" s="52"/>
      <c r="I607" s="4"/>
      <c r="J607" s="52"/>
      <c r="K607" s="52"/>
      <c r="L607" s="52"/>
      <c r="M607" s="52"/>
      <c r="N607" s="52"/>
      <c r="O607" s="52"/>
      <c r="P607" s="52"/>
      <c r="Q607" s="52"/>
      <c r="R607" s="4"/>
      <c r="S607" s="4"/>
      <c r="T607" s="4"/>
      <c r="U607" s="74"/>
      <c r="V607" s="3"/>
      <c r="W607" s="3"/>
      <c r="X607" s="3"/>
      <c r="Y607" s="3"/>
      <c r="Z607" s="58"/>
      <c r="AA607" s="3"/>
      <c r="AB607" s="3"/>
      <c r="AC607" s="4"/>
      <c r="AD607" s="4"/>
      <c r="AE607" s="4"/>
      <c r="AF607" s="4"/>
      <c r="AG607" s="4"/>
      <c r="AH607" s="4"/>
      <c r="AI607" s="4"/>
    </row>
    <row r="608">
      <c r="A608" s="57"/>
      <c r="B608" s="4"/>
      <c r="C608" s="4"/>
      <c r="D608" s="4"/>
      <c r="E608" s="4"/>
      <c r="F608" s="4"/>
      <c r="G608" s="4"/>
      <c r="H608" s="52"/>
      <c r="I608" s="4"/>
      <c r="J608" s="52"/>
      <c r="K608" s="52"/>
      <c r="L608" s="52"/>
      <c r="M608" s="52"/>
      <c r="N608" s="52"/>
      <c r="O608" s="52"/>
      <c r="P608" s="52"/>
      <c r="Q608" s="52"/>
      <c r="R608" s="4"/>
      <c r="S608" s="4"/>
      <c r="T608" s="4"/>
      <c r="U608" s="74"/>
      <c r="V608" s="3"/>
      <c r="W608" s="3"/>
      <c r="X608" s="3"/>
      <c r="Y608" s="3"/>
      <c r="Z608" s="58"/>
      <c r="AA608" s="3"/>
      <c r="AB608" s="3"/>
      <c r="AC608" s="4"/>
      <c r="AD608" s="4"/>
      <c r="AE608" s="4"/>
      <c r="AF608" s="4"/>
      <c r="AG608" s="4"/>
      <c r="AH608" s="4"/>
      <c r="AI608" s="4"/>
    </row>
    <row r="609">
      <c r="A609" s="57"/>
      <c r="B609" s="4"/>
      <c r="C609" s="4"/>
      <c r="D609" s="4"/>
      <c r="E609" s="4"/>
      <c r="F609" s="4"/>
      <c r="G609" s="4"/>
      <c r="H609" s="52"/>
      <c r="I609" s="4"/>
      <c r="J609" s="52"/>
      <c r="K609" s="52"/>
      <c r="L609" s="52"/>
      <c r="M609" s="52"/>
      <c r="N609" s="52"/>
      <c r="O609" s="52"/>
      <c r="P609" s="52"/>
      <c r="Q609" s="52"/>
      <c r="R609" s="4"/>
      <c r="S609" s="4"/>
      <c r="T609" s="4"/>
      <c r="U609" s="74"/>
      <c r="V609" s="3"/>
      <c r="W609" s="3"/>
      <c r="X609" s="3"/>
      <c r="Y609" s="3"/>
      <c r="Z609" s="58"/>
      <c r="AA609" s="3"/>
      <c r="AB609" s="3"/>
      <c r="AC609" s="4"/>
      <c r="AD609" s="4"/>
      <c r="AE609" s="4"/>
      <c r="AF609" s="4"/>
      <c r="AG609" s="4"/>
      <c r="AH609" s="4"/>
      <c r="AI609" s="4"/>
    </row>
    <row r="610">
      <c r="A610" s="57"/>
      <c r="B610" s="4"/>
      <c r="C610" s="4"/>
      <c r="D610" s="4"/>
      <c r="E610" s="4"/>
      <c r="F610" s="4"/>
      <c r="G610" s="4"/>
      <c r="H610" s="52"/>
      <c r="I610" s="4"/>
      <c r="J610" s="52"/>
      <c r="K610" s="52"/>
      <c r="L610" s="52"/>
      <c r="M610" s="52"/>
      <c r="N610" s="52"/>
      <c r="O610" s="52"/>
      <c r="P610" s="52"/>
      <c r="Q610" s="52"/>
      <c r="R610" s="4"/>
      <c r="S610" s="4"/>
      <c r="T610" s="4"/>
      <c r="U610" s="74"/>
      <c r="V610" s="3"/>
      <c r="W610" s="3"/>
      <c r="X610" s="3"/>
      <c r="Y610" s="3"/>
      <c r="Z610" s="58"/>
      <c r="AA610" s="3"/>
      <c r="AB610" s="3"/>
      <c r="AC610" s="4"/>
      <c r="AD610" s="4"/>
      <c r="AE610" s="4"/>
      <c r="AF610" s="4"/>
      <c r="AG610" s="4"/>
      <c r="AH610" s="4"/>
      <c r="AI610" s="4"/>
    </row>
    <row r="611">
      <c r="A611" s="57"/>
      <c r="B611" s="4"/>
      <c r="C611" s="4"/>
      <c r="D611" s="4"/>
      <c r="E611" s="4"/>
      <c r="F611" s="4"/>
      <c r="G611" s="4"/>
      <c r="H611" s="52"/>
      <c r="I611" s="4"/>
      <c r="J611" s="52"/>
      <c r="K611" s="52"/>
      <c r="L611" s="52"/>
      <c r="M611" s="52"/>
      <c r="N611" s="52"/>
      <c r="O611" s="52"/>
      <c r="P611" s="52"/>
      <c r="Q611" s="52"/>
      <c r="R611" s="4"/>
      <c r="S611" s="4"/>
      <c r="T611" s="4"/>
      <c r="U611" s="74"/>
      <c r="V611" s="3"/>
      <c r="W611" s="3"/>
      <c r="X611" s="3"/>
      <c r="Y611" s="3"/>
      <c r="Z611" s="58"/>
      <c r="AA611" s="3"/>
      <c r="AB611" s="3"/>
      <c r="AC611" s="4"/>
      <c r="AD611" s="4"/>
      <c r="AE611" s="4"/>
      <c r="AF611" s="4"/>
      <c r="AG611" s="4"/>
      <c r="AH611" s="4"/>
      <c r="AI611" s="4"/>
    </row>
    <row r="612">
      <c r="A612" s="57"/>
      <c r="B612" s="4"/>
      <c r="C612" s="4"/>
      <c r="D612" s="4"/>
      <c r="E612" s="4"/>
      <c r="F612" s="4"/>
      <c r="G612" s="4"/>
      <c r="H612" s="52"/>
      <c r="I612" s="4"/>
      <c r="J612" s="52"/>
      <c r="K612" s="52"/>
      <c r="L612" s="52"/>
      <c r="M612" s="52"/>
      <c r="N612" s="52"/>
      <c r="O612" s="52"/>
      <c r="P612" s="52"/>
      <c r="Q612" s="52"/>
      <c r="R612" s="4"/>
      <c r="S612" s="4"/>
      <c r="T612" s="4"/>
      <c r="U612" s="74"/>
      <c r="V612" s="3"/>
      <c r="W612" s="3"/>
      <c r="X612" s="3"/>
      <c r="Y612" s="3"/>
      <c r="Z612" s="58"/>
      <c r="AA612" s="3"/>
      <c r="AB612" s="3"/>
      <c r="AC612" s="4"/>
      <c r="AD612" s="4"/>
      <c r="AE612" s="4"/>
      <c r="AF612" s="4"/>
      <c r="AG612" s="4"/>
      <c r="AH612" s="4"/>
      <c r="AI612" s="4"/>
    </row>
    <row r="613">
      <c r="A613" s="57"/>
      <c r="B613" s="4"/>
      <c r="C613" s="4"/>
      <c r="D613" s="4"/>
      <c r="E613" s="4"/>
      <c r="F613" s="4"/>
      <c r="G613" s="4"/>
      <c r="H613" s="52"/>
      <c r="I613" s="4"/>
      <c r="J613" s="52"/>
      <c r="K613" s="52"/>
      <c r="L613" s="52"/>
      <c r="M613" s="52"/>
      <c r="N613" s="52"/>
      <c r="O613" s="52"/>
      <c r="P613" s="52"/>
      <c r="Q613" s="52"/>
      <c r="R613" s="4"/>
      <c r="S613" s="4"/>
      <c r="T613" s="4"/>
      <c r="U613" s="74"/>
      <c r="V613" s="3"/>
      <c r="W613" s="3"/>
      <c r="X613" s="3"/>
      <c r="Y613" s="3"/>
      <c r="Z613" s="58"/>
      <c r="AA613" s="3"/>
      <c r="AB613" s="3"/>
      <c r="AC613" s="4"/>
      <c r="AD613" s="4"/>
      <c r="AE613" s="4"/>
      <c r="AF613" s="4"/>
      <c r="AG613" s="4"/>
      <c r="AH613" s="4"/>
      <c r="AI613" s="4"/>
    </row>
    <row r="614">
      <c r="A614" s="57"/>
      <c r="B614" s="4"/>
      <c r="C614" s="4"/>
      <c r="D614" s="4"/>
      <c r="E614" s="4"/>
      <c r="F614" s="4"/>
      <c r="G614" s="4"/>
      <c r="H614" s="52"/>
      <c r="I614" s="4"/>
      <c r="J614" s="52"/>
      <c r="K614" s="52"/>
      <c r="L614" s="52"/>
      <c r="M614" s="52"/>
      <c r="N614" s="52"/>
      <c r="O614" s="52"/>
      <c r="P614" s="52"/>
      <c r="Q614" s="52"/>
      <c r="R614" s="4"/>
      <c r="S614" s="4"/>
      <c r="T614" s="4"/>
      <c r="U614" s="74"/>
      <c r="V614" s="3"/>
      <c r="W614" s="3"/>
      <c r="X614" s="3"/>
      <c r="Y614" s="3"/>
      <c r="Z614" s="58"/>
      <c r="AA614" s="3"/>
      <c r="AB614" s="3"/>
      <c r="AC614" s="4"/>
      <c r="AD614" s="4"/>
      <c r="AE614" s="4"/>
      <c r="AF614" s="4"/>
      <c r="AG614" s="4"/>
      <c r="AH614" s="4"/>
      <c r="AI614" s="4"/>
    </row>
    <row r="615">
      <c r="A615" s="57"/>
      <c r="B615" s="4"/>
      <c r="C615" s="4"/>
      <c r="D615" s="4"/>
      <c r="E615" s="4"/>
      <c r="F615" s="4"/>
      <c r="G615" s="4"/>
      <c r="H615" s="52"/>
      <c r="I615" s="4"/>
      <c r="J615" s="52"/>
      <c r="K615" s="52"/>
      <c r="L615" s="52"/>
      <c r="M615" s="52"/>
      <c r="N615" s="52"/>
      <c r="O615" s="52"/>
      <c r="P615" s="52"/>
      <c r="Q615" s="52"/>
      <c r="R615" s="4"/>
      <c r="S615" s="4"/>
      <c r="T615" s="4"/>
      <c r="U615" s="74"/>
      <c r="V615" s="3"/>
      <c r="W615" s="3"/>
      <c r="X615" s="3"/>
      <c r="Y615" s="3"/>
      <c r="Z615" s="58"/>
      <c r="AA615" s="3"/>
      <c r="AB615" s="3"/>
      <c r="AC615" s="4"/>
      <c r="AD615" s="4"/>
      <c r="AE615" s="4"/>
      <c r="AF615" s="4"/>
      <c r="AG615" s="4"/>
      <c r="AH615" s="4"/>
      <c r="AI615" s="4"/>
    </row>
    <row r="616">
      <c r="A616" s="57"/>
      <c r="B616" s="4"/>
      <c r="C616" s="4"/>
      <c r="D616" s="4"/>
      <c r="E616" s="4"/>
      <c r="F616" s="4"/>
      <c r="G616" s="4"/>
      <c r="H616" s="52"/>
      <c r="I616" s="4"/>
      <c r="J616" s="52"/>
      <c r="K616" s="52"/>
      <c r="L616" s="52"/>
      <c r="M616" s="52"/>
      <c r="N616" s="52"/>
      <c r="O616" s="52"/>
      <c r="P616" s="52"/>
      <c r="Q616" s="52"/>
      <c r="R616" s="4"/>
      <c r="S616" s="4"/>
      <c r="T616" s="4"/>
      <c r="U616" s="74"/>
      <c r="V616" s="3"/>
      <c r="W616" s="3"/>
      <c r="X616" s="3"/>
      <c r="Y616" s="3"/>
      <c r="Z616" s="58"/>
      <c r="AA616" s="3"/>
      <c r="AB616" s="3"/>
      <c r="AC616" s="4"/>
      <c r="AD616" s="4"/>
      <c r="AE616" s="4"/>
      <c r="AF616" s="4"/>
      <c r="AG616" s="4"/>
      <c r="AH616" s="4"/>
      <c r="AI616" s="4"/>
    </row>
    <row r="617">
      <c r="A617" s="57"/>
      <c r="B617" s="4"/>
      <c r="C617" s="4"/>
      <c r="D617" s="4"/>
      <c r="E617" s="4"/>
      <c r="F617" s="4"/>
      <c r="G617" s="4"/>
      <c r="H617" s="52"/>
      <c r="I617" s="4"/>
      <c r="J617" s="52"/>
      <c r="K617" s="52"/>
      <c r="L617" s="52"/>
      <c r="M617" s="52"/>
      <c r="N617" s="52"/>
      <c r="O617" s="52"/>
      <c r="P617" s="52"/>
      <c r="Q617" s="52"/>
      <c r="R617" s="4"/>
      <c r="S617" s="4"/>
      <c r="T617" s="4"/>
      <c r="U617" s="74"/>
      <c r="V617" s="3"/>
      <c r="W617" s="3"/>
      <c r="X617" s="3"/>
      <c r="Y617" s="3"/>
      <c r="Z617" s="58"/>
      <c r="AA617" s="3"/>
      <c r="AB617" s="3"/>
      <c r="AC617" s="4"/>
      <c r="AD617" s="4"/>
      <c r="AE617" s="4"/>
      <c r="AF617" s="4"/>
      <c r="AG617" s="4"/>
      <c r="AH617" s="4"/>
      <c r="AI617" s="4"/>
    </row>
    <row r="618">
      <c r="A618" s="57"/>
      <c r="B618" s="4"/>
      <c r="C618" s="4"/>
      <c r="D618" s="4"/>
      <c r="E618" s="4"/>
      <c r="F618" s="4"/>
      <c r="G618" s="4"/>
      <c r="H618" s="52"/>
      <c r="I618" s="4"/>
      <c r="J618" s="52"/>
      <c r="K618" s="52"/>
      <c r="L618" s="52"/>
      <c r="M618" s="52"/>
      <c r="N618" s="52"/>
      <c r="O618" s="52"/>
      <c r="P618" s="52"/>
      <c r="Q618" s="52"/>
      <c r="R618" s="4"/>
      <c r="S618" s="4"/>
      <c r="T618" s="4"/>
      <c r="U618" s="74"/>
      <c r="V618" s="3"/>
      <c r="W618" s="3"/>
      <c r="X618" s="3"/>
      <c r="Y618" s="3"/>
      <c r="Z618" s="58"/>
      <c r="AA618" s="3"/>
      <c r="AB618" s="3"/>
      <c r="AC618" s="4"/>
      <c r="AD618" s="4"/>
      <c r="AE618" s="4"/>
      <c r="AF618" s="4"/>
      <c r="AG618" s="4"/>
      <c r="AH618" s="4"/>
      <c r="AI618" s="4"/>
    </row>
    <row r="619">
      <c r="A619" s="57"/>
      <c r="B619" s="4"/>
      <c r="C619" s="4"/>
      <c r="D619" s="4"/>
      <c r="E619" s="4"/>
      <c r="F619" s="4"/>
      <c r="G619" s="4"/>
      <c r="H619" s="52"/>
      <c r="I619" s="4"/>
      <c r="J619" s="52"/>
      <c r="K619" s="52"/>
      <c r="L619" s="52"/>
      <c r="M619" s="52"/>
      <c r="N619" s="52"/>
      <c r="O619" s="52"/>
      <c r="P619" s="52"/>
      <c r="Q619" s="52"/>
      <c r="R619" s="4"/>
      <c r="S619" s="4"/>
      <c r="T619" s="4"/>
      <c r="U619" s="74"/>
      <c r="V619" s="3"/>
      <c r="W619" s="3"/>
      <c r="X619" s="3"/>
      <c r="Y619" s="3"/>
      <c r="Z619" s="58"/>
      <c r="AA619" s="3"/>
      <c r="AB619" s="3"/>
      <c r="AC619" s="4"/>
      <c r="AD619" s="4"/>
      <c r="AE619" s="4"/>
      <c r="AF619" s="4"/>
      <c r="AG619" s="4"/>
      <c r="AH619" s="4"/>
      <c r="AI619" s="4"/>
    </row>
    <row r="620">
      <c r="A620" s="57"/>
      <c r="B620" s="4"/>
      <c r="C620" s="4"/>
      <c r="D620" s="4"/>
      <c r="E620" s="4"/>
      <c r="F620" s="4"/>
      <c r="G620" s="4"/>
      <c r="H620" s="52"/>
      <c r="I620" s="4"/>
      <c r="J620" s="52"/>
      <c r="K620" s="52"/>
      <c r="L620" s="52"/>
      <c r="M620" s="52"/>
      <c r="N620" s="52"/>
      <c r="O620" s="52"/>
      <c r="P620" s="52"/>
      <c r="Q620" s="52"/>
      <c r="R620" s="4"/>
      <c r="S620" s="4"/>
      <c r="T620" s="4"/>
      <c r="U620" s="74"/>
      <c r="V620" s="3"/>
      <c r="W620" s="3"/>
      <c r="X620" s="3"/>
      <c r="Y620" s="3"/>
      <c r="Z620" s="58"/>
      <c r="AA620" s="3"/>
      <c r="AB620" s="3"/>
      <c r="AC620" s="4"/>
      <c r="AD620" s="4"/>
      <c r="AE620" s="4"/>
      <c r="AF620" s="4"/>
      <c r="AG620" s="4"/>
      <c r="AH620" s="4"/>
      <c r="AI620" s="4"/>
    </row>
    <row r="621">
      <c r="A621" s="57"/>
      <c r="B621" s="4"/>
      <c r="C621" s="4"/>
      <c r="D621" s="4"/>
      <c r="E621" s="4"/>
      <c r="F621" s="4"/>
      <c r="G621" s="4"/>
      <c r="H621" s="52"/>
      <c r="I621" s="4"/>
      <c r="J621" s="52"/>
      <c r="K621" s="52"/>
      <c r="L621" s="52"/>
      <c r="M621" s="52"/>
      <c r="N621" s="52"/>
      <c r="O621" s="52"/>
      <c r="P621" s="52"/>
      <c r="Q621" s="52"/>
      <c r="R621" s="4"/>
      <c r="S621" s="4"/>
      <c r="T621" s="4"/>
      <c r="U621" s="74"/>
      <c r="V621" s="3"/>
      <c r="W621" s="3"/>
      <c r="X621" s="3"/>
      <c r="Y621" s="3"/>
      <c r="Z621" s="58"/>
      <c r="AA621" s="3"/>
      <c r="AB621" s="3"/>
      <c r="AC621" s="4"/>
      <c r="AD621" s="4"/>
      <c r="AE621" s="4"/>
      <c r="AF621" s="4"/>
      <c r="AG621" s="4"/>
      <c r="AH621" s="4"/>
      <c r="AI621" s="4"/>
    </row>
    <row r="622">
      <c r="A622" s="57"/>
      <c r="B622" s="4"/>
      <c r="C622" s="4"/>
      <c r="D622" s="4"/>
      <c r="E622" s="4"/>
      <c r="F622" s="4"/>
      <c r="G622" s="4"/>
      <c r="H622" s="52"/>
      <c r="I622" s="4"/>
      <c r="J622" s="52"/>
      <c r="K622" s="52"/>
      <c r="L622" s="52"/>
      <c r="M622" s="52"/>
      <c r="N622" s="52"/>
      <c r="O622" s="52"/>
      <c r="P622" s="52"/>
      <c r="Q622" s="52"/>
      <c r="R622" s="4"/>
      <c r="S622" s="4"/>
      <c r="T622" s="4"/>
      <c r="U622" s="74"/>
      <c r="V622" s="3"/>
      <c r="W622" s="3"/>
      <c r="X622" s="3"/>
      <c r="Y622" s="3"/>
      <c r="Z622" s="58"/>
      <c r="AA622" s="3"/>
      <c r="AB622" s="3"/>
      <c r="AC622" s="4"/>
      <c r="AD622" s="4"/>
      <c r="AE622" s="4"/>
      <c r="AF622" s="4"/>
      <c r="AG622" s="4"/>
      <c r="AH622" s="4"/>
      <c r="AI622" s="4"/>
    </row>
    <row r="623">
      <c r="A623" s="57"/>
      <c r="B623" s="4"/>
      <c r="C623" s="4"/>
      <c r="D623" s="4"/>
      <c r="E623" s="4"/>
      <c r="F623" s="4"/>
      <c r="G623" s="4"/>
      <c r="H623" s="52"/>
      <c r="I623" s="4"/>
      <c r="J623" s="52"/>
      <c r="K623" s="52"/>
      <c r="L623" s="52"/>
      <c r="M623" s="52"/>
      <c r="N623" s="52"/>
      <c r="O623" s="52"/>
      <c r="P623" s="52"/>
      <c r="Q623" s="52"/>
      <c r="R623" s="4"/>
      <c r="S623" s="4"/>
      <c r="T623" s="4"/>
      <c r="U623" s="74"/>
      <c r="V623" s="3"/>
      <c r="W623" s="3"/>
      <c r="X623" s="3"/>
      <c r="Y623" s="3"/>
      <c r="Z623" s="58"/>
      <c r="AA623" s="3"/>
      <c r="AB623" s="3"/>
      <c r="AC623" s="4"/>
      <c r="AD623" s="4"/>
      <c r="AE623" s="4"/>
      <c r="AF623" s="4"/>
      <c r="AG623" s="4"/>
      <c r="AH623" s="4"/>
      <c r="AI623" s="4"/>
    </row>
    <row r="624">
      <c r="A624" s="57"/>
      <c r="B624" s="4"/>
      <c r="C624" s="4"/>
      <c r="D624" s="4"/>
      <c r="E624" s="4"/>
      <c r="F624" s="4"/>
      <c r="G624" s="4"/>
      <c r="H624" s="52"/>
      <c r="I624" s="4"/>
      <c r="J624" s="52"/>
      <c r="K624" s="52"/>
      <c r="L624" s="52"/>
      <c r="M624" s="52"/>
      <c r="N624" s="52"/>
      <c r="O624" s="52"/>
      <c r="P624" s="52"/>
      <c r="Q624" s="52"/>
      <c r="R624" s="4"/>
      <c r="S624" s="4"/>
      <c r="T624" s="4"/>
      <c r="U624" s="74"/>
      <c r="V624" s="3"/>
      <c r="W624" s="3"/>
      <c r="X624" s="3"/>
      <c r="Y624" s="3"/>
      <c r="Z624" s="58"/>
      <c r="AA624" s="3"/>
      <c r="AB624" s="3"/>
      <c r="AC624" s="4"/>
      <c r="AD624" s="4"/>
      <c r="AE624" s="4"/>
      <c r="AF624" s="4"/>
      <c r="AG624" s="4"/>
      <c r="AH624" s="4"/>
      <c r="AI624" s="4"/>
    </row>
    <row r="625">
      <c r="A625" s="57"/>
      <c r="B625" s="4"/>
      <c r="C625" s="4"/>
      <c r="D625" s="4"/>
      <c r="E625" s="4"/>
      <c r="F625" s="4"/>
      <c r="G625" s="4"/>
      <c r="H625" s="52"/>
      <c r="I625" s="4"/>
      <c r="J625" s="52"/>
      <c r="K625" s="52"/>
      <c r="L625" s="52"/>
      <c r="M625" s="52"/>
      <c r="N625" s="52"/>
      <c r="O625" s="52"/>
      <c r="P625" s="52"/>
      <c r="Q625" s="52"/>
      <c r="R625" s="4"/>
      <c r="S625" s="4"/>
      <c r="T625" s="4"/>
      <c r="U625" s="74"/>
      <c r="V625" s="3"/>
      <c r="W625" s="3"/>
      <c r="X625" s="3"/>
      <c r="Y625" s="3"/>
      <c r="Z625" s="58"/>
      <c r="AA625" s="3"/>
      <c r="AB625" s="3"/>
      <c r="AC625" s="4"/>
      <c r="AD625" s="4"/>
      <c r="AE625" s="4"/>
      <c r="AF625" s="4"/>
      <c r="AG625" s="4"/>
      <c r="AH625" s="4"/>
      <c r="AI625" s="4"/>
    </row>
    <row r="626">
      <c r="A626" s="57"/>
      <c r="B626" s="4"/>
      <c r="C626" s="4"/>
      <c r="D626" s="4"/>
      <c r="E626" s="4"/>
      <c r="F626" s="4"/>
      <c r="G626" s="4"/>
      <c r="H626" s="52"/>
      <c r="I626" s="4"/>
      <c r="J626" s="52"/>
      <c r="K626" s="52"/>
      <c r="L626" s="52"/>
      <c r="M626" s="52"/>
      <c r="N626" s="52"/>
      <c r="O626" s="52"/>
      <c r="P626" s="52"/>
      <c r="Q626" s="52"/>
      <c r="R626" s="4"/>
      <c r="S626" s="4"/>
      <c r="T626" s="4"/>
      <c r="U626" s="74"/>
      <c r="V626" s="3"/>
      <c r="W626" s="3"/>
      <c r="X626" s="3"/>
      <c r="Y626" s="3"/>
      <c r="Z626" s="58"/>
      <c r="AA626" s="3"/>
      <c r="AB626" s="3"/>
      <c r="AC626" s="4"/>
      <c r="AD626" s="4"/>
      <c r="AE626" s="4"/>
      <c r="AF626" s="4"/>
      <c r="AG626" s="4"/>
      <c r="AH626" s="4"/>
      <c r="AI626" s="4"/>
    </row>
    <row r="627">
      <c r="A627" s="57"/>
      <c r="B627" s="4"/>
      <c r="C627" s="4"/>
      <c r="D627" s="4"/>
      <c r="E627" s="4"/>
      <c r="F627" s="4"/>
      <c r="G627" s="4"/>
      <c r="H627" s="52"/>
      <c r="I627" s="4"/>
      <c r="J627" s="52"/>
      <c r="K627" s="52"/>
      <c r="L627" s="52"/>
      <c r="M627" s="52"/>
      <c r="N627" s="52"/>
      <c r="O627" s="52"/>
      <c r="P627" s="52"/>
      <c r="Q627" s="52"/>
      <c r="R627" s="4"/>
      <c r="S627" s="4"/>
      <c r="T627" s="4"/>
      <c r="U627" s="74"/>
      <c r="V627" s="3"/>
      <c r="W627" s="3"/>
      <c r="X627" s="3"/>
      <c r="Y627" s="3"/>
      <c r="Z627" s="58"/>
      <c r="AA627" s="3"/>
      <c r="AB627" s="3"/>
      <c r="AC627" s="4"/>
      <c r="AD627" s="4"/>
      <c r="AE627" s="4"/>
      <c r="AF627" s="4"/>
      <c r="AG627" s="4"/>
      <c r="AH627" s="4"/>
      <c r="AI627" s="4"/>
    </row>
    <row r="628">
      <c r="A628" s="57"/>
      <c r="B628" s="4"/>
      <c r="C628" s="4"/>
      <c r="D628" s="4"/>
      <c r="E628" s="4"/>
      <c r="F628" s="4"/>
      <c r="G628" s="4"/>
      <c r="H628" s="52"/>
      <c r="I628" s="4"/>
      <c r="J628" s="52"/>
      <c r="K628" s="52"/>
      <c r="L628" s="52"/>
      <c r="M628" s="52"/>
      <c r="N628" s="52"/>
      <c r="O628" s="52"/>
      <c r="P628" s="52"/>
      <c r="Q628" s="52"/>
      <c r="R628" s="4"/>
      <c r="S628" s="4"/>
      <c r="T628" s="4"/>
      <c r="U628" s="74"/>
      <c r="V628" s="3"/>
      <c r="W628" s="3"/>
      <c r="X628" s="3"/>
      <c r="Y628" s="3"/>
      <c r="Z628" s="58"/>
      <c r="AA628" s="3"/>
      <c r="AB628" s="3"/>
      <c r="AC628" s="4"/>
      <c r="AD628" s="4"/>
      <c r="AE628" s="4"/>
      <c r="AF628" s="4"/>
      <c r="AG628" s="4"/>
      <c r="AH628" s="4"/>
      <c r="AI628" s="4"/>
    </row>
    <row r="629">
      <c r="A629" s="57"/>
      <c r="B629" s="4"/>
      <c r="C629" s="4"/>
      <c r="D629" s="4"/>
      <c r="E629" s="4"/>
      <c r="F629" s="4"/>
      <c r="G629" s="4"/>
      <c r="H629" s="52"/>
      <c r="I629" s="4"/>
      <c r="J629" s="52"/>
      <c r="K629" s="52"/>
      <c r="L629" s="52"/>
      <c r="M629" s="52"/>
      <c r="N629" s="52"/>
      <c r="O629" s="52"/>
      <c r="P629" s="52"/>
      <c r="Q629" s="52"/>
      <c r="R629" s="4"/>
      <c r="S629" s="4"/>
      <c r="T629" s="4"/>
      <c r="U629" s="74"/>
      <c r="V629" s="3"/>
      <c r="W629" s="3"/>
      <c r="X629" s="3"/>
      <c r="Y629" s="3"/>
      <c r="Z629" s="58"/>
      <c r="AA629" s="3"/>
      <c r="AB629" s="3"/>
      <c r="AC629" s="4"/>
      <c r="AD629" s="4"/>
      <c r="AE629" s="4"/>
      <c r="AF629" s="4"/>
      <c r="AG629" s="4"/>
      <c r="AH629" s="4"/>
      <c r="AI629" s="4"/>
    </row>
    <row r="630">
      <c r="A630" s="57"/>
      <c r="B630" s="4"/>
      <c r="C630" s="4"/>
      <c r="D630" s="4"/>
      <c r="E630" s="4"/>
      <c r="F630" s="4"/>
      <c r="G630" s="4"/>
      <c r="H630" s="52"/>
      <c r="I630" s="4"/>
      <c r="J630" s="52"/>
      <c r="K630" s="52"/>
      <c r="L630" s="52"/>
      <c r="M630" s="52"/>
      <c r="N630" s="52"/>
      <c r="O630" s="52"/>
      <c r="P630" s="52"/>
      <c r="Q630" s="52"/>
      <c r="R630" s="4"/>
      <c r="S630" s="4"/>
      <c r="T630" s="4"/>
      <c r="U630" s="74"/>
      <c r="V630" s="3"/>
      <c r="W630" s="3"/>
      <c r="X630" s="3"/>
      <c r="Y630" s="3"/>
      <c r="Z630" s="58"/>
      <c r="AA630" s="3"/>
      <c r="AB630" s="3"/>
      <c r="AC630" s="4"/>
      <c r="AD630" s="4"/>
      <c r="AE630" s="4"/>
      <c r="AF630" s="4"/>
      <c r="AG630" s="4"/>
      <c r="AH630" s="4"/>
      <c r="AI630" s="4"/>
    </row>
    <row r="631">
      <c r="A631" s="57"/>
      <c r="B631" s="4"/>
      <c r="C631" s="4"/>
      <c r="D631" s="4"/>
      <c r="E631" s="4"/>
      <c r="F631" s="4"/>
      <c r="G631" s="4"/>
      <c r="H631" s="52"/>
      <c r="I631" s="4"/>
      <c r="J631" s="52"/>
      <c r="K631" s="52"/>
      <c r="L631" s="52"/>
      <c r="M631" s="52"/>
      <c r="N631" s="52"/>
      <c r="O631" s="52"/>
      <c r="P631" s="52"/>
      <c r="Q631" s="52"/>
      <c r="R631" s="4"/>
      <c r="S631" s="4"/>
      <c r="T631" s="4"/>
      <c r="U631" s="74"/>
      <c r="V631" s="3"/>
      <c r="W631" s="3"/>
      <c r="X631" s="3"/>
      <c r="Y631" s="3"/>
      <c r="Z631" s="58"/>
      <c r="AA631" s="3"/>
      <c r="AB631" s="3"/>
      <c r="AC631" s="4"/>
      <c r="AD631" s="4"/>
      <c r="AE631" s="4"/>
      <c r="AF631" s="4"/>
      <c r="AG631" s="4"/>
      <c r="AH631" s="4"/>
      <c r="AI631" s="4"/>
    </row>
    <row r="632">
      <c r="A632" s="57"/>
      <c r="B632" s="4"/>
      <c r="C632" s="4"/>
      <c r="D632" s="4"/>
      <c r="E632" s="4"/>
      <c r="F632" s="4"/>
      <c r="G632" s="4"/>
      <c r="H632" s="52"/>
      <c r="I632" s="4"/>
      <c r="J632" s="52"/>
      <c r="K632" s="52"/>
      <c r="L632" s="52"/>
      <c r="M632" s="52"/>
      <c r="N632" s="52"/>
      <c r="O632" s="52"/>
      <c r="P632" s="52"/>
      <c r="Q632" s="52"/>
      <c r="R632" s="4"/>
      <c r="S632" s="4"/>
      <c r="T632" s="4"/>
      <c r="U632" s="74"/>
      <c r="V632" s="3"/>
      <c r="W632" s="3"/>
      <c r="X632" s="3"/>
      <c r="Y632" s="3"/>
      <c r="Z632" s="58"/>
      <c r="AA632" s="3"/>
      <c r="AB632" s="3"/>
      <c r="AC632" s="4"/>
      <c r="AD632" s="4"/>
      <c r="AE632" s="4"/>
      <c r="AF632" s="4"/>
      <c r="AG632" s="4"/>
      <c r="AH632" s="4"/>
      <c r="AI632" s="4"/>
    </row>
    <row r="633">
      <c r="A633" s="57"/>
      <c r="B633" s="4"/>
      <c r="C633" s="4"/>
      <c r="D633" s="4"/>
      <c r="E633" s="4"/>
      <c r="F633" s="4"/>
      <c r="G633" s="4"/>
      <c r="H633" s="52"/>
      <c r="I633" s="4"/>
      <c r="J633" s="52"/>
      <c r="K633" s="52"/>
      <c r="L633" s="52"/>
      <c r="M633" s="52"/>
      <c r="N633" s="52"/>
      <c r="O633" s="52"/>
      <c r="P633" s="52"/>
      <c r="Q633" s="52"/>
      <c r="R633" s="4"/>
      <c r="S633" s="4"/>
      <c r="T633" s="4"/>
      <c r="U633" s="74"/>
      <c r="V633" s="3"/>
      <c r="W633" s="3"/>
      <c r="X633" s="3"/>
      <c r="Y633" s="3"/>
      <c r="Z633" s="58"/>
      <c r="AA633" s="3"/>
      <c r="AB633" s="3"/>
      <c r="AC633" s="4"/>
      <c r="AD633" s="4"/>
      <c r="AE633" s="4"/>
      <c r="AF633" s="4"/>
      <c r="AG633" s="4"/>
      <c r="AH633" s="4"/>
      <c r="AI633" s="4"/>
    </row>
    <row r="634">
      <c r="A634" s="57"/>
      <c r="B634" s="4"/>
      <c r="C634" s="4"/>
      <c r="D634" s="4"/>
      <c r="E634" s="4"/>
      <c r="F634" s="4"/>
      <c r="G634" s="4"/>
      <c r="H634" s="52"/>
      <c r="I634" s="4"/>
      <c r="J634" s="52"/>
      <c r="K634" s="52"/>
      <c r="L634" s="52"/>
      <c r="M634" s="52"/>
      <c r="N634" s="52"/>
      <c r="O634" s="52"/>
      <c r="P634" s="52"/>
      <c r="Q634" s="52"/>
      <c r="R634" s="4"/>
      <c r="S634" s="4"/>
      <c r="T634" s="4"/>
      <c r="U634" s="74"/>
      <c r="V634" s="3"/>
      <c r="W634" s="3"/>
      <c r="X634" s="3"/>
      <c r="Y634" s="3"/>
      <c r="Z634" s="58"/>
      <c r="AA634" s="3"/>
      <c r="AB634" s="3"/>
      <c r="AC634" s="4"/>
      <c r="AD634" s="4"/>
      <c r="AE634" s="4"/>
      <c r="AF634" s="4"/>
      <c r="AG634" s="4"/>
      <c r="AH634" s="4"/>
      <c r="AI634" s="4"/>
    </row>
    <row r="635">
      <c r="A635" s="57"/>
      <c r="B635" s="4"/>
      <c r="C635" s="4"/>
      <c r="D635" s="4"/>
      <c r="E635" s="4"/>
      <c r="F635" s="4"/>
      <c r="G635" s="4"/>
      <c r="H635" s="52"/>
      <c r="I635" s="4"/>
      <c r="J635" s="52"/>
      <c r="K635" s="52"/>
      <c r="L635" s="52"/>
      <c r="M635" s="52"/>
      <c r="N635" s="52"/>
      <c r="O635" s="52"/>
      <c r="P635" s="52"/>
      <c r="Q635" s="52"/>
      <c r="R635" s="4"/>
      <c r="S635" s="4"/>
      <c r="T635" s="4"/>
      <c r="U635" s="74"/>
      <c r="V635" s="3"/>
      <c r="W635" s="3"/>
      <c r="X635" s="3"/>
      <c r="Y635" s="3"/>
      <c r="Z635" s="58"/>
      <c r="AA635" s="3"/>
      <c r="AB635" s="3"/>
      <c r="AC635" s="4"/>
      <c r="AD635" s="4"/>
      <c r="AE635" s="4"/>
      <c r="AF635" s="4"/>
      <c r="AG635" s="4"/>
      <c r="AH635" s="4"/>
      <c r="AI635" s="4"/>
    </row>
    <row r="636">
      <c r="A636" s="57"/>
      <c r="B636" s="4"/>
      <c r="C636" s="4"/>
      <c r="D636" s="4"/>
      <c r="E636" s="4"/>
      <c r="F636" s="4"/>
      <c r="G636" s="4"/>
      <c r="H636" s="52"/>
      <c r="I636" s="4"/>
      <c r="J636" s="52"/>
      <c r="K636" s="52"/>
      <c r="L636" s="52"/>
      <c r="M636" s="52"/>
      <c r="N636" s="52"/>
      <c r="O636" s="52"/>
      <c r="P636" s="52"/>
      <c r="Q636" s="52"/>
      <c r="R636" s="4"/>
      <c r="S636" s="4"/>
      <c r="T636" s="4"/>
      <c r="U636" s="74"/>
      <c r="V636" s="3"/>
      <c r="W636" s="3"/>
      <c r="X636" s="3"/>
      <c r="Y636" s="3"/>
      <c r="Z636" s="58"/>
      <c r="AA636" s="3"/>
      <c r="AB636" s="3"/>
      <c r="AC636" s="4"/>
      <c r="AD636" s="4"/>
      <c r="AE636" s="4"/>
      <c r="AF636" s="4"/>
      <c r="AG636" s="4"/>
      <c r="AH636" s="4"/>
      <c r="AI636" s="4"/>
    </row>
    <row r="637">
      <c r="A637" s="57"/>
      <c r="B637" s="4"/>
      <c r="C637" s="4"/>
      <c r="D637" s="4"/>
      <c r="E637" s="4"/>
      <c r="F637" s="4"/>
      <c r="G637" s="4"/>
      <c r="H637" s="52"/>
      <c r="I637" s="4"/>
      <c r="J637" s="52"/>
      <c r="K637" s="52"/>
      <c r="L637" s="52"/>
      <c r="M637" s="52"/>
      <c r="N637" s="52"/>
      <c r="O637" s="52"/>
      <c r="P637" s="52"/>
      <c r="Q637" s="52"/>
      <c r="R637" s="4"/>
      <c r="S637" s="4"/>
      <c r="T637" s="4"/>
      <c r="U637" s="74"/>
      <c r="V637" s="3"/>
      <c r="W637" s="3"/>
      <c r="X637" s="3"/>
      <c r="Y637" s="3"/>
      <c r="Z637" s="58"/>
      <c r="AA637" s="3"/>
      <c r="AB637" s="3"/>
      <c r="AC637" s="4"/>
      <c r="AD637" s="4"/>
      <c r="AE637" s="4"/>
      <c r="AF637" s="4"/>
      <c r="AG637" s="4"/>
      <c r="AH637" s="4"/>
      <c r="AI637" s="4"/>
    </row>
    <row r="638">
      <c r="A638" s="57"/>
      <c r="B638" s="4"/>
      <c r="C638" s="4"/>
      <c r="D638" s="4"/>
      <c r="E638" s="4"/>
      <c r="F638" s="4"/>
      <c r="G638" s="4"/>
      <c r="H638" s="52"/>
      <c r="I638" s="4"/>
      <c r="J638" s="52"/>
      <c r="K638" s="52"/>
      <c r="L638" s="52"/>
      <c r="M638" s="52"/>
      <c r="N638" s="52"/>
      <c r="O638" s="52"/>
      <c r="P638" s="52"/>
      <c r="Q638" s="52"/>
      <c r="R638" s="4"/>
      <c r="S638" s="4"/>
      <c r="T638" s="4"/>
      <c r="U638" s="74"/>
      <c r="V638" s="3"/>
      <c r="W638" s="3"/>
      <c r="X638" s="3"/>
      <c r="Y638" s="3"/>
      <c r="Z638" s="58"/>
      <c r="AA638" s="3"/>
      <c r="AB638" s="3"/>
      <c r="AC638" s="4"/>
      <c r="AD638" s="4"/>
      <c r="AE638" s="4"/>
      <c r="AF638" s="4"/>
      <c r="AG638" s="4"/>
      <c r="AH638" s="4"/>
      <c r="AI638" s="4"/>
    </row>
    <row r="639">
      <c r="A639" s="57"/>
      <c r="B639" s="4"/>
      <c r="C639" s="4"/>
      <c r="D639" s="4"/>
      <c r="E639" s="4"/>
      <c r="F639" s="4"/>
      <c r="G639" s="4"/>
      <c r="H639" s="52"/>
      <c r="I639" s="4"/>
      <c r="J639" s="52"/>
      <c r="K639" s="52"/>
      <c r="L639" s="52"/>
      <c r="M639" s="52"/>
      <c r="N639" s="52"/>
      <c r="O639" s="52"/>
      <c r="P639" s="52"/>
      <c r="Q639" s="52"/>
      <c r="R639" s="4"/>
      <c r="S639" s="4"/>
      <c r="T639" s="4"/>
      <c r="U639" s="74"/>
      <c r="V639" s="3"/>
      <c r="W639" s="3"/>
      <c r="X639" s="3"/>
      <c r="Y639" s="3"/>
      <c r="Z639" s="58"/>
      <c r="AA639" s="3"/>
      <c r="AB639" s="3"/>
      <c r="AC639" s="4"/>
      <c r="AD639" s="4"/>
      <c r="AE639" s="4"/>
      <c r="AF639" s="4"/>
      <c r="AG639" s="4"/>
      <c r="AH639" s="4"/>
      <c r="AI639" s="4"/>
    </row>
    <row r="640">
      <c r="A640" s="57"/>
      <c r="B640" s="4"/>
      <c r="C640" s="4"/>
      <c r="D640" s="4"/>
      <c r="E640" s="4"/>
      <c r="F640" s="4"/>
      <c r="G640" s="4"/>
      <c r="H640" s="52"/>
      <c r="I640" s="4"/>
      <c r="J640" s="52"/>
      <c r="K640" s="52"/>
      <c r="L640" s="52"/>
      <c r="M640" s="52"/>
      <c r="N640" s="52"/>
      <c r="O640" s="52"/>
      <c r="P640" s="52"/>
      <c r="Q640" s="52"/>
      <c r="R640" s="4"/>
      <c r="S640" s="4"/>
      <c r="T640" s="4"/>
      <c r="U640" s="74"/>
      <c r="V640" s="3"/>
      <c r="W640" s="3"/>
      <c r="X640" s="3"/>
      <c r="Y640" s="3"/>
      <c r="Z640" s="58"/>
      <c r="AA640" s="3"/>
      <c r="AB640" s="3"/>
      <c r="AC640" s="4"/>
      <c r="AD640" s="4"/>
      <c r="AE640" s="4"/>
      <c r="AF640" s="4"/>
      <c r="AG640" s="4"/>
      <c r="AH640" s="4"/>
      <c r="AI640" s="4"/>
    </row>
    <row r="641">
      <c r="A641" s="57"/>
      <c r="B641" s="4"/>
      <c r="C641" s="4"/>
      <c r="D641" s="4"/>
      <c r="E641" s="4"/>
      <c r="F641" s="4"/>
      <c r="G641" s="4"/>
      <c r="H641" s="52"/>
      <c r="I641" s="4"/>
      <c r="J641" s="52"/>
      <c r="K641" s="52"/>
      <c r="L641" s="52"/>
      <c r="M641" s="52"/>
      <c r="N641" s="52"/>
      <c r="O641" s="52"/>
      <c r="P641" s="52"/>
      <c r="Q641" s="52"/>
      <c r="R641" s="4"/>
      <c r="S641" s="4"/>
      <c r="T641" s="4"/>
      <c r="U641" s="74"/>
      <c r="V641" s="3"/>
      <c r="W641" s="3"/>
      <c r="X641" s="3"/>
      <c r="Y641" s="3"/>
      <c r="Z641" s="58"/>
      <c r="AA641" s="3"/>
      <c r="AB641" s="3"/>
      <c r="AC641" s="4"/>
      <c r="AD641" s="4"/>
      <c r="AE641" s="4"/>
      <c r="AF641" s="4"/>
      <c r="AG641" s="4"/>
      <c r="AH641" s="4"/>
      <c r="AI641" s="4"/>
    </row>
    <row r="642">
      <c r="A642" s="57"/>
      <c r="B642" s="4"/>
      <c r="C642" s="4"/>
      <c r="D642" s="4"/>
      <c r="E642" s="4"/>
      <c r="F642" s="4"/>
      <c r="G642" s="4"/>
      <c r="H642" s="52"/>
      <c r="I642" s="4"/>
      <c r="J642" s="52"/>
      <c r="K642" s="52"/>
      <c r="L642" s="52"/>
      <c r="M642" s="52"/>
      <c r="N642" s="52"/>
      <c r="O642" s="52"/>
      <c r="P642" s="52"/>
      <c r="Q642" s="52"/>
      <c r="R642" s="4"/>
      <c r="S642" s="4"/>
      <c r="T642" s="4"/>
      <c r="U642" s="74"/>
      <c r="V642" s="3"/>
      <c r="W642" s="3"/>
      <c r="X642" s="3"/>
      <c r="Y642" s="3"/>
      <c r="Z642" s="58"/>
      <c r="AA642" s="3"/>
      <c r="AB642" s="3"/>
      <c r="AC642" s="4"/>
      <c r="AD642" s="4"/>
      <c r="AE642" s="4"/>
      <c r="AF642" s="4"/>
      <c r="AG642" s="4"/>
      <c r="AH642" s="4"/>
      <c r="AI642" s="4"/>
    </row>
    <row r="643">
      <c r="A643" s="57"/>
      <c r="B643" s="4"/>
      <c r="C643" s="4"/>
      <c r="D643" s="4"/>
      <c r="E643" s="4"/>
      <c r="F643" s="4"/>
      <c r="G643" s="4"/>
      <c r="H643" s="52"/>
      <c r="I643" s="4"/>
      <c r="J643" s="52"/>
      <c r="K643" s="52"/>
      <c r="L643" s="52"/>
      <c r="M643" s="52"/>
      <c r="N643" s="52"/>
      <c r="O643" s="52"/>
      <c r="P643" s="52"/>
      <c r="Q643" s="52"/>
      <c r="R643" s="4"/>
      <c r="S643" s="4"/>
      <c r="T643" s="4"/>
      <c r="U643" s="74"/>
      <c r="V643" s="3"/>
      <c r="W643" s="3"/>
      <c r="X643" s="3"/>
      <c r="Y643" s="3"/>
      <c r="Z643" s="58"/>
      <c r="AA643" s="3"/>
      <c r="AB643" s="3"/>
      <c r="AC643" s="4"/>
      <c r="AD643" s="4"/>
      <c r="AE643" s="4"/>
      <c r="AF643" s="4"/>
      <c r="AG643" s="4"/>
      <c r="AH643" s="4"/>
      <c r="AI643" s="4"/>
    </row>
    <row r="644">
      <c r="A644" s="57"/>
      <c r="B644" s="4"/>
      <c r="C644" s="4"/>
      <c r="D644" s="4"/>
      <c r="E644" s="4"/>
      <c r="F644" s="4"/>
      <c r="G644" s="4"/>
      <c r="H644" s="52"/>
      <c r="I644" s="4"/>
      <c r="J644" s="52"/>
      <c r="K644" s="52"/>
      <c r="L644" s="52"/>
      <c r="M644" s="52"/>
      <c r="N644" s="52"/>
      <c r="O644" s="52"/>
      <c r="P644" s="52"/>
      <c r="Q644" s="52"/>
      <c r="R644" s="4"/>
      <c r="S644" s="4"/>
      <c r="T644" s="4"/>
      <c r="U644" s="74"/>
      <c r="V644" s="3"/>
      <c r="W644" s="3"/>
      <c r="X644" s="3"/>
      <c r="Y644" s="3"/>
      <c r="Z644" s="58"/>
      <c r="AA644" s="3"/>
      <c r="AB644" s="3"/>
      <c r="AC644" s="4"/>
      <c r="AD644" s="4"/>
      <c r="AE644" s="4"/>
      <c r="AF644" s="4"/>
      <c r="AG644" s="4"/>
      <c r="AH644" s="4"/>
      <c r="AI644" s="4"/>
    </row>
    <row r="645">
      <c r="A645" s="57"/>
      <c r="B645" s="4"/>
      <c r="C645" s="4"/>
      <c r="D645" s="4"/>
      <c r="E645" s="4"/>
      <c r="F645" s="4"/>
      <c r="G645" s="4"/>
      <c r="H645" s="52"/>
      <c r="I645" s="4"/>
      <c r="J645" s="52"/>
      <c r="K645" s="52"/>
      <c r="L645" s="52"/>
      <c r="M645" s="52"/>
      <c r="N645" s="52"/>
      <c r="O645" s="52"/>
      <c r="P645" s="52"/>
      <c r="Q645" s="52"/>
      <c r="R645" s="4"/>
      <c r="S645" s="4"/>
      <c r="T645" s="4"/>
      <c r="U645" s="74"/>
      <c r="V645" s="3"/>
      <c r="W645" s="3"/>
      <c r="X645" s="3"/>
      <c r="Y645" s="3"/>
      <c r="Z645" s="58"/>
      <c r="AA645" s="3"/>
      <c r="AB645" s="3"/>
      <c r="AC645" s="4"/>
      <c r="AD645" s="4"/>
      <c r="AE645" s="4"/>
      <c r="AF645" s="4"/>
      <c r="AG645" s="4"/>
      <c r="AH645" s="4"/>
      <c r="AI645" s="4"/>
    </row>
    <row r="646">
      <c r="A646" s="57"/>
      <c r="B646" s="4"/>
      <c r="C646" s="4"/>
      <c r="D646" s="4"/>
      <c r="E646" s="4"/>
      <c r="F646" s="4"/>
      <c r="G646" s="4"/>
      <c r="H646" s="52"/>
      <c r="I646" s="4"/>
      <c r="J646" s="52"/>
      <c r="K646" s="52"/>
      <c r="L646" s="52"/>
      <c r="M646" s="52"/>
      <c r="N646" s="52"/>
      <c r="O646" s="52"/>
      <c r="P646" s="52"/>
      <c r="Q646" s="52"/>
      <c r="R646" s="4"/>
      <c r="S646" s="4"/>
      <c r="T646" s="4"/>
      <c r="U646" s="74"/>
      <c r="V646" s="3"/>
      <c r="W646" s="3"/>
      <c r="X646" s="3"/>
      <c r="Y646" s="3"/>
      <c r="Z646" s="58"/>
      <c r="AA646" s="3"/>
      <c r="AB646" s="3"/>
      <c r="AC646" s="4"/>
      <c r="AD646" s="4"/>
      <c r="AE646" s="4"/>
      <c r="AF646" s="4"/>
      <c r="AG646" s="4"/>
      <c r="AH646" s="4"/>
      <c r="AI646" s="4"/>
    </row>
    <row r="647">
      <c r="A647" s="57"/>
      <c r="B647" s="4"/>
      <c r="C647" s="4"/>
      <c r="D647" s="4"/>
      <c r="E647" s="4"/>
      <c r="F647" s="4"/>
      <c r="G647" s="4"/>
      <c r="H647" s="52"/>
      <c r="I647" s="4"/>
      <c r="J647" s="52"/>
      <c r="K647" s="52"/>
      <c r="L647" s="52"/>
      <c r="M647" s="52"/>
      <c r="N647" s="52"/>
      <c r="O647" s="52"/>
      <c r="P647" s="52"/>
      <c r="Q647" s="52"/>
      <c r="R647" s="4"/>
      <c r="S647" s="4"/>
      <c r="T647" s="4"/>
      <c r="U647" s="74"/>
      <c r="V647" s="3"/>
      <c r="W647" s="3"/>
      <c r="X647" s="3"/>
      <c r="Y647" s="3"/>
      <c r="Z647" s="58"/>
      <c r="AA647" s="3"/>
      <c r="AB647" s="3"/>
      <c r="AC647" s="4"/>
      <c r="AD647" s="4"/>
      <c r="AE647" s="4"/>
      <c r="AF647" s="4"/>
      <c r="AG647" s="4"/>
      <c r="AH647" s="4"/>
      <c r="AI647" s="4"/>
    </row>
    <row r="648">
      <c r="A648" s="57"/>
      <c r="B648" s="4"/>
      <c r="C648" s="4"/>
      <c r="D648" s="4"/>
      <c r="E648" s="4"/>
      <c r="F648" s="4"/>
      <c r="G648" s="4"/>
      <c r="H648" s="52"/>
      <c r="I648" s="4"/>
      <c r="J648" s="52"/>
      <c r="K648" s="52"/>
      <c r="L648" s="52"/>
      <c r="M648" s="52"/>
      <c r="N648" s="52"/>
      <c r="O648" s="52"/>
      <c r="P648" s="52"/>
      <c r="Q648" s="52"/>
      <c r="R648" s="4"/>
      <c r="S648" s="4"/>
      <c r="T648" s="4"/>
      <c r="U648" s="74"/>
      <c r="V648" s="3"/>
      <c r="W648" s="3"/>
      <c r="X648" s="3"/>
      <c r="Y648" s="3"/>
      <c r="Z648" s="58"/>
      <c r="AA648" s="3"/>
      <c r="AB648" s="3"/>
      <c r="AC648" s="4"/>
      <c r="AD648" s="4"/>
      <c r="AE648" s="4"/>
      <c r="AF648" s="4"/>
      <c r="AG648" s="4"/>
      <c r="AH648" s="4"/>
      <c r="AI648" s="4"/>
    </row>
    <row r="649">
      <c r="A649" s="57"/>
      <c r="B649" s="4"/>
      <c r="C649" s="4"/>
      <c r="D649" s="4"/>
      <c r="E649" s="4"/>
      <c r="F649" s="4"/>
      <c r="G649" s="4"/>
      <c r="H649" s="52"/>
      <c r="I649" s="4"/>
      <c r="J649" s="52"/>
      <c r="K649" s="52"/>
      <c r="L649" s="52"/>
      <c r="M649" s="52"/>
      <c r="N649" s="52"/>
      <c r="O649" s="52"/>
      <c r="P649" s="52"/>
      <c r="Q649" s="52"/>
      <c r="R649" s="4"/>
      <c r="S649" s="4"/>
      <c r="T649" s="4"/>
      <c r="U649" s="74"/>
      <c r="V649" s="3"/>
      <c r="W649" s="3"/>
      <c r="X649" s="3"/>
      <c r="Y649" s="3"/>
      <c r="Z649" s="58"/>
      <c r="AA649" s="3"/>
      <c r="AB649" s="3"/>
      <c r="AC649" s="4"/>
      <c r="AD649" s="4"/>
      <c r="AE649" s="4"/>
      <c r="AF649" s="4"/>
      <c r="AG649" s="4"/>
      <c r="AH649" s="4"/>
      <c r="AI649" s="4"/>
    </row>
    <row r="650">
      <c r="A650" s="57"/>
      <c r="B650" s="4"/>
      <c r="C650" s="4"/>
      <c r="D650" s="4"/>
      <c r="E650" s="4"/>
      <c r="F650" s="4"/>
      <c r="G650" s="4"/>
      <c r="H650" s="52"/>
      <c r="I650" s="4"/>
      <c r="J650" s="52"/>
      <c r="K650" s="52"/>
      <c r="L650" s="52"/>
      <c r="M650" s="52"/>
      <c r="N650" s="52"/>
      <c r="O650" s="52"/>
      <c r="P650" s="52"/>
      <c r="Q650" s="52"/>
      <c r="R650" s="4"/>
      <c r="S650" s="4"/>
      <c r="T650" s="4"/>
      <c r="U650" s="74"/>
      <c r="V650" s="3"/>
      <c r="W650" s="3"/>
      <c r="X650" s="3"/>
      <c r="Y650" s="3"/>
      <c r="Z650" s="58"/>
      <c r="AA650" s="3"/>
      <c r="AB650" s="3"/>
      <c r="AC650" s="4"/>
      <c r="AD650" s="4"/>
      <c r="AE650" s="4"/>
      <c r="AF650" s="4"/>
      <c r="AG650" s="4"/>
      <c r="AH650" s="4"/>
      <c r="AI650" s="4"/>
    </row>
    <row r="651">
      <c r="A651" s="57"/>
      <c r="B651" s="4"/>
      <c r="C651" s="4"/>
      <c r="D651" s="4"/>
      <c r="E651" s="4"/>
      <c r="F651" s="4"/>
      <c r="G651" s="4"/>
      <c r="H651" s="52"/>
      <c r="I651" s="4"/>
      <c r="J651" s="52"/>
      <c r="K651" s="52"/>
      <c r="L651" s="52"/>
      <c r="M651" s="52"/>
      <c r="N651" s="52"/>
      <c r="O651" s="52"/>
      <c r="P651" s="52"/>
      <c r="Q651" s="52"/>
      <c r="R651" s="4"/>
      <c r="S651" s="4"/>
      <c r="T651" s="4"/>
      <c r="U651" s="74"/>
      <c r="V651" s="3"/>
      <c r="W651" s="3"/>
      <c r="X651" s="3"/>
      <c r="Y651" s="3"/>
      <c r="Z651" s="58"/>
      <c r="AA651" s="3"/>
      <c r="AB651" s="3"/>
      <c r="AC651" s="4"/>
      <c r="AD651" s="4"/>
      <c r="AE651" s="4"/>
      <c r="AF651" s="4"/>
      <c r="AG651" s="4"/>
      <c r="AH651" s="4"/>
      <c r="AI651" s="4"/>
    </row>
    <row r="652">
      <c r="A652" s="57"/>
      <c r="B652" s="4"/>
      <c r="C652" s="4"/>
      <c r="D652" s="4"/>
      <c r="E652" s="4"/>
      <c r="F652" s="4"/>
      <c r="G652" s="4"/>
      <c r="H652" s="52"/>
      <c r="I652" s="4"/>
      <c r="J652" s="52"/>
      <c r="K652" s="52"/>
      <c r="L652" s="52"/>
      <c r="M652" s="52"/>
      <c r="N652" s="52"/>
      <c r="O652" s="52"/>
      <c r="P652" s="52"/>
      <c r="Q652" s="52"/>
      <c r="R652" s="4"/>
      <c r="S652" s="4"/>
      <c r="T652" s="4"/>
      <c r="U652" s="74"/>
      <c r="V652" s="3"/>
      <c r="W652" s="3"/>
      <c r="X652" s="3"/>
      <c r="Y652" s="3"/>
      <c r="Z652" s="58"/>
      <c r="AA652" s="3"/>
      <c r="AB652" s="3"/>
      <c r="AC652" s="4"/>
      <c r="AD652" s="4"/>
      <c r="AE652" s="4"/>
      <c r="AF652" s="4"/>
      <c r="AG652" s="4"/>
      <c r="AH652" s="4"/>
      <c r="AI652" s="4"/>
    </row>
    <row r="653">
      <c r="A653" s="57"/>
      <c r="B653" s="4"/>
      <c r="C653" s="4"/>
      <c r="D653" s="4"/>
      <c r="E653" s="4"/>
      <c r="F653" s="4"/>
      <c r="G653" s="4"/>
      <c r="H653" s="52"/>
      <c r="I653" s="4"/>
      <c r="J653" s="52"/>
      <c r="K653" s="52"/>
      <c r="L653" s="52"/>
      <c r="M653" s="52"/>
      <c r="N653" s="52"/>
      <c r="O653" s="52"/>
      <c r="P653" s="52"/>
      <c r="Q653" s="52"/>
      <c r="R653" s="4"/>
      <c r="S653" s="4"/>
      <c r="T653" s="4"/>
      <c r="U653" s="74"/>
      <c r="V653" s="3"/>
      <c r="W653" s="3"/>
      <c r="X653" s="3"/>
      <c r="Y653" s="3"/>
      <c r="Z653" s="58"/>
      <c r="AA653" s="3"/>
      <c r="AB653" s="3"/>
      <c r="AC653" s="4"/>
      <c r="AD653" s="4"/>
      <c r="AE653" s="4"/>
      <c r="AF653" s="4"/>
      <c r="AG653" s="4"/>
      <c r="AH653" s="4"/>
      <c r="AI653" s="4"/>
    </row>
    <row r="654">
      <c r="A654" s="57"/>
      <c r="B654" s="4"/>
      <c r="C654" s="4"/>
      <c r="D654" s="4"/>
      <c r="E654" s="4"/>
      <c r="F654" s="4"/>
      <c r="G654" s="4"/>
      <c r="H654" s="52"/>
      <c r="I654" s="4"/>
      <c r="J654" s="52"/>
      <c r="K654" s="52"/>
      <c r="L654" s="52"/>
      <c r="M654" s="52"/>
      <c r="N654" s="52"/>
      <c r="O654" s="52"/>
      <c r="P654" s="52"/>
      <c r="Q654" s="52"/>
      <c r="R654" s="4"/>
      <c r="S654" s="4"/>
      <c r="T654" s="4"/>
      <c r="U654" s="74"/>
      <c r="V654" s="3"/>
      <c r="W654" s="3"/>
      <c r="X654" s="3"/>
      <c r="Y654" s="3"/>
      <c r="Z654" s="58"/>
      <c r="AA654" s="3"/>
      <c r="AB654" s="3"/>
      <c r="AC654" s="4"/>
      <c r="AD654" s="4"/>
      <c r="AE654" s="4"/>
      <c r="AF654" s="4"/>
      <c r="AG654" s="4"/>
      <c r="AH654" s="4"/>
      <c r="AI654" s="4"/>
    </row>
    <row r="655">
      <c r="A655" s="57"/>
      <c r="B655" s="4"/>
      <c r="C655" s="4"/>
      <c r="D655" s="4"/>
      <c r="E655" s="4"/>
      <c r="F655" s="4"/>
      <c r="G655" s="4"/>
      <c r="H655" s="52"/>
      <c r="I655" s="4"/>
      <c r="J655" s="52"/>
      <c r="K655" s="52"/>
      <c r="L655" s="52"/>
      <c r="M655" s="52"/>
      <c r="N655" s="52"/>
      <c r="O655" s="52"/>
      <c r="P655" s="52"/>
      <c r="Q655" s="52"/>
      <c r="R655" s="4"/>
      <c r="S655" s="4"/>
      <c r="T655" s="4"/>
      <c r="U655" s="74"/>
      <c r="V655" s="3"/>
      <c r="W655" s="3"/>
      <c r="X655" s="3"/>
      <c r="Y655" s="3"/>
      <c r="Z655" s="58"/>
      <c r="AA655" s="3"/>
      <c r="AB655" s="3"/>
      <c r="AC655" s="4"/>
      <c r="AD655" s="4"/>
      <c r="AE655" s="4"/>
      <c r="AF655" s="4"/>
      <c r="AG655" s="4"/>
      <c r="AH655" s="4"/>
      <c r="AI655" s="4"/>
    </row>
    <row r="656">
      <c r="A656" s="57"/>
      <c r="B656" s="4"/>
      <c r="C656" s="4"/>
      <c r="D656" s="4"/>
      <c r="E656" s="4"/>
      <c r="F656" s="4"/>
      <c r="G656" s="4"/>
      <c r="H656" s="52"/>
      <c r="I656" s="4"/>
      <c r="J656" s="52"/>
      <c r="K656" s="52"/>
      <c r="L656" s="52"/>
      <c r="M656" s="52"/>
      <c r="N656" s="52"/>
      <c r="O656" s="52"/>
      <c r="P656" s="52"/>
      <c r="Q656" s="52"/>
      <c r="R656" s="4"/>
      <c r="S656" s="4"/>
      <c r="T656" s="4"/>
      <c r="U656" s="74"/>
      <c r="V656" s="3"/>
      <c r="W656" s="3"/>
      <c r="X656" s="3"/>
      <c r="Y656" s="3"/>
      <c r="Z656" s="58"/>
      <c r="AA656" s="3"/>
      <c r="AB656" s="3"/>
      <c r="AC656" s="4"/>
      <c r="AD656" s="4"/>
      <c r="AE656" s="4"/>
      <c r="AF656" s="4"/>
      <c r="AG656" s="4"/>
      <c r="AH656" s="4"/>
      <c r="AI656" s="4"/>
    </row>
    <row r="657">
      <c r="A657" s="57"/>
      <c r="B657" s="4"/>
      <c r="C657" s="4"/>
      <c r="D657" s="4"/>
      <c r="E657" s="4"/>
      <c r="F657" s="4"/>
      <c r="G657" s="4"/>
      <c r="H657" s="52"/>
      <c r="I657" s="4"/>
      <c r="J657" s="52"/>
      <c r="K657" s="52"/>
      <c r="L657" s="52"/>
      <c r="M657" s="52"/>
      <c r="N657" s="52"/>
      <c r="O657" s="52"/>
      <c r="P657" s="52"/>
      <c r="Q657" s="52"/>
      <c r="R657" s="4"/>
      <c r="S657" s="4"/>
      <c r="T657" s="4"/>
      <c r="U657" s="74"/>
      <c r="V657" s="3"/>
      <c r="W657" s="3"/>
      <c r="X657" s="3"/>
      <c r="Y657" s="3"/>
      <c r="Z657" s="58"/>
      <c r="AA657" s="3"/>
      <c r="AB657" s="3"/>
      <c r="AC657" s="4"/>
      <c r="AD657" s="4"/>
      <c r="AE657" s="4"/>
      <c r="AF657" s="4"/>
      <c r="AG657" s="4"/>
      <c r="AH657" s="4"/>
      <c r="AI657" s="4"/>
    </row>
    <row r="658">
      <c r="A658" s="57"/>
      <c r="B658" s="4"/>
      <c r="C658" s="4"/>
      <c r="D658" s="4"/>
      <c r="E658" s="4"/>
      <c r="F658" s="4"/>
      <c r="G658" s="4"/>
      <c r="H658" s="52"/>
      <c r="I658" s="4"/>
      <c r="J658" s="52"/>
      <c r="K658" s="52"/>
      <c r="L658" s="52"/>
      <c r="M658" s="52"/>
      <c r="N658" s="52"/>
      <c r="O658" s="52"/>
      <c r="P658" s="52"/>
      <c r="Q658" s="52"/>
      <c r="R658" s="4"/>
      <c r="S658" s="4"/>
      <c r="T658" s="4"/>
      <c r="U658" s="74"/>
      <c r="V658" s="3"/>
      <c r="W658" s="3"/>
      <c r="X658" s="3"/>
      <c r="Y658" s="3"/>
      <c r="Z658" s="58"/>
      <c r="AA658" s="3"/>
      <c r="AB658" s="3"/>
      <c r="AC658" s="4"/>
      <c r="AD658" s="4"/>
      <c r="AE658" s="4"/>
      <c r="AF658" s="4"/>
      <c r="AG658" s="4"/>
      <c r="AH658" s="4"/>
      <c r="AI658" s="4"/>
    </row>
    <row r="659">
      <c r="A659" s="57"/>
      <c r="B659" s="4"/>
      <c r="C659" s="4"/>
      <c r="D659" s="4"/>
      <c r="E659" s="4"/>
      <c r="F659" s="4"/>
      <c r="G659" s="4"/>
      <c r="H659" s="52"/>
      <c r="I659" s="4"/>
      <c r="J659" s="52"/>
      <c r="K659" s="52"/>
      <c r="L659" s="52"/>
      <c r="M659" s="52"/>
      <c r="N659" s="52"/>
      <c r="O659" s="52"/>
      <c r="P659" s="52"/>
      <c r="Q659" s="52"/>
      <c r="R659" s="4"/>
      <c r="S659" s="4"/>
      <c r="T659" s="4"/>
      <c r="U659" s="74"/>
      <c r="V659" s="3"/>
      <c r="W659" s="3"/>
      <c r="X659" s="3"/>
      <c r="Y659" s="3"/>
      <c r="Z659" s="58"/>
      <c r="AA659" s="3"/>
      <c r="AB659" s="3"/>
      <c r="AC659" s="4"/>
      <c r="AD659" s="4"/>
      <c r="AE659" s="4"/>
      <c r="AF659" s="4"/>
      <c r="AG659" s="4"/>
      <c r="AH659" s="4"/>
      <c r="AI659" s="4"/>
    </row>
    <row r="660">
      <c r="A660" s="57"/>
      <c r="B660" s="4"/>
      <c r="C660" s="4"/>
      <c r="D660" s="4"/>
      <c r="E660" s="4"/>
      <c r="F660" s="4"/>
      <c r="G660" s="4"/>
      <c r="H660" s="52"/>
      <c r="I660" s="4"/>
      <c r="J660" s="52"/>
      <c r="K660" s="52"/>
      <c r="L660" s="52"/>
      <c r="M660" s="52"/>
      <c r="N660" s="52"/>
      <c r="O660" s="52"/>
      <c r="P660" s="52"/>
      <c r="Q660" s="52"/>
      <c r="R660" s="4"/>
      <c r="S660" s="4"/>
      <c r="T660" s="4"/>
      <c r="U660" s="74"/>
      <c r="V660" s="3"/>
      <c r="W660" s="3"/>
      <c r="X660" s="3"/>
      <c r="Y660" s="3"/>
      <c r="Z660" s="58"/>
      <c r="AA660" s="3"/>
      <c r="AB660" s="3"/>
      <c r="AC660" s="4"/>
      <c r="AD660" s="4"/>
      <c r="AE660" s="4"/>
      <c r="AF660" s="4"/>
      <c r="AG660" s="4"/>
      <c r="AH660" s="4"/>
      <c r="AI660" s="4"/>
    </row>
    <row r="661">
      <c r="A661" s="57"/>
      <c r="B661" s="4"/>
      <c r="C661" s="4"/>
      <c r="D661" s="4"/>
      <c r="E661" s="4"/>
      <c r="F661" s="4"/>
      <c r="G661" s="4"/>
      <c r="H661" s="52"/>
      <c r="I661" s="4"/>
      <c r="J661" s="52"/>
      <c r="K661" s="52"/>
      <c r="L661" s="52"/>
      <c r="M661" s="52"/>
      <c r="N661" s="52"/>
      <c r="O661" s="52"/>
      <c r="P661" s="52"/>
      <c r="Q661" s="52"/>
      <c r="R661" s="4"/>
      <c r="S661" s="4"/>
      <c r="T661" s="4"/>
      <c r="U661" s="74"/>
      <c r="V661" s="3"/>
      <c r="W661" s="3"/>
      <c r="X661" s="3"/>
      <c r="Y661" s="3"/>
      <c r="Z661" s="58"/>
      <c r="AA661" s="3"/>
      <c r="AB661" s="3"/>
      <c r="AC661" s="4"/>
      <c r="AD661" s="4"/>
      <c r="AE661" s="4"/>
      <c r="AF661" s="4"/>
      <c r="AG661" s="4"/>
      <c r="AH661" s="4"/>
      <c r="AI661" s="4"/>
    </row>
    <row r="662">
      <c r="A662" s="57"/>
      <c r="B662" s="4"/>
      <c r="C662" s="4"/>
      <c r="D662" s="4"/>
      <c r="E662" s="4"/>
      <c r="F662" s="4"/>
      <c r="G662" s="4"/>
      <c r="H662" s="52"/>
      <c r="I662" s="4"/>
      <c r="J662" s="52"/>
      <c r="K662" s="52"/>
      <c r="L662" s="52"/>
      <c r="M662" s="52"/>
      <c r="N662" s="52"/>
      <c r="O662" s="52"/>
      <c r="P662" s="52"/>
      <c r="Q662" s="52"/>
      <c r="R662" s="4"/>
      <c r="S662" s="4"/>
      <c r="T662" s="4"/>
      <c r="U662" s="74"/>
      <c r="V662" s="3"/>
      <c r="W662" s="3"/>
      <c r="X662" s="3"/>
      <c r="Y662" s="3"/>
      <c r="Z662" s="58"/>
      <c r="AA662" s="3"/>
      <c r="AB662" s="3"/>
      <c r="AC662" s="4"/>
      <c r="AD662" s="4"/>
      <c r="AE662" s="4"/>
      <c r="AF662" s="4"/>
      <c r="AG662" s="4"/>
      <c r="AH662" s="4"/>
      <c r="AI662" s="4"/>
    </row>
    <row r="663">
      <c r="A663" s="57"/>
      <c r="B663" s="4"/>
      <c r="C663" s="4"/>
      <c r="D663" s="4"/>
      <c r="E663" s="4"/>
      <c r="F663" s="4"/>
      <c r="G663" s="4"/>
      <c r="H663" s="52"/>
      <c r="I663" s="4"/>
      <c r="J663" s="52"/>
      <c r="K663" s="52"/>
      <c r="L663" s="52"/>
      <c r="M663" s="52"/>
      <c r="N663" s="52"/>
      <c r="O663" s="52"/>
      <c r="P663" s="52"/>
      <c r="Q663" s="52"/>
      <c r="R663" s="4"/>
      <c r="S663" s="4"/>
      <c r="T663" s="4"/>
      <c r="U663" s="74"/>
      <c r="V663" s="3"/>
      <c r="W663" s="3"/>
      <c r="X663" s="3"/>
      <c r="Y663" s="3"/>
      <c r="Z663" s="58"/>
      <c r="AA663" s="3"/>
      <c r="AB663" s="3"/>
      <c r="AC663" s="4"/>
      <c r="AD663" s="4"/>
      <c r="AE663" s="4"/>
      <c r="AF663" s="4"/>
      <c r="AG663" s="4"/>
      <c r="AH663" s="4"/>
      <c r="AI663" s="4"/>
    </row>
    <row r="664">
      <c r="A664" s="57"/>
      <c r="B664" s="4"/>
      <c r="C664" s="4"/>
      <c r="D664" s="4"/>
      <c r="E664" s="4"/>
      <c r="F664" s="4"/>
      <c r="G664" s="4"/>
      <c r="H664" s="52"/>
      <c r="I664" s="4"/>
      <c r="J664" s="52"/>
      <c r="K664" s="52"/>
      <c r="L664" s="52"/>
      <c r="M664" s="52"/>
      <c r="N664" s="52"/>
      <c r="O664" s="52"/>
      <c r="P664" s="52"/>
      <c r="Q664" s="52"/>
      <c r="R664" s="4"/>
      <c r="S664" s="4"/>
      <c r="T664" s="4"/>
      <c r="U664" s="74"/>
      <c r="V664" s="3"/>
      <c r="W664" s="3"/>
      <c r="X664" s="3"/>
      <c r="Y664" s="3"/>
      <c r="Z664" s="58"/>
      <c r="AA664" s="3"/>
      <c r="AB664" s="3"/>
      <c r="AC664" s="4"/>
      <c r="AD664" s="4"/>
      <c r="AE664" s="4"/>
      <c r="AF664" s="4"/>
      <c r="AG664" s="4"/>
      <c r="AH664" s="4"/>
      <c r="AI664" s="4"/>
    </row>
    <row r="665">
      <c r="A665" s="57"/>
      <c r="B665" s="4"/>
      <c r="C665" s="4"/>
      <c r="D665" s="4"/>
      <c r="E665" s="4"/>
      <c r="F665" s="4"/>
      <c r="G665" s="4"/>
      <c r="H665" s="52"/>
      <c r="I665" s="4"/>
      <c r="J665" s="52"/>
      <c r="K665" s="52"/>
      <c r="L665" s="52"/>
      <c r="M665" s="52"/>
      <c r="N665" s="52"/>
      <c r="O665" s="52"/>
      <c r="P665" s="52"/>
      <c r="Q665" s="52"/>
      <c r="R665" s="4"/>
      <c r="S665" s="4"/>
      <c r="T665" s="4"/>
      <c r="U665" s="74"/>
      <c r="V665" s="3"/>
      <c r="W665" s="3"/>
      <c r="X665" s="3"/>
      <c r="Y665" s="3"/>
      <c r="Z665" s="58"/>
      <c r="AA665" s="3"/>
      <c r="AB665" s="3"/>
      <c r="AC665" s="4"/>
      <c r="AD665" s="4"/>
      <c r="AE665" s="4"/>
      <c r="AF665" s="4"/>
      <c r="AG665" s="4"/>
      <c r="AH665" s="4"/>
      <c r="AI665" s="4"/>
    </row>
    <row r="666">
      <c r="A666" s="57"/>
      <c r="B666" s="4"/>
      <c r="C666" s="4"/>
      <c r="D666" s="4"/>
      <c r="E666" s="4"/>
      <c r="F666" s="4"/>
      <c r="G666" s="4"/>
      <c r="H666" s="52"/>
      <c r="I666" s="4"/>
      <c r="J666" s="52"/>
      <c r="K666" s="52"/>
      <c r="L666" s="52"/>
      <c r="M666" s="52"/>
      <c r="N666" s="52"/>
      <c r="O666" s="52"/>
      <c r="P666" s="52"/>
      <c r="Q666" s="52"/>
      <c r="R666" s="4"/>
      <c r="S666" s="4"/>
      <c r="T666" s="4"/>
      <c r="U666" s="74"/>
      <c r="V666" s="3"/>
      <c r="W666" s="3"/>
      <c r="X666" s="3"/>
      <c r="Y666" s="3"/>
      <c r="Z666" s="58"/>
      <c r="AA666" s="3"/>
      <c r="AB666" s="3"/>
      <c r="AC666" s="4"/>
      <c r="AD666" s="4"/>
      <c r="AE666" s="4"/>
      <c r="AF666" s="4"/>
      <c r="AG666" s="4"/>
      <c r="AH666" s="4"/>
      <c r="AI666" s="4"/>
    </row>
    <row r="667">
      <c r="A667" s="57"/>
      <c r="B667" s="4"/>
      <c r="C667" s="4"/>
      <c r="D667" s="4"/>
      <c r="E667" s="4"/>
      <c r="F667" s="4"/>
      <c r="G667" s="4"/>
      <c r="H667" s="52"/>
      <c r="I667" s="4"/>
      <c r="J667" s="52"/>
      <c r="K667" s="52"/>
      <c r="L667" s="52"/>
      <c r="M667" s="52"/>
      <c r="N667" s="52"/>
      <c r="O667" s="52"/>
      <c r="P667" s="52"/>
      <c r="Q667" s="52"/>
      <c r="R667" s="4"/>
      <c r="S667" s="4"/>
      <c r="T667" s="4"/>
      <c r="U667" s="74"/>
      <c r="V667" s="3"/>
      <c r="W667" s="3"/>
      <c r="X667" s="3"/>
      <c r="Y667" s="3"/>
      <c r="Z667" s="58"/>
      <c r="AA667" s="3"/>
      <c r="AB667" s="3"/>
      <c r="AC667" s="4"/>
      <c r="AD667" s="4"/>
      <c r="AE667" s="4"/>
      <c r="AF667" s="4"/>
      <c r="AG667" s="4"/>
      <c r="AH667" s="4"/>
      <c r="AI667" s="4"/>
    </row>
    <row r="668">
      <c r="A668" s="57"/>
      <c r="B668" s="4"/>
      <c r="C668" s="4"/>
      <c r="D668" s="4"/>
      <c r="E668" s="4"/>
      <c r="F668" s="4"/>
      <c r="G668" s="4"/>
      <c r="H668" s="52"/>
      <c r="I668" s="4"/>
      <c r="J668" s="52"/>
      <c r="K668" s="52"/>
      <c r="L668" s="52"/>
      <c r="M668" s="52"/>
      <c r="N668" s="52"/>
      <c r="O668" s="52"/>
      <c r="P668" s="52"/>
      <c r="Q668" s="52"/>
      <c r="R668" s="4"/>
      <c r="S668" s="4"/>
      <c r="T668" s="4"/>
      <c r="U668" s="74"/>
      <c r="V668" s="3"/>
      <c r="W668" s="3"/>
      <c r="X668" s="3"/>
      <c r="Y668" s="3"/>
      <c r="Z668" s="58"/>
      <c r="AA668" s="3"/>
      <c r="AB668" s="3"/>
      <c r="AC668" s="4"/>
      <c r="AD668" s="4"/>
      <c r="AE668" s="4"/>
      <c r="AF668" s="4"/>
      <c r="AG668" s="4"/>
      <c r="AH668" s="4"/>
      <c r="AI668" s="4"/>
    </row>
    <row r="669">
      <c r="A669" s="57"/>
      <c r="B669" s="4"/>
      <c r="C669" s="4"/>
      <c r="D669" s="4"/>
      <c r="E669" s="4"/>
      <c r="F669" s="4"/>
      <c r="G669" s="4"/>
      <c r="H669" s="52"/>
      <c r="I669" s="4"/>
      <c r="J669" s="52"/>
      <c r="K669" s="52"/>
      <c r="L669" s="52"/>
      <c r="M669" s="52"/>
      <c r="N669" s="52"/>
      <c r="O669" s="52"/>
      <c r="P669" s="52"/>
      <c r="Q669" s="52"/>
      <c r="R669" s="4"/>
      <c r="S669" s="4"/>
      <c r="T669" s="4"/>
      <c r="U669" s="74"/>
      <c r="V669" s="3"/>
      <c r="W669" s="3"/>
      <c r="X669" s="3"/>
      <c r="Y669" s="3"/>
      <c r="Z669" s="58"/>
      <c r="AA669" s="3"/>
      <c r="AB669" s="3"/>
      <c r="AC669" s="4"/>
      <c r="AD669" s="4"/>
      <c r="AE669" s="4"/>
      <c r="AF669" s="4"/>
      <c r="AG669" s="4"/>
      <c r="AH669" s="4"/>
      <c r="AI669" s="4"/>
    </row>
    <row r="670">
      <c r="A670" s="57"/>
      <c r="B670" s="4"/>
      <c r="C670" s="4"/>
      <c r="D670" s="4"/>
      <c r="E670" s="4"/>
      <c r="F670" s="4"/>
      <c r="G670" s="4"/>
      <c r="H670" s="52"/>
      <c r="I670" s="4"/>
      <c r="J670" s="52"/>
      <c r="K670" s="52"/>
      <c r="L670" s="52"/>
      <c r="M670" s="52"/>
      <c r="N670" s="52"/>
      <c r="O670" s="52"/>
      <c r="P670" s="52"/>
      <c r="Q670" s="52"/>
      <c r="R670" s="4"/>
      <c r="S670" s="4"/>
      <c r="T670" s="4"/>
      <c r="U670" s="74"/>
      <c r="V670" s="3"/>
      <c r="W670" s="3"/>
      <c r="X670" s="3"/>
      <c r="Y670" s="3"/>
      <c r="Z670" s="58"/>
      <c r="AA670" s="3"/>
      <c r="AB670" s="3"/>
      <c r="AC670" s="4"/>
      <c r="AD670" s="4"/>
      <c r="AE670" s="4"/>
      <c r="AF670" s="4"/>
      <c r="AG670" s="4"/>
      <c r="AH670" s="4"/>
      <c r="AI670" s="4"/>
    </row>
    <row r="671">
      <c r="A671" s="57"/>
      <c r="B671" s="4"/>
      <c r="C671" s="4"/>
      <c r="D671" s="4"/>
      <c r="E671" s="4"/>
      <c r="F671" s="4"/>
      <c r="G671" s="4"/>
      <c r="H671" s="52"/>
      <c r="I671" s="4"/>
      <c r="J671" s="52"/>
      <c r="K671" s="52"/>
      <c r="L671" s="52"/>
      <c r="M671" s="52"/>
      <c r="N671" s="52"/>
      <c r="O671" s="52"/>
      <c r="P671" s="52"/>
      <c r="Q671" s="52"/>
      <c r="R671" s="4"/>
      <c r="S671" s="4"/>
      <c r="T671" s="4"/>
      <c r="U671" s="74"/>
      <c r="V671" s="3"/>
      <c r="W671" s="3"/>
      <c r="X671" s="3"/>
      <c r="Y671" s="3"/>
      <c r="Z671" s="58"/>
      <c r="AA671" s="3"/>
      <c r="AB671" s="3"/>
      <c r="AC671" s="4"/>
      <c r="AD671" s="4"/>
      <c r="AE671" s="4"/>
      <c r="AF671" s="4"/>
      <c r="AG671" s="4"/>
      <c r="AH671" s="4"/>
      <c r="AI671" s="4"/>
    </row>
    <row r="672">
      <c r="A672" s="57"/>
      <c r="B672" s="4"/>
      <c r="C672" s="4"/>
      <c r="D672" s="4"/>
      <c r="E672" s="4"/>
      <c r="F672" s="4"/>
      <c r="G672" s="4"/>
      <c r="H672" s="52"/>
      <c r="I672" s="4"/>
      <c r="J672" s="52"/>
      <c r="K672" s="52"/>
      <c r="L672" s="52"/>
      <c r="M672" s="52"/>
      <c r="N672" s="52"/>
      <c r="O672" s="52"/>
      <c r="P672" s="52"/>
      <c r="Q672" s="52"/>
      <c r="R672" s="4"/>
      <c r="S672" s="4"/>
      <c r="T672" s="4"/>
      <c r="U672" s="74"/>
      <c r="V672" s="3"/>
      <c r="W672" s="3"/>
      <c r="X672" s="3"/>
      <c r="Y672" s="3"/>
      <c r="Z672" s="58"/>
      <c r="AA672" s="3"/>
      <c r="AB672" s="3"/>
      <c r="AC672" s="4"/>
      <c r="AD672" s="4"/>
      <c r="AE672" s="4"/>
      <c r="AF672" s="4"/>
      <c r="AG672" s="4"/>
      <c r="AH672" s="4"/>
      <c r="AI672" s="4"/>
    </row>
    <row r="673">
      <c r="A673" s="57"/>
      <c r="B673" s="4"/>
      <c r="C673" s="4"/>
      <c r="D673" s="4"/>
      <c r="E673" s="4"/>
      <c r="F673" s="4"/>
      <c r="G673" s="4"/>
      <c r="H673" s="52"/>
      <c r="I673" s="4"/>
      <c r="J673" s="52"/>
      <c r="K673" s="52"/>
      <c r="L673" s="52"/>
      <c r="M673" s="52"/>
      <c r="N673" s="52"/>
      <c r="O673" s="52"/>
      <c r="P673" s="52"/>
      <c r="Q673" s="52"/>
      <c r="R673" s="4"/>
      <c r="S673" s="4"/>
      <c r="T673" s="4"/>
      <c r="U673" s="74"/>
      <c r="V673" s="3"/>
      <c r="W673" s="3"/>
      <c r="X673" s="3"/>
      <c r="Y673" s="3"/>
      <c r="Z673" s="58"/>
      <c r="AA673" s="3"/>
      <c r="AB673" s="3"/>
      <c r="AC673" s="4"/>
      <c r="AD673" s="4"/>
      <c r="AE673" s="4"/>
      <c r="AF673" s="4"/>
      <c r="AG673" s="4"/>
      <c r="AH673" s="4"/>
      <c r="AI673" s="4"/>
    </row>
    <row r="674">
      <c r="A674" s="57"/>
      <c r="B674" s="4"/>
      <c r="C674" s="4"/>
      <c r="D674" s="4"/>
      <c r="E674" s="4"/>
      <c r="F674" s="4"/>
      <c r="G674" s="4"/>
      <c r="H674" s="52"/>
      <c r="I674" s="4"/>
      <c r="J674" s="52"/>
      <c r="K674" s="52"/>
      <c r="L674" s="52"/>
      <c r="M674" s="52"/>
      <c r="N674" s="52"/>
      <c r="O674" s="52"/>
      <c r="P674" s="52"/>
      <c r="Q674" s="52"/>
      <c r="R674" s="4"/>
      <c r="S674" s="4"/>
      <c r="T674" s="4"/>
      <c r="U674" s="74"/>
      <c r="V674" s="3"/>
      <c r="W674" s="3"/>
      <c r="X674" s="3"/>
      <c r="Y674" s="3"/>
      <c r="Z674" s="58"/>
      <c r="AA674" s="3"/>
      <c r="AB674" s="3"/>
      <c r="AC674" s="4"/>
      <c r="AD674" s="4"/>
      <c r="AE674" s="4"/>
      <c r="AF674" s="4"/>
      <c r="AG674" s="4"/>
      <c r="AH674" s="4"/>
      <c r="AI674" s="4"/>
    </row>
    <row r="675">
      <c r="A675" s="57"/>
      <c r="B675" s="4"/>
      <c r="C675" s="4"/>
      <c r="D675" s="4"/>
      <c r="E675" s="4"/>
      <c r="F675" s="4"/>
      <c r="G675" s="4"/>
      <c r="H675" s="52"/>
      <c r="I675" s="4"/>
      <c r="J675" s="52"/>
      <c r="K675" s="52"/>
      <c r="L675" s="52"/>
      <c r="M675" s="52"/>
      <c r="N675" s="52"/>
      <c r="O675" s="52"/>
      <c r="P675" s="52"/>
      <c r="Q675" s="52"/>
      <c r="R675" s="4"/>
      <c r="S675" s="4"/>
      <c r="T675" s="4"/>
      <c r="U675" s="74"/>
      <c r="V675" s="3"/>
      <c r="W675" s="3"/>
      <c r="X675" s="3"/>
      <c r="Y675" s="3"/>
      <c r="Z675" s="58"/>
      <c r="AA675" s="3"/>
      <c r="AB675" s="3"/>
      <c r="AC675" s="4"/>
      <c r="AD675" s="4"/>
      <c r="AE675" s="4"/>
      <c r="AF675" s="4"/>
      <c r="AG675" s="4"/>
      <c r="AH675" s="4"/>
      <c r="AI675" s="4"/>
    </row>
    <row r="676">
      <c r="A676" s="57"/>
      <c r="B676" s="4"/>
      <c r="C676" s="4"/>
      <c r="D676" s="4"/>
      <c r="E676" s="4"/>
      <c r="F676" s="4"/>
      <c r="G676" s="4"/>
      <c r="H676" s="52"/>
      <c r="I676" s="4"/>
      <c r="J676" s="52"/>
      <c r="K676" s="52"/>
      <c r="L676" s="52"/>
      <c r="M676" s="52"/>
      <c r="N676" s="52"/>
      <c r="O676" s="52"/>
      <c r="P676" s="52"/>
      <c r="Q676" s="52"/>
      <c r="R676" s="4"/>
      <c r="S676" s="4"/>
      <c r="T676" s="4"/>
      <c r="U676" s="74"/>
      <c r="V676" s="3"/>
      <c r="W676" s="3"/>
      <c r="X676" s="3"/>
      <c r="Y676" s="3"/>
      <c r="Z676" s="58"/>
      <c r="AA676" s="3"/>
      <c r="AB676" s="3"/>
      <c r="AC676" s="4"/>
      <c r="AD676" s="4"/>
      <c r="AE676" s="4"/>
      <c r="AF676" s="4"/>
      <c r="AG676" s="4"/>
      <c r="AH676" s="4"/>
      <c r="AI676" s="4"/>
    </row>
    <row r="677">
      <c r="A677" s="57"/>
      <c r="B677" s="4"/>
      <c r="C677" s="4"/>
      <c r="D677" s="4"/>
      <c r="E677" s="4"/>
      <c r="F677" s="4"/>
      <c r="G677" s="4"/>
      <c r="H677" s="52"/>
      <c r="I677" s="4"/>
      <c r="J677" s="52"/>
      <c r="K677" s="52"/>
      <c r="L677" s="52"/>
      <c r="M677" s="52"/>
      <c r="N677" s="52"/>
      <c r="O677" s="52"/>
      <c r="P677" s="52"/>
      <c r="Q677" s="52"/>
      <c r="R677" s="4"/>
      <c r="S677" s="4"/>
      <c r="T677" s="4"/>
      <c r="U677" s="74"/>
      <c r="V677" s="3"/>
      <c r="W677" s="3"/>
      <c r="X677" s="3"/>
      <c r="Y677" s="3"/>
      <c r="Z677" s="58"/>
      <c r="AA677" s="3"/>
      <c r="AB677" s="3"/>
      <c r="AC677" s="4"/>
      <c r="AD677" s="4"/>
      <c r="AE677" s="4"/>
      <c r="AF677" s="4"/>
      <c r="AG677" s="4"/>
      <c r="AH677" s="4"/>
      <c r="AI677" s="4"/>
    </row>
    <row r="678">
      <c r="A678" s="57"/>
      <c r="B678" s="4"/>
      <c r="C678" s="4"/>
      <c r="D678" s="4"/>
      <c r="E678" s="4"/>
      <c r="F678" s="4"/>
      <c r="G678" s="4"/>
      <c r="H678" s="52"/>
      <c r="I678" s="4"/>
      <c r="J678" s="52"/>
      <c r="K678" s="52"/>
      <c r="L678" s="52"/>
      <c r="M678" s="52"/>
      <c r="N678" s="52"/>
      <c r="O678" s="52"/>
      <c r="P678" s="52"/>
      <c r="Q678" s="52"/>
      <c r="R678" s="4"/>
      <c r="S678" s="4"/>
      <c r="T678" s="4"/>
      <c r="U678" s="74"/>
      <c r="V678" s="3"/>
      <c r="W678" s="3"/>
      <c r="X678" s="3"/>
      <c r="Y678" s="3"/>
      <c r="Z678" s="58"/>
      <c r="AA678" s="3"/>
      <c r="AB678" s="3"/>
      <c r="AC678" s="4"/>
      <c r="AD678" s="4"/>
      <c r="AE678" s="4"/>
      <c r="AF678" s="4"/>
      <c r="AG678" s="4"/>
      <c r="AH678" s="4"/>
      <c r="AI678" s="4"/>
    </row>
    <row r="679">
      <c r="A679" s="57"/>
      <c r="B679" s="4"/>
      <c r="C679" s="4"/>
      <c r="D679" s="4"/>
      <c r="E679" s="4"/>
      <c r="F679" s="4"/>
      <c r="G679" s="4"/>
      <c r="H679" s="52"/>
      <c r="I679" s="4"/>
      <c r="J679" s="52"/>
      <c r="K679" s="52"/>
      <c r="L679" s="52"/>
      <c r="M679" s="52"/>
      <c r="N679" s="52"/>
      <c r="O679" s="52"/>
      <c r="P679" s="52"/>
      <c r="Q679" s="52"/>
      <c r="R679" s="4"/>
      <c r="S679" s="4"/>
      <c r="T679" s="4"/>
      <c r="U679" s="74"/>
      <c r="V679" s="3"/>
      <c r="W679" s="3"/>
      <c r="X679" s="3"/>
      <c r="Y679" s="3"/>
      <c r="Z679" s="58"/>
      <c r="AA679" s="3"/>
      <c r="AB679" s="3"/>
      <c r="AC679" s="4"/>
      <c r="AD679" s="4"/>
      <c r="AE679" s="4"/>
      <c r="AF679" s="4"/>
      <c r="AG679" s="4"/>
      <c r="AH679" s="4"/>
      <c r="AI679" s="4"/>
    </row>
    <row r="680">
      <c r="A680" s="57"/>
      <c r="B680" s="4"/>
      <c r="C680" s="4"/>
      <c r="D680" s="4"/>
      <c r="E680" s="4"/>
      <c r="F680" s="4"/>
      <c r="G680" s="4"/>
      <c r="H680" s="52"/>
      <c r="I680" s="4"/>
      <c r="J680" s="52"/>
      <c r="K680" s="52"/>
      <c r="L680" s="52"/>
      <c r="M680" s="52"/>
      <c r="N680" s="52"/>
      <c r="O680" s="52"/>
      <c r="P680" s="52"/>
      <c r="Q680" s="52"/>
      <c r="R680" s="4"/>
      <c r="S680" s="4"/>
      <c r="T680" s="4"/>
      <c r="U680" s="74"/>
      <c r="V680" s="3"/>
      <c r="W680" s="3"/>
      <c r="X680" s="3"/>
      <c r="Y680" s="3"/>
      <c r="Z680" s="58"/>
      <c r="AA680" s="3"/>
      <c r="AB680" s="3"/>
      <c r="AC680" s="4"/>
      <c r="AD680" s="4"/>
      <c r="AE680" s="4"/>
      <c r="AF680" s="4"/>
      <c r="AG680" s="4"/>
      <c r="AH680" s="4"/>
      <c r="AI680" s="4"/>
    </row>
    <row r="681">
      <c r="A681" s="57"/>
      <c r="B681" s="4"/>
      <c r="C681" s="4"/>
      <c r="D681" s="4"/>
      <c r="E681" s="4"/>
      <c r="F681" s="4"/>
      <c r="G681" s="4"/>
      <c r="H681" s="52"/>
      <c r="I681" s="4"/>
      <c r="J681" s="52"/>
      <c r="K681" s="52"/>
      <c r="L681" s="52"/>
      <c r="M681" s="52"/>
      <c r="N681" s="52"/>
      <c r="O681" s="52"/>
      <c r="P681" s="52"/>
      <c r="Q681" s="52"/>
      <c r="R681" s="4"/>
      <c r="S681" s="4"/>
      <c r="T681" s="4"/>
      <c r="U681" s="74"/>
      <c r="V681" s="3"/>
      <c r="W681" s="3"/>
      <c r="X681" s="3"/>
      <c r="Y681" s="3"/>
      <c r="Z681" s="58"/>
      <c r="AA681" s="3"/>
      <c r="AB681" s="3"/>
      <c r="AC681" s="4"/>
      <c r="AD681" s="4"/>
      <c r="AE681" s="4"/>
      <c r="AF681" s="4"/>
      <c r="AG681" s="4"/>
      <c r="AH681" s="4"/>
      <c r="AI681" s="4"/>
    </row>
    <row r="682">
      <c r="A682" s="57"/>
      <c r="B682" s="4"/>
      <c r="C682" s="4"/>
      <c r="D682" s="4"/>
      <c r="E682" s="4"/>
      <c r="F682" s="4"/>
      <c r="G682" s="4"/>
      <c r="H682" s="52"/>
      <c r="I682" s="4"/>
      <c r="J682" s="52"/>
      <c r="K682" s="52"/>
      <c r="L682" s="52"/>
      <c r="M682" s="52"/>
      <c r="N682" s="52"/>
      <c r="O682" s="52"/>
      <c r="P682" s="52"/>
      <c r="Q682" s="52"/>
      <c r="R682" s="4"/>
      <c r="S682" s="4"/>
      <c r="T682" s="4"/>
      <c r="U682" s="74"/>
      <c r="V682" s="3"/>
      <c r="W682" s="3"/>
      <c r="X682" s="3"/>
      <c r="Y682" s="3"/>
      <c r="Z682" s="58"/>
      <c r="AA682" s="3"/>
      <c r="AB682" s="3"/>
      <c r="AC682" s="4"/>
      <c r="AD682" s="4"/>
      <c r="AE682" s="4"/>
      <c r="AF682" s="4"/>
      <c r="AG682" s="4"/>
      <c r="AH682" s="4"/>
      <c r="AI682" s="4"/>
    </row>
    <row r="683">
      <c r="A683" s="57"/>
      <c r="B683" s="4"/>
      <c r="C683" s="4"/>
      <c r="D683" s="4"/>
      <c r="E683" s="4"/>
      <c r="F683" s="4"/>
      <c r="G683" s="4"/>
      <c r="H683" s="52"/>
      <c r="I683" s="4"/>
      <c r="J683" s="52"/>
      <c r="K683" s="52"/>
      <c r="L683" s="52"/>
      <c r="M683" s="52"/>
      <c r="N683" s="52"/>
      <c r="O683" s="52"/>
      <c r="P683" s="52"/>
      <c r="Q683" s="52"/>
      <c r="R683" s="4"/>
      <c r="S683" s="4"/>
      <c r="T683" s="4"/>
      <c r="U683" s="74"/>
      <c r="V683" s="3"/>
      <c r="W683" s="3"/>
      <c r="X683" s="3"/>
      <c r="Y683" s="3"/>
      <c r="Z683" s="58"/>
      <c r="AA683" s="3"/>
      <c r="AB683" s="3"/>
      <c r="AC683" s="4"/>
      <c r="AD683" s="4"/>
      <c r="AE683" s="4"/>
      <c r="AF683" s="4"/>
      <c r="AG683" s="4"/>
      <c r="AH683" s="4"/>
      <c r="AI683" s="4"/>
    </row>
    <row r="684">
      <c r="A684" s="57"/>
      <c r="B684" s="4"/>
      <c r="C684" s="4"/>
      <c r="D684" s="4"/>
      <c r="E684" s="4"/>
      <c r="F684" s="4"/>
      <c r="G684" s="4"/>
      <c r="H684" s="52"/>
      <c r="I684" s="4"/>
      <c r="J684" s="52"/>
      <c r="K684" s="52"/>
      <c r="L684" s="52"/>
      <c r="M684" s="52"/>
      <c r="N684" s="52"/>
      <c r="O684" s="52"/>
      <c r="P684" s="52"/>
      <c r="Q684" s="52"/>
      <c r="R684" s="4"/>
      <c r="S684" s="4"/>
      <c r="T684" s="4"/>
      <c r="U684" s="74"/>
      <c r="V684" s="3"/>
      <c r="W684" s="3"/>
      <c r="X684" s="3"/>
      <c r="Y684" s="3"/>
      <c r="Z684" s="58"/>
      <c r="AA684" s="3"/>
      <c r="AB684" s="3"/>
      <c r="AC684" s="4"/>
      <c r="AD684" s="4"/>
      <c r="AE684" s="4"/>
      <c r="AF684" s="4"/>
      <c r="AG684" s="4"/>
      <c r="AH684" s="4"/>
      <c r="AI684" s="4"/>
    </row>
    <row r="685">
      <c r="A685" s="57"/>
      <c r="B685" s="4"/>
      <c r="C685" s="4"/>
      <c r="D685" s="4"/>
      <c r="E685" s="4"/>
      <c r="F685" s="4"/>
      <c r="G685" s="4"/>
      <c r="H685" s="52"/>
      <c r="I685" s="4"/>
      <c r="J685" s="52"/>
      <c r="K685" s="52"/>
      <c r="L685" s="52"/>
      <c r="M685" s="52"/>
      <c r="N685" s="52"/>
      <c r="O685" s="52"/>
      <c r="P685" s="52"/>
      <c r="Q685" s="52"/>
      <c r="R685" s="4"/>
      <c r="S685" s="4"/>
      <c r="T685" s="4"/>
      <c r="U685" s="74"/>
      <c r="V685" s="3"/>
      <c r="W685" s="3"/>
      <c r="X685" s="3"/>
      <c r="Y685" s="3"/>
      <c r="Z685" s="58"/>
      <c r="AA685" s="3"/>
      <c r="AB685" s="3"/>
      <c r="AC685" s="4"/>
      <c r="AD685" s="4"/>
      <c r="AE685" s="4"/>
      <c r="AF685" s="4"/>
      <c r="AG685" s="4"/>
      <c r="AH685" s="4"/>
      <c r="AI685" s="4"/>
    </row>
    <row r="686">
      <c r="A686" s="57"/>
      <c r="B686" s="4"/>
      <c r="C686" s="4"/>
      <c r="D686" s="4"/>
      <c r="E686" s="4"/>
      <c r="F686" s="4"/>
      <c r="G686" s="4"/>
      <c r="H686" s="52"/>
      <c r="I686" s="4"/>
      <c r="J686" s="52"/>
      <c r="K686" s="52"/>
      <c r="L686" s="52"/>
      <c r="M686" s="52"/>
      <c r="N686" s="52"/>
      <c r="O686" s="52"/>
      <c r="P686" s="52"/>
      <c r="Q686" s="52"/>
      <c r="R686" s="4"/>
      <c r="S686" s="4"/>
      <c r="T686" s="4"/>
      <c r="U686" s="74"/>
      <c r="V686" s="3"/>
      <c r="W686" s="3"/>
      <c r="X686" s="3"/>
      <c r="Y686" s="3"/>
      <c r="Z686" s="58"/>
      <c r="AA686" s="3"/>
      <c r="AB686" s="3"/>
      <c r="AC686" s="4"/>
      <c r="AD686" s="4"/>
      <c r="AE686" s="4"/>
      <c r="AF686" s="4"/>
      <c r="AG686" s="4"/>
      <c r="AH686" s="4"/>
      <c r="AI686" s="4"/>
    </row>
    <row r="687">
      <c r="A687" s="57"/>
      <c r="B687" s="4"/>
      <c r="C687" s="4"/>
      <c r="D687" s="4"/>
      <c r="E687" s="4"/>
      <c r="F687" s="4"/>
      <c r="G687" s="4"/>
      <c r="H687" s="52"/>
      <c r="I687" s="4"/>
      <c r="J687" s="52"/>
      <c r="K687" s="52"/>
      <c r="L687" s="52"/>
      <c r="M687" s="52"/>
      <c r="N687" s="52"/>
      <c r="O687" s="52"/>
      <c r="P687" s="52"/>
      <c r="Q687" s="52"/>
      <c r="R687" s="4"/>
      <c r="S687" s="4"/>
      <c r="T687" s="4"/>
      <c r="U687" s="74"/>
      <c r="V687" s="3"/>
      <c r="W687" s="3"/>
      <c r="X687" s="3"/>
      <c r="Y687" s="3"/>
      <c r="Z687" s="58"/>
      <c r="AA687" s="3"/>
      <c r="AB687" s="3"/>
      <c r="AC687" s="4"/>
      <c r="AD687" s="4"/>
      <c r="AE687" s="4"/>
      <c r="AF687" s="4"/>
      <c r="AG687" s="4"/>
      <c r="AH687" s="4"/>
      <c r="AI687" s="4"/>
    </row>
    <row r="688">
      <c r="A688" s="57"/>
      <c r="B688" s="4"/>
      <c r="C688" s="4"/>
      <c r="D688" s="4"/>
      <c r="E688" s="4"/>
      <c r="F688" s="4"/>
      <c r="G688" s="4"/>
      <c r="H688" s="52"/>
      <c r="I688" s="4"/>
      <c r="J688" s="52"/>
      <c r="K688" s="52"/>
      <c r="L688" s="52"/>
      <c r="M688" s="52"/>
      <c r="N688" s="52"/>
      <c r="O688" s="52"/>
      <c r="P688" s="52"/>
      <c r="Q688" s="52"/>
      <c r="R688" s="4"/>
      <c r="S688" s="4"/>
      <c r="T688" s="4"/>
      <c r="U688" s="74"/>
      <c r="V688" s="3"/>
      <c r="W688" s="3"/>
      <c r="X688" s="3"/>
      <c r="Y688" s="3"/>
      <c r="Z688" s="58"/>
      <c r="AA688" s="3"/>
      <c r="AB688" s="3"/>
      <c r="AC688" s="4"/>
      <c r="AD688" s="4"/>
      <c r="AE688" s="4"/>
      <c r="AF688" s="4"/>
      <c r="AG688" s="4"/>
      <c r="AH688" s="4"/>
      <c r="AI688" s="4"/>
    </row>
    <row r="689">
      <c r="A689" s="57"/>
      <c r="B689" s="4"/>
      <c r="C689" s="4"/>
      <c r="D689" s="4"/>
      <c r="E689" s="4"/>
      <c r="F689" s="4"/>
      <c r="G689" s="4"/>
      <c r="H689" s="52"/>
      <c r="I689" s="4"/>
      <c r="J689" s="52"/>
      <c r="K689" s="52"/>
      <c r="L689" s="52"/>
      <c r="M689" s="52"/>
      <c r="N689" s="52"/>
      <c r="O689" s="52"/>
      <c r="P689" s="52"/>
      <c r="Q689" s="52"/>
      <c r="R689" s="4"/>
      <c r="S689" s="4"/>
      <c r="T689" s="4"/>
      <c r="U689" s="74"/>
      <c r="V689" s="3"/>
      <c r="W689" s="3"/>
      <c r="X689" s="3"/>
      <c r="Y689" s="3"/>
      <c r="Z689" s="58"/>
      <c r="AA689" s="3"/>
      <c r="AB689" s="3"/>
      <c r="AC689" s="4"/>
      <c r="AD689" s="4"/>
      <c r="AE689" s="4"/>
      <c r="AF689" s="4"/>
      <c r="AG689" s="4"/>
      <c r="AH689" s="4"/>
      <c r="AI689" s="4"/>
    </row>
    <row r="690">
      <c r="A690" s="57"/>
      <c r="B690" s="4"/>
      <c r="C690" s="4"/>
      <c r="D690" s="4"/>
      <c r="E690" s="4"/>
      <c r="F690" s="4"/>
      <c r="G690" s="4"/>
      <c r="H690" s="52"/>
      <c r="I690" s="4"/>
      <c r="J690" s="52"/>
      <c r="K690" s="52"/>
      <c r="L690" s="52"/>
      <c r="M690" s="52"/>
      <c r="N690" s="52"/>
      <c r="O690" s="52"/>
      <c r="P690" s="52"/>
      <c r="Q690" s="52"/>
      <c r="R690" s="4"/>
      <c r="S690" s="4"/>
      <c r="T690" s="4"/>
      <c r="U690" s="74"/>
      <c r="V690" s="3"/>
      <c r="W690" s="3"/>
      <c r="X690" s="3"/>
      <c r="Y690" s="3"/>
      <c r="Z690" s="58"/>
      <c r="AA690" s="3"/>
      <c r="AB690" s="3"/>
      <c r="AC690" s="4"/>
      <c r="AD690" s="4"/>
      <c r="AE690" s="4"/>
      <c r="AF690" s="4"/>
      <c r="AG690" s="4"/>
      <c r="AH690" s="4"/>
      <c r="AI690" s="4"/>
    </row>
    <row r="691">
      <c r="A691" s="57"/>
      <c r="B691" s="4"/>
      <c r="C691" s="4"/>
      <c r="D691" s="4"/>
      <c r="E691" s="4"/>
      <c r="F691" s="4"/>
      <c r="G691" s="4"/>
      <c r="H691" s="52"/>
      <c r="I691" s="4"/>
      <c r="J691" s="52"/>
      <c r="K691" s="52"/>
      <c r="L691" s="52"/>
      <c r="M691" s="52"/>
      <c r="N691" s="52"/>
      <c r="O691" s="52"/>
      <c r="P691" s="52"/>
      <c r="Q691" s="52"/>
      <c r="R691" s="4"/>
      <c r="S691" s="4"/>
      <c r="T691" s="4"/>
      <c r="U691" s="74"/>
      <c r="V691" s="3"/>
      <c r="W691" s="3"/>
      <c r="X691" s="3"/>
      <c r="Y691" s="3"/>
      <c r="Z691" s="58"/>
      <c r="AA691" s="3"/>
      <c r="AB691" s="3"/>
      <c r="AC691" s="4"/>
      <c r="AD691" s="4"/>
      <c r="AE691" s="4"/>
      <c r="AF691" s="4"/>
      <c r="AG691" s="4"/>
      <c r="AH691" s="4"/>
      <c r="AI691" s="4"/>
    </row>
    <row r="692">
      <c r="A692" s="57"/>
      <c r="B692" s="4"/>
      <c r="C692" s="4"/>
      <c r="D692" s="4"/>
      <c r="E692" s="4"/>
      <c r="F692" s="4"/>
      <c r="G692" s="4"/>
      <c r="H692" s="52"/>
      <c r="I692" s="4"/>
      <c r="J692" s="52"/>
      <c r="K692" s="52"/>
      <c r="L692" s="52"/>
      <c r="M692" s="52"/>
      <c r="N692" s="52"/>
      <c r="O692" s="52"/>
      <c r="P692" s="52"/>
      <c r="Q692" s="52"/>
      <c r="R692" s="4"/>
      <c r="S692" s="4"/>
      <c r="T692" s="4"/>
      <c r="U692" s="74"/>
      <c r="V692" s="3"/>
      <c r="W692" s="3"/>
      <c r="X692" s="3"/>
      <c r="Y692" s="3"/>
      <c r="Z692" s="58"/>
      <c r="AA692" s="3"/>
      <c r="AB692" s="3"/>
      <c r="AC692" s="4"/>
      <c r="AD692" s="4"/>
      <c r="AE692" s="4"/>
      <c r="AF692" s="4"/>
      <c r="AG692" s="4"/>
      <c r="AH692" s="4"/>
      <c r="AI692" s="4"/>
    </row>
    <row r="693">
      <c r="A693" s="57"/>
      <c r="B693" s="4"/>
      <c r="C693" s="4"/>
      <c r="D693" s="4"/>
      <c r="E693" s="4"/>
      <c r="F693" s="4"/>
      <c r="G693" s="4"/>
      <c r="H693" s="52"/>
      <c r="I693" s="4"/>
      <c r="J693" s="52"/>
      <c r="K693" s="52"/>
      <c r="L693" s="52"/>
      <c r="M693" s="52"/>
      <c r="N693" s="52"/>
      <c r="O693" s="52"/>
      <c r="P693" s="52"/>
      <c r="Q693" s="52"/>
      <c r="R693" s="4"/>
      <c r="S693" s="4"/>
      <c r="T693" s="4"/>
      <c r="U693" s="74"/>
      <c r="V693" s="3"/>
      <c r="W693" s="3"/>
      <c r="X693" s="3"/>
      <c r="Y693" s="3"/>
      <c r="Z693" s="58"/>
      <c r="AA693" s="3"/>
      <c r="AB693" s="3"/>
      <c r="AC693" s="4"/>
      <c r="AD693" s="4"/>
      <c r="AE693" s="4"/>
      <c r="AF693" s="4"/>
      <c r="AG693" s="4"/>
      <c r="AH693" s="4"/>
      <c r="AI693" s="4"/>
    </row>
    <row r="694">
      <c r="A694" s="57"/>
      <c r="B694" s="4"/>
      <c r="C694" s="4"/>
      <c r="D694" s="4"/>
      <c r="E694" s="4"/>
      <c r="F694" s="4"/>
      <c r="G694" s="4"/>
      <c r="H694" s="52"/>
      <c r="I694" s="4"/>
      <c r="J694" s="52"/>
      <c r="K694" s="52"/>
      <c r="L694" s="52"/>
      <c r="M694" s="52"/>
      <c r="N694" s="52"/>
      <c r="O694" s="52"/>
      <c r="P694" s="52"/>
      <c r="Q694" s="52"/>
      <c r="R694" s="4"/>
      <c r="S694" s="4"/>
      <c r="T694" s="4"/>
      <c r="U694" s="74"/>
      <c r="V694" s="3"/>
      <c r="W694" s="3"/>
      <c r="X694" s="3"/>
      <c r="Y694" s="3"/>
      <c r="Z694" s="58"/>
      <c r="AA694" s="3"/>
      <c r="AB694" s="3"/>
      <c r="AC694" s="4"/>
      <c r="AD694" s="4"/>
      <c r="AE694" s="4"/>
      <c r="AF694" s="4"/>
      <c r="AG694" s="4"/>
      <c r="AH694" s="4"/>
      <c r="AI694" s="4"/>
    </row>
    <row r="695">
      <c r="A695" s="57"/>
      <c r="B695" s="4"/>
      <c r="C695" s="4"/>
      <c r="D695" s="4"/>
      <c r="E695" s="4"/>
      <c r="F695" s="4"/>
      <c r="G695" s="4"/>
      <c r="H695" s="52"/>
      <c r="I695" s="4"/>
      <c r="J695" s="52"/>
      <c r="K695" s="52"/>
      <c r="L695" s="52"/>
      <c r="M695" s="52"/>
      <c r="N695" s="52"/>
      <c r="O695" s="52"/>
      <c r="P695" s="52"/>
      <c r="Q695" s="52"/>
      <c r="R695" s="4"/>
      <c r="S695" s="4"/>
      <c r="T695" s="4"/>
      <c r="U695" s="74"/>
      <c r="V695" s="3"/>
      <c r="W695" s="3"/>
      <c r="X695" s="3"/>
      <c r="Y695" s="3"/>
      <c r="Z695" s="58"/>
      <c r="AA695" s="3"/>
      <c r="AB695" s="3"/>
      <c r="AC695" s="4"/>
      <c r="AD695" s="4"/>
      <c r="AE695" s="4"/>
      <c r="AF695" s="4"/>
      <c r="AG695" s="4"/>
      <c r="AH695" s="4"/>
      <c r="AI695" s="4"/>
    </row>
    <row r="696">
      <c r="A696" s="57"/>
      <c r="B696" s="4"/>
      <c r="C696" s="4"/>
      <c r="D696" s="4"/>
      <c r="E696" s="4"/>
      <c r="F696" s="4"/>
      <c r="G696" s="4"/>
      <c r="H696" s="52"/>
      <c r="I696" s="4"/>
      <c r="J696" s="52"/>
      <c r="K696" s="52"/>
      <c r="L696" s="52"/>
      <c r="M696" s="52"/>
      <c r="N696" s="52"/>
      <c r="O696" s="52"/>
      <c r="P696" s="52"/>
      <c r="Q696" s="52"/>
      <c r="R696" s="4"/>
      <c r="S696" s="4"/>
      <c r="T696" s="4"/>
      <c r="U696" s="74"/>
      <c r="V696" s="3"/>
      <c r="W696" s="3"/>
      <c r="X696" s="3"/>
      <c r="Y696" s="3"/>
      <c r="Z696" s="58"/>
      <c r="AA696" s="3"/>
      <c r="AB696" s="3"/>
      <c r="AC696" s="4"/>
      <c r="AD696" s="4"/>
      <c r="AE696" s="4"/>
      <c r="AF696" s="4"/>
      <c r="AG696" s="4"/>
      <c r="AH696" s="4"/>
      <c r="AI696" s="4"/>
    </row>
    <row r="697">
      <c r="A697" s="57"/>
      <c r="B697" s="4"/>
      <c r="C697" s="4"/>
      <c r="D697" s="4"/>
      <c r="E697" s="4"/>
      <c r="F697" s="4"/>
      <c r="G697" s="4"/>
      <c r="H697" s="52"/>
      <c r="I697" s="4"/>
      <c r="J697" s="52"/>
      <c r="K697" s="52"/>
      <c r="L697" s="52"/>
      <c r="M697" s="52"/>
      <c r="N697" s="52"/>
      <c r="O697" s="52"/>
      <c r="P697" s="52"/>
      <c r="Q697" s="52"/>
      <c r="R697" s="4"/>
      <c r="S697" s="4"/>
      <c r="T697" s="4"/>
      <c r="U697" s="74"/>
      <c r="V697" s="3"/>
      <c r="W697" s="3"/>
      <c r="X697" s="3"/>
      <c r="Y697" s="3"/>
      <c r="Z697" s="58"/>
      <c r="AA697" s="3"/>
      <c r="AB697" s="3"/>
      <c r="AC697" s="4"/>
      <c r="AD697" s="4"/>
      <c r="AE697" s="4"/>
      <c r="AF697" s="4"/>
      <c r="AG697" s="4"/>
      <c r="AH697" s="4"/>
      <c r="AI697" s="4"/>
    </row>
    <row r="698">
      <c r="A698" s="57"/>
      <c r="B698" s="4"/>
      <c r="C698" s="4"/>
      <c r="D698" s="4"/>
      <c r="E698" s="4"/>
      <c r="F698" s="4"/>
      <c r="G698" s="4"/>
      <c r="H698" s="52"/>
      <c r="I698" s="4"/>
      <c r="J698" s="52"/>
      <c r="K698" s="52"/>
      <c r="L698" s="52"/>
      <c r="M698" s="52"/>
      <c r="N698" s="52"/>
      <c r="O698" s="52"/>
      <c r="P698" s="52"/>
      <c r="Q698" s="52"/>
      <c r="R698" s="4"/>
      <c r="S698" s="4"/>
      <c r="T698" s="4"/>
      <c r="U698" s="74"/>
      <c r="V698" s="3"/>
      <c r="W698" s="3"/>
      <c r="X698" s="3"/>
      <c r="Y698" s="3"/>
      <c r="Z698" s="58"/>
      <c r="AA698" s="3"/>
      <c r="AB698" s="3"/>
      <c r="AC698" s="4"/>
      <c r="AD698" s="4"/>
      <c r="AE698" s="4"/>
      <c r="AF698" s="4"/>
      <c r="AG698" s="4"/>
      <c r="AH698" s="4"/>
      <c r="AI698" s="4"/>
    </row>
    <row r="699">
      <c r="A699" s="57"/>
      <c r="B699" s="4"/>
      <c r="C699" s="4"/>
      <c r="D699" s="4"/>
      <c r="E699" s="4"/>
      <c r="F699" s="4"/>
      <c r="G699" s="4"/>
      <c r="H699" s="52"/>
      <c r="I699" s="4"/>
      <c r="J699" s="52"/>
      <c r="K699" s="52"/>
      <c r="L699" s="52"/>
      <c r="M699" s="52"/>
      <c r="N699" s="52"/>
      <c r="O699" s="52"/>
      <c r="P699" s="52"/>
      <c r="Q699" s="52"/>
      <c r="R699" s="4"/>
      <c r="S699" s="4"/>
      <c r="T699" s="4"/>
      <c r="U699" s="74"/>
      <c r="V699" s="3"/>
      <c r="W699" s="3"/>
      <c r="X699" s="3"/>
      <c r="Y699" s="3"/>
      <c r="Z699" s="58"/>
      <c r="AA699" s="3"/>
      <c r="AB699" s="3"/>
      <c r="AC699" s="4"/>
      <c r="AD699" s="4"/>
      <c r="AE699" s="4"/>
      <c r="AF699" s="4"/>
      <c r="AG699" s="4"/>
      <c r="AH699" s="4"/>
      <c r="AI699" s="4"/>
    </row>
    <row r="700">
      <c r="A700" s="57"/>
      <c r="B700" s="4"/>
      <c r="C700" s="4"/>
      <c r="D700" s="4"/>
      <c r="E700" s="4"/>
      <c r="F700" s="4"/>
      <c r="G700" s="4"/>
      <c r="H700" s="52"/>
      <c r="I700" s="4"/>
      <c r="J700" s="52"/>
      <c r="K700" s="52"/>
      <c r="L700" s="52"/>
      <c r="M700" s="52"/>
      <c r="N700" s="52"/>
      <c r="O700" s="52"/>
      <c r="P700" s="52"/>
      <c r="Q700" s="52"/>
      <c r="R700" s="4"/>
      <c r="S700" s="4"/>
      <c r="T700" s="4"/>
      <c r="U700" s="74"/>
      <c r="V700" s="3"/>
      <c r="W700" s="3"/>
      <c r="X700" s="3"/>
      <c r="Y700" s="3"/>
      <c r="Z700" s="58"/>
      <c r="AA700" s="3"/>
      <c r="AB700" s="3"/>
      <c r="AC700" s="4"/>
      <c r="AD700" s="4"/>
      <c r="AE700" s="4"/>
      <c r="AF700" s="4"/>
      <c r="AG700" s="4"/>
      <c r="AH700" s="4"/>
      <c r="AI700" s="4"/>
    </row>
    <row r="701">
      <c r="A701" s="57"/>
      <c r="B701" s="4"/>
      <c r="C701" s="4"/>
      <c r="D701" s="4"/>
      <c r="E701" s="4"/>
      <c r="F701" s="4"/>
      <c r="G701" s="4"/>
      <c r="H701" s="52"/>
      <c r="I701" s="4"/>
      <c r="J701" s="52"/>
      <c r="K701" s="52"/>
      <c r="L701" s="52"/>
      <c r="M701" s="52"/>
      <c r="N701" s="52"/>
      <c r="O701" s="52"/>
      <c r="P701" s="52"/>
      <c r="Q701" s="52"/>
      <c r="R701" s="4"/>
      <c r="S701" s="4"/>
      <c r="T701" s="4"/>
      <c r="U701" s="74"/>
      <c r="V701" s="3"/>
      <c r="W701" s="3"/>
      <c r="X701" s="3"/>
      <c r="Y701" s="3"/>
      <c r="Z701" s="58"/>
      <c r="AA701" s="3"/>
      <c r="AB701" s="3"/>
      <c r="AC701" s="4"/>
      <c r="AD701" s="4"/>
      <c r="AE701" s="4"/>
      <c r="AF701" s="4"/>
      <c r="AG701" s="4"/>
      <c r="AH701" s="4"/>
      <c r="AI701" s="4"/>
    </row>
    <row r="702">
      <c r="A702" s="57"/>
      <c r="B702" s="4"/>
      <c r="C702" s="4"/>
      <c r="D702" s="4"/>
      <c r="E702" s="4"/>
      <c r="F702" s="4"/>
      <c r="G702" s="4"/>
      <c r="H702" s="52"/>
      <c r="I702" s="4"/>
      <c r="J702" s="52"/>
      <c r="K702" s="52"/>
      <c r="L702" s="52"/>
      <c r="M702" s="52"/>
      <c r="N702" s="52"/>
      <c r="O702" s="52"/>
      <c r="P702" s="52"/>
      <c r="Q702" s="52"/>
      <c r="R702" s="4"/>
      <c r="S702" s="4"/>
      <c r="T702" s="4"/>
      <c r="U702" s="74"/>
      <c r="V702" s="3"/>
      <c r="W702" s="3"/>
      <c r="X702" s="3"/>
      <c r="Y702" s="3"/>
      <c r="Z702" s="58"/>
      <c r="AA702" s="3"/>
      <c r="AB702" s="3"/>
      <c r="AC702" s="4"/>
      <c r="AD702" s="4"/>
      <c r="AE702" s="4"/>
      <c r="AF702" s="4"/>
      <c r="AG702" s="4"/>
      <c r="AH702" s="4"/>
      <c r="AI702" s="4"/>
    </row>
    <row r="703">
      <c r="A703" s="57"/>
      <c r="B703" s="4"/>
      <c r="C703" s="4"/>
      <c r="D703" s="4"/>
      <c r="E703" s="4"/>
      <c r="F703" s="4"/>
      <c r="G703" s="4"/>
      <c r="H703" s="52"/>
      <c r="I703" s="4"/>
      <c r="J703" s="52"/>
      <c r="K703" s="52"/>
      <c r="L703" s="52"/>
      <c r="M703" s="52"/>
      <c r="N703" s="52"/>
      <c r="O703" s="52"/>
      <c r="P703" s="52"/>
      <c r="Q703" s="52"/>
      <c r="R703" s="4"/>
      <c r="S703" s="4"/>
      <c r="T703" s="4"/>
      <c r="U703" s="74"/>
      <c r="V703" s="3"/>
      <c r="W703" s="3"/>
      <c r="X703" s="3"/>
      <c r="Y703" s="3"/>
      <c r="Z703" s="58"/>
      <c r="AA703" s="3"/>
      <c r="AB703" s="3"/>
      <c r="AC703" s="4"/>
      <c r="AD703" s="4"/>
      <c r="AE703" s="4"/>
      <c r="AF703" s="4"/>
      <c r="AG703" s="4"/>
      <c r="AH703" s="4"/>
      <c r="AI703" s="4"/>
    </row>
    <row r="704">
      <c r="A704" s="57"/>
      <c r="B704" s="4"/>
      <c r="C704" s="4"/>
      <c r="D704" s="4"/>
      <c r="E704" s="4"/>
      <c r="F704" s="4"/>
      <c r="G704" s="4"/>
      <c r="H704" s="52"/>
      <c r="I704" s="4"/>
      <c r="J704" s="52"/>
      <c r="K704" s="52"/>
      <c r="L704" s="52"/>
      <c r="M704" s="52"/>
      <c r="N704" s="52"/>
      <c r="O704" s="52"/>
      <c r="P704" s="52"/>
      <c r="Q704" s="52"/>
      <c r="R704" s="4"/>
      <c r="S704" s="4"/>
      <c r="T704" s="4"/>
      <c r="U704" s="74"/>
      <c r="V704" s="3"/>
      <c r="W704" s="3"/>
      <c r="X704" s="3"/>
      <c r="Y704" s="3"/>
      <c r="Z704" s="58"/>
      <c r="AA704" s="3"/>
      <c r="AB704" s="3"/>
      <c r="AC704" s="4"/>
      <c r="AD704" s="4"/>
      <c r="AE704" s="4"/>
      <c r="AF704" s="4"/>
      <c r="AG704" s="4"/>
      <c r="AH704" s="4"/>
      <c r="AI704" s="4"/>
    </row>
    <row r="705">
      <c r="A705" s="57"/>
      <c r="B705" s="4"/>
      <c r="C705" s="4"/>
      <c r="D705" s="4"/>
      <c r="E705" s="4"/>
      <c r="F705" s="4"/>
      <c r="G705" s="4"/>
      <c r="H705" s="52"/>
      <c r="I705" s="4"/>
      <c r="J705" s="52"/>
      <c r="K705" s="52"/>
      <c r="L705" s="52"/>
      <c r="M705" s="52"/>
      <c r="N705" s="52"/>
      <c r="O705" s="52"/>
      <c r="P705" s="52"/>
      <c r="Q705" s="52"/>
      <c r="R705" s="4"/>
      <c r="S705" s="4"/>
      <c r="T705" s="4"/>
      <c r="U705" s="74"/>
      <c r="V705" s="3"/>
      <c r="W705" s="3"/>
      <c r="X705" s="3"/>
      <c r="Y705" s="3"/>
      <c r="Z705" s="58"/>
      <c r="AA705" s="3"/>
      <c r="AB705" s="3"/>
      <c r="AC705" s="4"/>
      <c r="AD705" s="4"/>
      <c r="AE705" s="4"/>
      <c r="AF705" s="4"/>
      <c r="AG705" s="4"/>
      <c r="AH705" s="4"/>
      <c r="AI705" s="4"/>
    </row>
    <row r="706">
      <c r="A706" s="57"/>
      <c r="B706" s="4"/>
      <c r="C706" s="4"/>
      <c r="D706" s="4"/>
      <c r="E706" s="4"/>
      <c r="F706" s="4"/>
      <c r="G706" s="4"/>
      <c r="H706" s="52"/>
      <c r="I706" s="4"/>
      <c r="J706" s="52"/>
      <c r="K706" s="52"/>
      <c r="L706" s="52"/>
      <c r="M706" s="52"/>
      <c r="N706" s="52"/>
      <c r="O706" s="52"/>
      <c r="P706" s="52"/>
      <c r="Q706" s="52"/>
      <c r="R706" s="4"/>
      <c r="S706" s="4"/>
      <c r="T706" s="4"/>
      <c r="U706" s="74"/>
      <c r="V706" s="3"/>
      <c r="W706" s="3"/>
      <c r="X706" s="3"/>
      <c r="Y706" s="3"/>
      <c r="Z706" s="58"/>
      <c r="AA706" s="3"/>
      <c r="AB706" s="3"/>
      <c r="AC706" s="4"/>
      <c r="AD706" s="4"/>
      <c r="AE706" s="4"/>
      <c r="AF706" s="4"/>
      <c r="AG706" s="4"/>
      <c r="AH706" s="4"/>
      <c r="AI706" s="4"/>
    </row>
    <row r="707">
      <c r="A707" s="57"/>
      <c r="B707" s="4"/>
      <c r="C707" s="4"/>
      <c r="D707" s="4"/>
      <c r="E707" s="4"/>
      <c r="F707" s="4"/>
      <c r="G707" s="4"/>
      <c r="H707" s="52"/>
      <c r="I707" s="4"/>
      <c r="J707" s="52"/>
      <c r="K707" s="52"/>
      <c r="L707" s="52"/>
      <c r="M707" s="52"/>
      <c r="N707" s="52"/>
      <c r="O707" s="52"/>
      <c r="P707" s="52"/>
      <c r="Q707" s="52"/>
      <c r="R707" s="4"/>
      <c r="S707" s="4"/>
      <c r="T707" s="4"/>
      <c r="U707" s="74"/>
      <c r="V707" s="3"/>
      <c r="W707" s="3"/>
      <c r="X707" s="3"/>
      <c r="Y707" s="3"/>
      <c r="Z707" s="58"/>
      <c r="AA707" s="3"/>
      <c r="AB707" s="3"/>
      <c r="AC707" s="4"/>
      <c r="AD707" s="4"/>
      <c r="AE707" s="4"/>
      <c r="AF707" s="4"/>
      <c r="AG707" s="4"/>
      <c r="AH707" s="4"/>
      <c r="AI707" s="4"/>
    </row>
    <row r="708">
      <c r="A708" s="57"/>
      <c r="B708" s="4"/>
      <c r="C708" s="4"/>
      <c r="D708" s="4"/>
      <c r="E708" s="4"/>
      <c r="F708" s="4"/>
      <c r="G708" s="4"/>
      <c r="H708" s="52"/>
      <c r="I708" s="4"/>
      <c r="J708" s="52"/>
      <c r="K708" s="52"/>
      <c r="L708" s="52"/>
      <c r="M708" s="52"/>
      <c r="N708" s="52"/>
      <c r="O708" s="52"/>
      <c r="P708" s="52"/>
      <c r="Q708" s="52"/>
      <c r="R708" s="4"/>
      <c r="S708" s="4"/>
      <c r="T708" s="4"/>
      <c r="U708" s="74"/>
      <c r="V708" s="3"/>
      <c r="W708" s="3"/>
      <c r="X708" s="3"/>
      <c r="Y708" s="3"/>
      <c r="Z708" s="58"/>
      <c r="AA708" s="3"/>
      <c r="AB708" s="3"/>
      <c r="AC708" s="4"/>
      <c r="AD708" s="4"/>
      <c r="AE708" s="4"/>
      <c r="AF708" s="4"/>
      <c r="AG708" s="4"/>
      <c r="AH708" s="4"/>
      <c r="AI708" s="4"/>
    </row>
    <row r="709">
      <c r="A709" s="57"/>
      <c r="B709" s="4"/>
      <c r="C709" s="4"/>
      <c r="D709" s="4"/>
      <c r="E709" s="4"/>
      <c r="F709" s="4"/>
      <c r="G709" s="4"/>
      <c r="H709" s="52"/>
      <c r="I709" s="4"/>
      <c r="J709" s="52"/>
      <c r="K709" s="52"/>
      <c r="L709" s="52"/>
      <c r="M709" s="52"/>
      <c r="N709" s="52"/>
      <c r="O709" s="52"/>
      <c r="P709" s="52"/>
      <c r="Q709" s="52"/>
      <c r="R709" s="4"/>
      <c r="S709" s="4"/>
      <c r="T709" s="4"/>
      <c r="U709" s="74"/>
      <c r="V709" s="3"/>
      <c r="W709" s="3"/>
      <c r="X709" s="3"/>
      <c r="Y709" s="3"/>
      <c r="Z709" s="58"/>
      <c r="AA709" s="3"/>
      <c r="AB709" s="3"/>
      <c r="AC709" s="4"/>
      <c r="AD709" s="4"/>
      <c r="AE709" s="4"/>
      <c r="AF709" s="4"/>
      <c r="AG709" s="4"/>
      <c r="AH709" s="4"/>
      <c r="AI709" s="4"/>
    </row>
    <row r="710">
      <c r="A710" s="57"/>
      <c r="B710" s="4"/>
      <c r="C710" s="4"/>
      <c r="D710" s="4"/>
      <c r="E710" s="4"/>
      <c r="F710" s="4"/>
      <c r="G710" s="4"/>
      <c r="H710" s="52"/>
      <c r="I710" s="4"/>
      <c r="J710" s="52"/>
      <c r="K710" s="52"/>
      <c r="L710" s="52"/>
      <c r="M710" s="52"/>
      <c r="N710" s="52"/>
      <c r="O710" s="52"/>
      <c r="P710" s="52"/>
      <c r="Q710" s="52"/>
      <c r="R710" s="4"/>
      <c r="S710" s="4"/>
      <c r="T710" s="4"/>
      <c r="U710" s="74"/>
      <c r="V710" s="3"/>
      <c r="W710" s="3"/>
      <c r="X710" s="3"/>
      <c r="Y710" s="3"/>
      <c r="Z710" s="58"/>
      <c r="AA710" s="3"/>
      <c r="AB710" s="3"/>
      <c r="AC710" s="4"/>
      <c r="AD710" s="4"/>
      <c r="AE710" s="4"/>
      <c r="AF710" s="4"/>
      <c r="AG710" s="4"/>
      <c r="AH710" s="4"/>
      <c r="AI710" s="4"/>
    </row>
    <row r="711">
      <c r="A711" s="57"/>
      <c r="B711" s="4"/>
      <c r="C711" s="4"/>
      <c r="D711" s="4"/>
      <c r="E711" s="4"/>
      <c r="F711" s="4"/>
      <c r="G711" s="4"/>
      <c r="H711" s="52"/>
      <c r="I711" s="4"/>
      <c r="J711" s="52"/>
      <c r="K711" s="52"/>
      <c r="L711" s="52"/>
      <c r="M711" s="52"/>
      <c r="N711" s="52"/>
      <c r="O711" s="52"/>
      <c r="P711" s="52"/>
      <c r="Q711" s="52"/>
      <c r="R711" s="4"/>
      <c r="S711" s="4"/>
      <c r="T711" s="4"/>
      <c r="U711" s="74"/>
      <c r="V711" s="3"/>
      <c r="W711" s="3"/>
      <c r="X711" s="3"/>
      <c r="Y711" s="3"/>
      <c r="Z711" s="58"/>
      <c r="AA711" s="3"/>
      <c r="AB711" s="3"/>
      <c r="AC711" s="4"/>
      <c r="AD711" s="4"/>
      <c r="AE711" s="4"/>
      <c r="AF711" s="4"/>
      <c r="AG711" s="4"/>
      <c r="AH711" s="4"/>
      <c r="AI711" s="4"/>
    </row>
    <row r="712">
      <c r="A712" s="57"/>
      <c r="B712" s="4"/>
      <c r="C712" s="4"/>
      <c r="D712" s="4"/>
      <c r="E712" s="4"/>
      <c r="F712" s="4"/>
      <c r="G712" s="4"/>
      <c r="H712" s="52"/>
      <c r="I712" s="4"/>
      <c r="J712" s="52"/>
      <c r="K712" s="52"/>
      <c r="L712" s="52"/>
      <c r="M712" s="52"/>
      <c r="N712" s="52"/>
      <c r="O712" s="52"/>
      <c r="P712" s="52"/>
      <c r="Q712" s="52"/>
      <c r="R712" s="4"/>
      <c r="S712" s="4"/>
      <c r="T712" s="4"/>
      <c r="U712" s="74"/>
      <c r="V712" s="3"/>
      <c r="W712" s="3"/>
      <c r="X712" s="3"/>
      <c r="Y712" s="3"/>
      <c r="Z712" s="58"/>
      <c r="AA712" s="3"/>
      <c r="AB712" s="3"/>
      <c r="AC712" s="4"/>
      <c r="AD712" s="4"/>
      <c r="AE712" s="4"/>
      <c r="AF712" s="4"/>
      <c r="AG712" s="4"/>
      <c r="AH712" s="4"/>
      <c r="AI712" s="4"/>
    </row>
    <row r="713">
      <c r="A713" s="57"/>
      <c r="B713" s="4"/>
      <c r="C713" s="4"/>
      <c r="D713" s="4"/>
      <c r="E713" s="4"/>
      <c r="F713" s="4"/>
      <c r="G713" s="4"/>
      <c r="H713" s="52"/>
      <c r="I713" s="4"/>
      <c r="J713" s="52"/>
      <c r="K713" s="52"/>
      <c r="L713" s="52"/>
      <c r="M713" s="52"/>
      <c r="N713" s="52"/>
      <c r="O713" s="52"/>
      <c r="P713" s="52"/>
      <c r="Q713" s="52"/>
      <c r="R713" s="4"/>
      <c r="S713" s="4"/>
      <c r="T713" s="4"/>
      <c r="U713" s="74"/>
      <c r="V713" s="3"/>
      <c r="W713" s="3"/>
      <c r="X713" s="3"/>
      <c r="Y713" s="3"/>
      <c r="Z713" s="58"/>
      <c r="AA713" s="3"/>
      <c r="AB713" s="3"/>
      <c r="AC713" s="4"/>
      <c r="AD713" s="4"/>
      <c r="AE713" s="4"/>
      <c r="AF713" s="4"/>
      <c r="AG713" s="4"/>
      <c r="AH713" s="4"/>
      <c r="AI713" s="4"/>
    </row>
    <row r="714">
      <c r="A714" s="57"/>
      <c r="B714" s="4"/>
      <c r="C714" s="4"/>
      <c r="D714" s="4"/>
      <c r="E714" s="4"/>
      <c r="F714" s="4"/>
      <c r="G714" s="4"/>
      <c r="H714" s="52"/>
      <c r="I714" s="4"/>
      <c r="J714" s="52"/>
      <c r="K714" s="52"/>
      <c r="L714" s="52"/>
      <c r="M714" s="52"/>
      <c r="N714" s="52"/>
      <c r="O714" s="52"/>
      <c r="P714" s="52"/>
      <c r="Q714" s="52"/>
      <c r="R714" s="4"/>
      <c r="S714" s="4"/>
      <c r="T714" s="4"/>
      <c r="U714" s="74"/>
      <c r="V714" s="3"/>
      <c r="W714" s="3"/>
      <c r="X714" s="3"/>
      <c r="Y714" s="3"/>
      <c r="Z714" s="58"/>
      <c r="AA714" s="3"/>
      <c r="AB714" s="3"/>
      <c r="AC714" s="4"/>
      <c r="AD714" s="4"/>
      <c r="AE714" s="4"/>
      <c r="AF714" s="4"/>
      <c r="AG714" s="4"/>
      <c r="AH714" s="4"/>
      <c r="AI714" s="4"/>
    </row>
    <row r="715">
      <c r="A715" s="57"/>
      <c r="B715" s="4"/>
      <c r="C715" s="4"/>
      <c r="D715" s="4"/>
      <c r="E715" s="4"/>
      <c r="F715" s="4"/>
      <c r="G715" s="4"/>
      <c r="H715" s="52"/>
      <c r="I715" s="4"/>
      <c r="J715" s="52"/>
      <c r="K715" s="52"/>
      <c r="L715" s="52"/>
      <c r="M715" s="52"/>
      <c r="N715" s="52"/>
      <c r="O715" s="52"/>
      <c r="P715" s="52"/>
      <c r="Q715" s="52"/>
      <c r="R715" s="4"/>
      <c r="S715" s="4"/>
      <c r="T715" s="4"/>
      <c r="U715" s="74"/>
      <c r="V715" s="3"/>
      <c r="W715" s="3"/>
      <c r="X715" s="3"/>
      <c r="Y715" s="3"/>
      <c r="Z715" s="58"/>
      <c r="AA715" s="3"/>
      <c r="AB715" s="3"/>
      <c r="AC715" s="4"/>
      <c r="AD715" s="4"/>
      <c r="AE715" s="4"/>
      <c r="AF715" s="4"/>
      <c r="AG715" s="4"/>
      <c r="AH715" s="4"/>
      <c r="AI715" s="4"/>
    </row>
    <row r="716">
      <c r="A716" s="57"/>
      <c r="B716" s="4"/>
      <c r="C716" s="4"/>
      <c r="D716" s="4"/>
      <c r="E716" s="4"/>
      <c r="F716" s="4"/>
      <c r="G716" s="4"/>
      <c r="H716" s="52"/>
      <c r="I716" s="4"/>
      <c r="J716" s="52"/>
      <c r="K716" s="52"/>
      <c r="L716" s="52"/>
      <c r="M716" s="52"/>
      <c r="N716" s="52"/>
      <c r="O716" s="52"/>
      <c r="P716" s="52"/>
      <c r="Q716" s="52"/>
      <c r="R716" s="4"/>
      <c r="S716" s="4"/>
      <c r="T716" s="4"/>
      <c r="U716" s="74"/>
      <c r="V716" s="3"/>
      <c r="W716" s="3"/>
      <c r="X716" s="3"/>
      <c r="Y716" s="3"/>
      <c r="Z716" s="58"/>
      <c r="AA716" s="3"/>
      <c r="AB716" s="3"/>
      <c r="AC716" s="4"/>
      <c r="AD716" s="4"/>
      <c r="AE716" s="4"/>
      <c r="AF716" s="4"/>
      <c r="AG716" s="4"/>
      <c r="AH716" s="4"/>
      <c r="AI716" s="4"/>
    </row>
    <row r="717">
      <c r="A717" s="57"/>
      <c r="B717" s="4"/>
      <c r="C717" s="4"/>
      <c r="D717" s="4"/>
      <c r="E717" s="4"/>
      <c r="F717" s="4"/>
      <c r="G717" s="4"/>
      <c r="H717" s="52"/>
      <c r="I717" s="4"/>
      <c r="J717" s="52"/>
      <c r="K717" s="52"/>
      <c r="L717" s="52"/>
      <c r="M717" s="52"/>
      <c r="N717" s="52"/>
      <c r="O717" s="52"/>
      <c r="P717" s="52"/>
      <c r="Q717" s="52"/>
      <c r="R717" s="4"/>
      <c r="S717" s="4"/>
      <c r="T717" s="4"/>
      <c r="U717" s="74"/>
      <c r="V717" s="3"/>
      <c r="W717" s="3"/>
      <c r="X717" s="3"/>
      <c r="Y717" s="3"/>
      <c r="Z717" s="58"/>
      <c r="AA717" s="3"/>
      <c r="AB717" s="3"/>
      <c r="AC717" s="4"/>
      <c r="AD717" s="4"/>
      <c r="AE717" s="4"/>
      <c r="AF717" s="4"/>
      <c r="AG717" s="4"/>
      <c r="AH717" s="4"/>
      <c r="AI717" s="4"/>
    </row>
    <row r="718">
      <c r="A718" s="57"/>
      <c r="B718" s="4"/>
      <c r="C718" s="4"/>
      <c r="D718" s="4"/>
      <c r="E718" s="4"/>
      <c r="F718" s="4"/>
      <c r="G718" s="4"/>
      <c r="H718" s="52"/>
      <c r="I718" s="4"/>
      <c r="J718" s="52"/>
      <c r="K718" s="52"/>
      <c r="L718" s="52"/>
      <c r="M718" s="52"/>
      <c r="N718" s="52"/>
      <c r="O718" s="52"/>
      <c r="P718" s="52"/>
      <c r="Q718" s="52"/>
      <c r="R718" s="4"/>
      <c r="S718" s="4"/>
      <c r="T718" s="4"/>
      <c r="U718" s="74"/>
      <c r="V718" s="3"/>
      <c r="W718" s="3"/>
      <c r="X718" s="3"/>
      <c r="Y718" s="3"/>
      <c r="Z718" s="58"/>
      <c r="AA718" s="3"/>
      <c r="AB718" s="3"/>
      <c r="AC718" s="4"/>
      <c r="AD718" s="4"/>
      <c r="AE718" s="4"/>
      <c r="AF718" s="4"/>
      <c r="AG718" s="4"/>
      <c r="AH718" s="4"/>
      <c r="AI718" s="4"/>
    </row>
    <row r="719">
      <c r="A719" s="57"/>
      <c r="B719" s="4"/>
      <c r="C719" s="4"/>
      <c r="D719" s="4"/>
      <c r="E719" s="4"/>
      <c r="F719" s="4"/>
      <c r="G719" s="4"/>
      <c r="H719" s="52"/>
      <c r="I719" s="4"/>
      <c r="J719" s="52"/>
      <c r="K719" s="52"/>
      <c r="L719" s="52"/>
      <c r="M719" s="52"/>
      <c r="N719" s="52"/>
      <c r="O719" s="52"/>
      <c r="P719" s="52"/>
      <c r="Q719" s="52"/>
      <c r="R719" s="4"/>
      <c r="S719" s="4"/>
      <c r="T719" s="4"/>
      <c r="U719" s="74"/>
      <c r="V719" s="3"/>
      <c r="W719" s="3"/>
      <c r="X719" s="3"/>
      <c r="Y719" s="3"/>
      <c r="Z719" s="58"/>
      <c r="AA719" s="3"/>
      <c r="AB719" s="3"/>
      <c r="AC719" s="4"/>
      <c r="AD719" s="4"/>
      <c r="AE719" s="4"/>
      <c r="AF719" s="4"/>
      <c r="AG719" s="4"/>
      <c r="AH719" s="4"/>
      <c r="AI719" s="4"/>
    </row>
    <row r="720">
      <c r="A720" s="57"/>
      <c r="B720" s="4"/>
      <c r="C720" s="4"/>
      <c r="D720" s="4"/>
      <c r="E720" s="4"/>
      <c r="F720" s="4"/>
      <c r="G720" s="4"/>
      <c r="H720" s="52"/>
      <c r="I720" s="4"/>
      <c r="J720" s="52"/>
      <c r="K720" s="52"/>
      <c r="L720" s="52"/>
      <c r="M720" s="52"/>
      <c r="N720" s="52"/>
      <c r="O720" s="52"/>
      <c r="P720" s="52"/>
      <c r="Q720" s="52"/>
      <c r="R720" s="4"/>
      <c r="S720" s="4"/>
      <c r="T720" s="4"/>
      <c r="U720" s="74"/>
      <c r="V720" s="3"/>
      <c r="W720" s="3"/>
      <c r="X720" s="3"/>
      <c r="Y720" s="3"/>
      <c r="Z720" s="58"/>
      <c r="AA720" s="3"/>
      <c r="AB720" s="3"/>
      <c r="AC720" s="4"/>
      <c r="AD720" s="4"/>
      <c r="AE720" s="4"/>
      <c r="AF720" s="4"/>
      <c r="AG720" s="4"/>
      <c r="AH720" s="4"/>
      <c r="AI720" s="4"/>
    </row>
    <row r="721">
      <c r="A721" s="57"/>
      <c r="B721" s="4"/>
      <c r="C721" s="4"/>
      <c r="D721" s="4"/>
      <c r="E721" s="4"/>
      <c r="F721" s="4"/>
      <c r="G721" s="4"/>
      <c r="H721" s="52"/>
      <c r="I721" s="4"/>
      <c r="J721" s="52"/>
      <c r="K721" s="52"/>
      <c r="L721" s="52"/>
      <c r="M721" s="52"/>
      <c r="N721" s="52"/>
      <c r="O721" s="52"/>
      <c r="P721" s="52"/>
      <c r="Q721" s="52"/>
      <c r="R721" s="4"/>
      <c r="S721" s="4"/>
      <c r="T721" s="4"/>
      <c r="U721" s="74"/>
      <c r="V721" s="3"/>
      <c r="W721" s="3"/>
      <c r="X721" s="3"/>
      <c r="Y721" s="3"/>
      <c r="Z721" s="58"/>
      <c r="AA721" s="3"/>
      <c r="AB721" s="3"/>
      <c r="AC721" s="4"/>
      <c r="AD721" s="4"/>
      <c r="AE721" s="4"/>
      <c r="AF721" s="4"/>
      <c r="AG721" s="4"/>
      <c r="AH721" s="4"/>
      <c r="AI721" s="4"/>
    </row>
    <row r="722">
      <c r="A722" s="57"/>
      <c r="B722" s="4"/>
      <c r="C722" s="4"/>
      <c r="D722" s="4"/>
      <c r="E722" s="4"/>
      <c r="F722" s="4"/>
      <c r="G722" s="4"/>
      <c r="H722" s="52"/>
      <c r="I722" s="4"/>
      <c r="J722" s="52"/>
      <c r="K722" s="52"/>
      <c r="L722" s="52"/>
      <c r="M722" s="52"/>
      <c r="N722" s="52"/>
      <c r="O722" s="52"/>
      <c r="P722" s="52"/>
      <c r="Q722" s="52"/>
      <c r="R722" s="4"/>
      <c r="S722" s="4"/>
      <c r="T722" s="4"/>
      <c r="U722" s="74"/>
      <c r="V722" s="3"/>
      <c r="W722" s="3"/>
      <c r="X722" s="3"/>
      <c r="Y722" s="3"/>
      <c r="Z722" s="58"/>
      <c r="AA722" s="3"/>
      <c r="AB722" s="3"/>
      <c r="AC722" s="4"/>
      <c r="AD722" s="4"/>
      <c r="AE722" s="4"/>
      <c r="AF722" s="4"/>
      <c r="AG722" s="4"/>
      <c r="AH722" s="4"/>
      <c r="AI722" s="4"/>
    </row>
    <row r="723">
      <c r="A723" s="57"/>
      <c r="B723" s="4"/>
      <c r="C723" s="4"/>
      <c r="D723" s="4"/>
      <c r="E723" s="4"/>
      <c r="F723" s="4"/>
      <c r="G723" s="4"/>
      <c r="H723" s="52"/>
      <c r="I723" s="4"/>
      <c r="J723" s="52"/>
      <c r="K723" s="52"/>
      <c r="L723" s="52"/>
      <c r="M723" s="52"/>
      <c r="N723" s="52"/>
      <c r="O723" s="52"/>
      <c r="P723" s="52"/>
      <c r="Q723" s="52"/>
      <c r="R723" s="4"/>
      <c r="S723" s="4"/>
      <c r="T723" s="4"/>
      <c r="U723" s="74"/>
      <c r="V723" s="3"/>
      <c r="W723" s="3"/>
      <c r="X723" s="3"/>
      <c r="Y723" s="3"/>
      <c r="Z723" s="58"/>
      <c r="AA723" s="3"/>
      <c r="AB723" s="3"/>
      <c r="AC723" s="4"/>
      <c r="AD723" s="4"/>
      <c r="AE723" s="4"/>
      <c r="AF723" s="4"/>
      <c r="AG723" s="4"/>
      <c r="AH723" s="4"/>
      <c r="AI723" s="4"/>
    </row>
    <row r="724">
      <c r="A724" s="57"/>
      <c r="B724" s="4"/>
      <c r="C724" s="4"/>
      <c r="D724" s="4"/>
      <c r="E724" s="4"/>
      <c r="F724" s="4"/>
      <c r="G724" s="4"/>
      <c r="H724" s="52"/>
      <c r="I724" s="4"/>
      <c r="J724" s="52"/>
      <c r="K724" s="52"/>
      <c r="L724" s="52"/>
      <c r="M724" s="52"/>
      <c r="N724" s="52"/>
      <c r="O724" s="52"/>
      <c r="P724" s="52"/>
      <c r="Q724" s="52"/>
      <c r="R724" s="4"/>
      <c r="S724" s="4"/>
      <c r="T724" s="4"/>
      <c r="U724" s="74"/>
      <c r="V724" s="3"/>
      <c r="W724" s="3"/>
      <c r="X724" s="3"/>
      <c r="Y724" s="3"/>
      <c r="Z724" s="58"/>
      <c r="AA724" s="3"/>
      <c r="AB724" s="3"/>
      <c r="AC724" s="4"/>
      <c r="AD724" s="4"/>
      <c r="AE724" s="4"/>
      <c r="AF724" s="4"/>
      <c r="AG724" s="4"/>
      <c r="AH724" s="4"/>
      <c r="AI724" s="4"/>
    </row>
    <row r="725">
      <c r="A725" s="57"/>
      <c r="B725" s="4"/>
      <c r="C725" s="4"/>
      <c r="D725" s="4"/>
      <c r="E725" s="4"/>
      <c r="F725" s="4"/>
      <c r="G725" s="4"/>
      <c r="H725" s="52"/>
      <c r="I725" s="4"/>
      <c r="J725" s="52"/>
      <c r="K725" s="52"/>
      <c r="L725" s="52"/>
      <c r="M725" s="52"/>
      <c r="N725" s="52"/>
      <c r="O725" s="52"/>
      <c r="P725" s="52"/>
      <c r="Q725" s="52"/>
      <c r="R725" s="4"/>
      <c r="S725" s="4"/>
      <c r="T725" s="4"/>
      <c r="U725" s="74"/>
      <c r="V725" s="3"/>
      <c r="W725" s="3"/>
      <c r="X725" s="3"/>
      <c r="Y725" s="3"/>
      <c r="Z725" s="58"/>
      <c r="AA725" s="3"/>
      <c r="AB725" s="3"/>
      <c r="AC725" s="4"/>
      <c r="AD725" s="4"/>
      <c r="AE725" s="4"/>
      <c r="AF725" s="4"/>
      <c r="AG725" s="4"/>
      <c r="AH725" s="4"/>
      <c r="AI725" s="4"/>
    </row>
    <row r="726">
      <c r="A726" s="57"/>
      <c r="B726" s="4"/>
      <c r="C726" s="4"/>
      <c r="D726" s="4"/>
      <c r="E726" s="4"/>
      <c r="F726" s="4"/>
      <c r="G726" s="4"/>
      <c r="H726" s="52"/>
      <c r="I726" s="4"/>
      <c r="J726" s="52"/>
      <c r="K726" s="52"/>
      <c r="L726" s="52"/>
      <c r="M726" s="52"/>
      <c r="N726" s="52"/>
      <c r="O726" s="52"/>
      <c r="P726" s="52"/>
      <c r="Q726" s="52"/>
      <c r="R726" s="4"/>
      <c r="S726" s="4"/>
      <c r="T726" s="4"/>
      <c r="U726" s="74"/>
      <c r="V726" s="3"/>
      <c r="W726" s="3"/>
      <c r="X726" s="3"/>
      <c r="Y726" s="3"/>
      <c r="Z726" s="58"/>
      <c r="AA726" s="3"/>
      <c r="AB726" s="3"/>
      <c r="AC726" s="4"/>
      <c r="AD726" s="4"/>
      <c r="AE726" s="4"/>
      <c r="AF726" s="4"/>
      <c r="AG726" s="4"/>
      <c r="AH726" s="4"/>
      <c r="AI726" s="4"/>
    </row>
    <row r="727">
      <c r="A727" s="57"/>
      <c r="B727" s="4"/>
      <c r="C727" s="4"/>
      <c r="D727" s="4"/>
      <c r="E727" s="4"/>
      <c r="F727" s="4"/>
      <c r="G727" s="4"/>
      <c r="H727" s="52"/>
      <c r="I727" s="4"/>
      <c r="J727" s="52"/>
      <c r="K727" s="52"/>
      <c r="L727" s="52"/>
      <c r="M727" s="52"/>
      <c r="N727" s="52"/>
      <c r="O727" s="52"/>
      <c r="P727" s="52"/>
      <c r="Q727" s="52"/>
      <c r="R727" s="4"/>
      <c r="S727" s="4"/>
      <c r="T727" s="4"/>
      <c r="U727" s="74"/>
      <c r="V727" s="3"/>
      <c r="W727" s="3"/>
      <c r="X727" s="3"/>
      <c r="Y727" s="3"/>
      <c r="Z727" s="58"/>
      <c r="AA727" s="3"/>
      <c r="AB727" s="3"/>
      <c r="AC727" s="4"/>
      <c r="AD727" s="4"/>
      <c r="AE727" s="4"/>
      <c r="AF727" s="4"/>
      <c r="AG727" s="4"/>
      <c r="AH727" s="4"/>
      <c r="AI727" s="4"/>
    </row>
    <row r="728">
      <c r="A728" s="57"/>
      <c r="B728" s="4"/>
      <c r="C728" s="4"/>
      <c r="D728" s="4"/>
      <c r="E728" s="4"/>
      <c r="F728" s="4"/>
      <c r="G728" s="4"/>
      <c r="H728" s="52"/>
      <c r="I728" s="4"/>
      <c r="J728" s="52"/>
      <c r="K728" s="52"/>
      <c r="L728" s="52"/>
      <c r="M728" s="52"/>
      <c r="N728" s="52"/>
      <c r="O728" s="52"/>
      <c r="P728" s="52"/>
      <c r="Q728" s="52"/>
      <c r="R728" s="4"/>
      <c r="S728" s="4"/>
      <c r="T728" s="4"/>
      <c r="U728" s="74"/>
      <c r="V728" s="3"/>
      <c r="W728" s="3"/>
      <c r="X728" s="3"/>
      <c r="Y728" s="3"/>
      <c r="Z728" s="58"/>
      <c r="AA728" s="3"/>
      <c r="AB728" s="3"/>
      <c r="AC728" s="4"/>
      <c r="AD728" s="4"/>
      <c r="AE728" s="4"/>
      <c r="AF728" s="4"/>
      <c r="AG728" s="4"/>
      <c r="AH728" s="4"/>
      <c r="AI728" s="4"/>
    </row>
    <row r="729">
      <c r="A729" s="57"/>
      <c r="B729" s="4"/>
      <c r="C729" s="4"/>
      <c r="D729" s="4"/>
      <c r="E729" s="4"/>
      <c r="F729" s="4"/>
      <c r="G729" s="4"/>
      <c r="H729" s="52"/>
      <c r="I729" s="4"/>
      <c r="J729" s="52"/>
      <c r="K729" s="52"/>
      <c r="L729" s="52"/>
      <c r="M729" s="52"/>
      <c r="N729" s="52"/>
      <c r="O729" s="52"/>
      <c r="P729" s="52"/>
      <c r="Q729" s="52"/>
      <c r="R729" s="4"/>
      <c r="S729" s="4"/>
      <c r="T729" s="4"/>
      <c r="U729" s="74"/>
      <c r="V729" s="3"/>
      <c r="W729" s="3"/>
      <c r="X729" s="3"/>
      <c r="Y729" s="3"/>
      <c r="Z729" s="58"/>
      <c r="AA729" s="3"/>
      <c r="AB729" s="3"/>
      <c r="AC729" s="4"/>
      <c r="AD729" s="4"/>
      <c r="AE729" s="4"/>
      <c r="AF729" s="4"/>
      <c r="AG729" s="4"/>
      <c r="AH729" s="4"/>
      <c r="AI729" s="4"/>
    </row>
    <row r="730">
      <c r="A730" s="57"/>
      <c r="B730" s="4"/>
      <c r="C730" s="4"/>
      <c r="D730" s="4"/>
      <c r="E730" s="4"/>
      <c r="F730" s="4"/>
      <c r="G730" s="4"/>
      <c r="H730" s="52"/>
      <c r="I730" s="4"/>
      <c r="J730" s="52"/>
      <c r="K730" s="52"/>
      <c r="L730" s="52"/>
      <c r="M730" s="52"/>
      <c r="N730" s="52"/>
      <c r="O730" s="52"/>
      <c r="P730" s="52"/>
      <c r="Q730" s="52"/>
      <c r="R730" s="4"/>
      <c r="S730" s="4"/>
      <c r="T730" s="4"/>
      <c r="U730" s="74"/>
      <c r="V730" s="3"/>
      <c r="W730" s="3"/>
      <c r="X730" s="3"/>
      <c r="Y730" s="3"/>
      <c r="Z730" s="58"/>
      <c r="AA730" s="3"/>
      <c r="AB730" s="3"/>
      <c r="AC730" s="4"/>
      <c r="AD730" s="4"/>
      <c r="AE730" s="4"/>
      <c r="AF730" s="4"/>
      <c r="AG730" s="4"/>
      <c r="AH730" s="4"/>
      <c r="AI730" s="4"/>
    </row>
    <row r="731">
      <c r="A731" s="57"/>
      <c r="B731" s="4"/>
      <c r="C731" s="4"/>
      <c r="D731" s="4"/>
      <c r="E731" s="4"/>
      <c r="F731" s="4"/>
      <c r="G731" s="4"/>
      <c r="H731" s="52"/>
      <c r="I731" s="4"/>
      <c r="J731" s="52"/>
      <c r="K731" s="52"/>
      <c r="L731" s="52"/>
      <c r="M731" s="52"/>
      <c r="N731" s="52"/>
      <c r="O731" s="52"/>
      <c r="P731" s="52"/>
      <c r="Q731" s="52"/>
      <c r="R731" s="4"/>
      <c r="S731" s="4"/>
      <c r="T731" s="4"/>
      <c r="U731" s="74"/>
      <c r="V731" s="3"/>
      <c r="W731" s="3"/>
      <c r="X731" s="3"/>
      <c r="Y731" s="3"/>
      <c r="Z731" s="58"/>
      <c r="AA731" s="3"/>
      <c r="AB731" s="3"/>
      <c r="AC731" s="4"/>
      <c r="AD731" s="4"/>
      <c r="AE731" s="4"/>
      <c r="AF731" s="4"/>
      <c r="AG731" s="4"/>
      <c r="AH731" s="4"/>
      <c r="AI731" s="4"/>
    </row>
    <row r="732">
      <c r="A732" s="57"/>
      <c r="B732" s="4"/>
      <c r="C732" s="4"/>
      <c r="D732" s="4"/>
      <c r="E732" s="4"/>
      <c r="F732" s="4"/>
      <c r="G732" s="4"/>
      <c r="H732" s="52"/>
      <c r="I732" s="4"/>
      <c r="J732" s="52"/>
      <c r="K732" s="52"/>
      <c r="L732" s="52"/>
      <c r="M732" s="52"/>
      <c r="N732" s="52"/>
      <c r="O732" s="52"/>
      <c r="P732" s="52"/>
      <c r="Q732" s="52"/>
      <c r="R732" s="4"/>
      <c r="S732" s="4"/>
      <c r="T732" s="4"/>
      <c r="U732" s="74"/>
      <c r="V732" s="3"/>
      <c r="W732" s="3"/>
      <c r="X732" s="3"/>
      <c r="Y732" s="3"/>
      <c r="Z732" s="58"/>
      <c r="AA732" s="3"/>
      <c r="AB732" s="3"/>
      <c r="AC732" s="4"/>
      <c r="AD732" s="4"/>
      <c r="AE732" s="4"/>
      <c r="AF732" s="4"/>
      <c r="AG732" s="4"/>
      <c r="AH732" s="4"/>
      <c r="AI732" s="4"/>
    </row>
    <row r="733">
      <c r="A733" s="57"/>
      <c r="B733" s="4"/>
      <c r="C733" s="4"/>
      <c r="D733" s="4"/>
      <c r="E733" s="4"/>
      <c r="F733" s="4"/>
      <c r="G733" s="4"/>
      <c r="H733" s="52"/>
      <c r="I733" s="4"/>
      <c r="J733" s="52"/>
      <c r="K733" s="52"/>
      <c r="L733" s="52"/>
      <c r="M733" s="52"/>
      <c r="N733" s="52"/>
      <c r="O733" s="52"/>
      <c r="P733" s="52"/>
      <c r="Q733" s="52"/>
      <c r="R733" s="4"/>
      <c r="S733" s="4"/>
      <c r="T733" s="4"/>
      <c r="U733" s="74"/>
      <c r="V733" s="3"/>
      <c r="W733" s="3"/>
      <c r="X733" s="3"/>
      <c r="Y733" s="3"/>
      <c r="Z733" s="58"/>
      <c r="AA733" s="3"/>
      <c r="AB733" s="3"/>
      <c r="AC733" s="4"/>
      <c r="AD733" s="4"/>
      <c r="AE733" s="4"/>
      <c r="AF733" s="4"/>
      <c r="AG733" s="4"/>
      <c r="AH733" s="4"/>
      <c r="AI733" s="4"/>
    </row>
    <row r="734">
      <c r="A734" s="57"/>
      <c r="B734" s="4"/>
      <c r="C734" s="4"/>
      <c r="D734" s="4"/>
      <c r="E734" s="4"/>
      <c r="F734" s="4"/>
      <c r="G734" s="4"/>
      <c r="H734" s="52"/>
      <c r="I734" s="4"/>
      <c r="J734" s="52"/>
      <c r="K734" s="52"/>
      <c r="L734" s="52"/>
      <c r="M734" s="52"/>
      <c r="N734" s="52"/>
      <c r="O734" s="52"/>
      <c r="P734" s="52"/>
      <c r="Q734" s="52"/>
      <c r="R734" s="4"/>
      <c r="S734" s="4"/>
      <c r="T734" s="4"/>
      <c r="U734" s="74"/>
      <c r="V734" s="3"/>
      <c r="W734" s="3"/>
      <c r="X734" s="3"/>
      <c r="Y734" s="3"/>
      <c r="Z734" s="58"/>
      <c r="AA734" s="3"/>
      <c r="AB734" s="3"/>
      <c r="AC734" s="4"/>
      <c r="AD734" s="4"/>
      <c r="AE734" s="4"/>
      <c r="AF734" s="4"/>
      <c r="AG734" s="4"/>
      <c r="AH734" s="4"/>
      <c r="AI734" s="4"/>
    </row>
    <row r="735">
      <c r="A735" s="57"/>
      <c r="B735" s="4"/>
      <c r="C735" s="4"/>
      <c r="D735" s="4"/>
      <c r="E735" s="4"/>
      <c r="F735" s="4"/>
      <c r="G735" s="4"/>
      <c r="H735" s="52"/>
      <c r="I735" s="4"/>
      <c r="J735" s="52"/>
      <c r="K735" s="52"/>
      <c r="L735" s="52"/>
      <c r="M735" s="52"/>
      <c r="N735" s="52"/>
      <c r="O735" s="52"/>
      <c r="P735" s="52"/>
      <c r="Q735" s="52"/>
      <c r="R735" s="4"/>
      <c r="S735" s="4"/>
      <c r="T735" s="4"/>
      <c r="U735" s="74"/>
      <c r="V735" s="3"/>
      <c r="W735" s="3"/>
      <c r="X735" s="3"/>
      <c r="Y735" s="3"/>
      <c r="Z735" s="58"/>
      <c r="AA735" s="3"/>
      <c r="AB735" s="3"/>
      <c r="AC735" s="4"/>
      <c r="AD735" s="4"/>
      <c r="AE735" s="4"/>
      <c r="AF735" s="4"/>
      <c r="AG735" s="4"/>
      <c r="AH735" s="4"/>
      <c r="AI735" s="4"/>
    </row>
    <row r="736">
      <c r="A736" s="57"/>
      <c r="B736" s="4"/>
      <c r="C736" s="4"/>
      <c r="D736" s="4"/>
      <c r="E736" s="4"/>
      <c r="F736" s="4"/>
      <c r="G736" s="4"/>
      <c r="H736" s="52"/>
      <c r="I736" s="4"/>
      <c r="J736" s="52"/>
      <c r="K736" s="52"/>
      <c r="L736" s="52"/>
      <c r="M736" s="52"/>
      <c r="N736" s="52"/>
      <c r="O736" s="52"/>
      <c r="P736" s="52"/>
      <c r="Q736" s="52"/>
      <c r="R736" s="4"/>
      <c r="S736" s="4"/>
      <c r="T736" s="4"/>
      <c r="U736" s="74"/>
      <c r="V736" s="3"/>
      <c r="W736" s="3"/>
      <c r="X736" s="3"/>
      <c r="Y736" s="3"/>
      <c r="Z736" s="58"/>
      <c r="AA736" s="3"/>
      <c r="AB736" s="3"/>
      <c r="AC736" s="4"/>
      <c r="AD736" s="4"/>
      <c r="AE736" s="4"/>
      <c r="AF736" s="4"/>
      <c r="AG736" s="4"/>
      <c r="AH736" s="4"/>
      <c r="AI736" s="4"/>
    </row>
    <row r="737">
      <c r="A737" s="57"/>
      <c r="B737" s="4"/>
      <c r="C737" s="4"/>
      <c r="D737" s="4"/>
      <c r="E737" s="4"/>
      <c r="F737" s="4"/>
      <c r="G737" s="4"/>
      <c r="H737" s="52"/>
      <c r="I737" s="4"/>
      <c r="J737" s="52"/>
      <c r="K737" s="52"/>
      <c r="L737" s="52"/>
      <c r="M737" s="52"/>
      <c r="N737" s="52"/>
      <c r="O737" s="52"/>
      <c r="P737" s="52"/>
      <c r="Q737" s="52"/>
      <c r="R737" s="4"/>
      <c r="S737" s="4"/>
      <c r="T737" s="4"/>
      <c r="U737" s="74"/>
      <c r="V737" s="3"/>
      <c r="W737" s="3"/>
      <c r="X737" s="3"/>
      <c r="Y737" s="3"/>
      <c r="Z737" s="58"/>
      <c r="AA737" s="3"/>
      <c r="AB737" s="3"/>
      <c r="AC737" s="4"/>
      <c r="AD737" s="4"/>
      <c r="AE737" s="4"/>
      <c r="AF737" s="4"/>
      <c r="AG737" s="4"/>
      <c r="AH737" s="4"/>
      <c r="AI737" s="4"/>
    </row>
    <row r="738">
      <c r="A738" s="57"/>
      <c r="B738" s="4"/>
      <c r="C738" s="4"/>
      <c r="D738" s="4"/>
      <c r="E738" s="4"/>
      <c r="F738" s="4"/>
      <c r="G738" s="4"/>
      <c r="H738" s="52"/>
      <c r="I738" s="4"/>
      <c r="J738" s="52"/>
      <c r="K738" s="52"/>
      <c r="L738" s="52"/>
      <c r="M738" s="52"/>
      <c r="N738" s="52"/>
      <c r="O738" s="52"/>
      <c r="P738" s="52"/>
      <c r="Q738" s="52"/>
      <c r="R738" s="4"/>
      <c r="S738" s="4"/>
      <c r="T738" s="4"/>
      <c r="U738" s="74"/>
      <c r="V738" s="3"/>
      <c r="W738" s="3"/>
      <c r="X738" s="3"/>
      <c r="Y738" s="3"/>
      <c r="Z738" s="58"/>
      <c r="AA738" s="3"/>
      <c r="AB738" s="3"/>
      <c r="AC738" s="4"/>
      <c r="AD738" s="4"/>
      <c r="AE738" s="4"/>
      <c r="AF738" s="4"/>
      <c r="AG738" s="4"/>
      <c r="AH738" s="4"/>
      <c r="AI738" s="4"/>
    </row>
    <row r="739">
      <c r="A739" s="57"/>
      <c r="B739" s="4"/>
      <c r="C739" s="4"/>
      <c r="D739" s="4"/>
      <c r="E739" s="4"/>
      <c r="F739" s="4"/>
      <c r="G739" s="4"/>
      <c r="H739" s="52"/>
      <c r="I739" s="4"/>
      <c r="J739" s="52"/>
      <c r="K739" s="52"/>
      <c r="L739" s="52"/>
      <c r="M739" s="52"/>
      <c r="N739" s="52"/>
      <c r="O739" s="52"/>
      <c r="P739" s="52"/>
      <c r="Q739" s="52"/>
      <c r="R739" s="4"/>
      <c r="S739" s="4"/>
      <c r="T739" s="4"/>
      <c r="U739" s="74"/>
      <c r="V739" s="3"/>
      <c r="W739" s="3"/>
      <c r="X739" s="3"/>
      <c r="Y739" s="3"/>
      <c r="Z739" s="58"/>
      <c r="AA739" s="3"/>
      <c r="AB739" s="3"/>
      <c r="AC739" s="4"/>
      <c r="AD739" s="4"/>
      <c r="AE739" s="4"/>
      <c r="AF739" s="4"/>
      <c r="AG739" s="4"/>
      <c r="AH739" s="4"/>
      <c r="AI739" s="4"/>
    </row>
    <row r="740">
      <c r="A740" s="57"/>
      <c r="B740" s="4"/>
      <c r="C740" s="4"/>
      <c r="D740" s="4"/>
      <c r="E740" s="4"/>
      <c r="F740" s="4"/>
      <c r="G740" s="4"/>
      <c r="H740" s="52"/>
      <c r="I740" s="4"/>
      <c r="J740" s="52"/>
      <c r="K740" s="52"/>
      <c r="L740" s="52"/>
      <c r="M740" s="52"/>
      <c r="N740" s="52"/>
      <c r="O740" s="52"/>
      <c r="P740" s="52"/>
      <c r="Q740" s="52"/>
      <c r="R740" s="4"/>
      <c r="S740" s="4"/>
      <c r="T740" s="4"/>
      <c r="U740" s="74"/>
      <c r="V740" s="3"/>
      <c r="W740" s="3"/>
      <c r="X740" s="3"/>
      <c r="Y740" s="3"/>
      <c r="Z740" s="58"/>
      <c r="AA740" s="3"/>
      <c r="AB740" s="3"/>
      <c r="AC740" s="4"/>
      <c r="AD740" s="4"/>
      <c r="AE740" s="4"/>
      <c r="AF740" s="4"/>
      <c r="AG740" s="4"/>
      <c r="AH740" s="4"/>
      <c r="AI740" s="4"/>
    </row>
    <row r="741">
      <c r="A741" s="57"/>
      <c r="B741" s="4"/>
      <c r="C741" s="4"/>
      <c r="D741" s="4"/>
      <c r="E741" s="4"/>
      <c r="F741" s="4"/>
      <c r="G741" s="4"/>
      <c r="H741" s="52"/>
      <c r="I741" s="4"/>
      <c r="J741" s="52"/>
      <c r="K741" s="52"/>
      <c r="L741" s="52"/>
      <c r="M741" s="52"/>
      <c r="N741" s="52"/>
      <c r="O741" s="52"/>
      <c r="P741" s="52"/>
      <c r="Q741" s="52"/>
      <c r="R741" s="4"/>
      <c r="S741" s="4"/>
      <c r="T741" s="4"/>
      <c r="U741" s="74"/>
      <c r="V741" s="3"/>
      <c r="W741" s="3"/>
      <c r="X741" s="3"/>
      <c r="Y741" s="3"/>
      <c r="Z741" s="58"/>
      <c r="AA741" s="3"/>
      <c r="AB741" s="3"/>
      <c r="AC741" s="4"/>
      <c r="AD741" s="4"/>
      <c r="AE741" s="4"/>
      <c r="AF741" s="4"/>
      <c r="AG741" s="4"/>
      <c r="AH741" s="4"/>
      <c r="AI741" s="4"/>
    </row>
    <row r="742">
      <c r="A742" s="57"/>
      <c r="B742" s="4"/>
      <c r="C742" s="4"/>
      <c r="D742" s="4"/>
      <c r="E742" s="4"/>
      <c r="F742" s="4"/>
      <c r="G742" s="4"/>
      <c r="H742" s="52"/>
      <c r="I742" s="4"/>
      <c r="J742" s="52"/>
      <c r="K742" s="52"/>
      <c r="L742" s="52"/>
      <c r="M742" s="52"/>
      <c r="N742" s="52"/>
      <c r="O742" s="52"/>
      <c r="P742" s="52"/>
      <c r="Q742" s="52"/>
      <c r="R742" s="4"/>
      <c r="S742" s="4"/>
      <c r="T742" s="4"/>
      <c r="U742" s="74"/>
      <c r="V742" s="3"/>
      <c r="W742" s="3"/>
      <c r="X742" s="3"/>
      <c r="Y742" s="3"/>
      <c r="Z742" s="58"/>
      <c r="AA742" s="3"/>
      <c r="AB742" s="3"/>
      <c r="AC742" s="4"/>
      <c r="AD742" s="4"/>
      <c r="AE742" s="4"/>
      <c r="AF742" s="4"/>
      <c r="AG742" s="4"/>
      <c r="AH742" s="4"/>
      <c r="AI742" s="4"/>
    </row>
    <row r="743">
      <c r="A743" s="57"/>
      <c r="B743" s="4"/>
      <c r="C743" s="4"/>
      <c r="D743" s="4"/>
      <c r="E743" s="4"/>
      <c r="F743" s="4"/>
      <c r="G743" s="4"/>
      <c r="H743" s="52"/>
      <c r="I743" s="4"/>
      <c r="J743" s="52"/>
      <c r="K743" s="52"/>
      <c r="L743" s="52"/>
      <c r="M743" s="52"/>
      <c r="N743" s="52"/>
      <c r="O743" s="52"/>
      <c r="P743" s="52"/>
      <c r="Q743" s="52"/>
      <c r="R743" s="4"/>
      <c r="S743" s="4"/>
      <c r="T743" s="4"/>
      <c r="U743" s="74"/>
      <c r="V743" s="3"/>
      <c r="W743" s="3"/>
      <c r="X743" s="3"/>
      <c r="Y743" s="3"/>
      <c r="Z743" s="58"/>
      <c r="AA743" s="3"/>
      <c r="AB743" s="3"/>
      <c r="AC743" s="4"/>
      <c r="AD743" s="4"/>
      <c r="AE743" s="4"/>
      <c r="AF743" s="4"/>
      <c r="AG743" s="4"/>
      <c r="AH743" s="4"/>
      <c r="AI743" s="4"/>
    </row>
    <row r="744">
      <c r="A744" s="57"/>
      <c r="B744" s="4"/>
      <c r="C744" s="4"/>
      <c r="D744" s="4"/>
      <c r="E744" s="4"/>
      <c r="F744" s="4"/>
      <c r="G744" s="4"/>
      <c r="H744" s="52"/>
      <c r="I744" s="4"/>
      <c r="J744" s="52"/>
      <c r="K744" s="52"/>
      <c r="L744" s="52"/>
      <c r="M744" s="52"/>
      <c r="N744" s="52"/>
      <c r="O744" s="52"/>
      <c r="P744" s="52"/>
      <c r="Q744" s="52"/>
      <c r="R744" s="4"/>
      <c r="S744" s="4"/>
      <c r="T744" s="4"/>
      <c r="U744" s="74"/>
      <c r="V744" s="3"/>
      <c r="W744" s="3"/>
      <c r="X744" s="3"/>
      <c r="Y744" s="3"/>
      <c r="Z744" s="58"/>
      <c r="AA744" s="3"/>
      <c r="AB744" s="3"/>
      <c r="AC744" s="4"/>
      <c r="AD744" s="4"/>
      <c r="AE744" s="4"/>
      <c r="AF744" s="4"/>
      <c r="AG744" s="4"/>
      <c r="AH744" s="4"/>
      <c r="AI744" s="4"/>
    </row>
    <row r="745">
      <c r="A745" s="57"/>
      <c r="B745" s="4"/>
      <c r="C745" s="4"/>
      <c r="D745" s="4"/>
      <c r="E745" s="4"/>
      <c r="F745" s="4"/>
      <c r="G745" s="4"/>
      <c r="H745" s="52"/>
      <c r="I745" s="4"/>
      <c r="J745" s="52"/>
      <c r="K745" s="52"/>
      <c r="L745" s="52"/>
      <c r="M745" s="52"/>
      <c r="N745" s="52"/>
      <c r="O745" s="52"/>
      <c r="P745" s="52"/>
      <c r="Q745" s="52"/>
      <c r="R745" s="4"/>
      <c r="S745" s="4"/>
      <c r="T745" s="4"/>
      <c r="U745" s="74"/>
      <c r="V745" s="3"/>
      <c r="W745" s="3"/>
      <c r="X745" s="3"/>
      <c r="Y745" s="3"/>
      <c r="Z745" s="58"/>
      <c r="AA745" s="3"/>
      <c r="AB745" s="3"/>
      <c r="AC745" s="4"/>
      <c r="AD745" s="4"/>
      <c r="AE745" s="4"/>
      <c r="AF745" s="4"/>
      <c r="AG745" s="4"/>
      <c r="AH745" s="4"/>
      <c r="AI745" s="4"/>
    </row>
    <row r="746">
      <c r="A746" s="57"/>
      <c r="B746" s="4"/>
      <c r="C746" s="4"/>
      <c r="D746" s="4"/>
      <c r="E746" s="4"/>
      <c r="F746" s="4"/>
      <c r="G746" s="4"/>
      <c r="H746" s="52"/>
      <c r="I746" s="4"/>
      <c r="J746" s="52"/>
      <c r="K746" s="52"/>
      <c r="L746" s="52"/>
      <c r="M746" s="52"/>
      <c r="N746" s="52"/>
      <c r="O746" s="52"/>
      <c r="P746" s="52"/>
      <c r="Q746" s="52"/>
      <c r="R746" s="4"/>
      <c r="S746" s="4"/>
      <c r="T746" s="4"/>
      <c r="U746" s="74"/>
      <c r="V746" s="3"/>
      <c r="W746" s="3"/>
      <c r="X746" s="3"/>
      <c r="Y746" s="3"/>
      <c r="Z746" s="58"/>
      <c r="AA746" s="3"/>
      <c r="AB746" s="3"/>
      <c r="AC746" s="4"/>
      <c r="AD746" s="4"/>
      <c r="AE746" s="4"/>
      <c r="AF746" s="4"/>
      <c r="AG746" s="4"/>
      <c r="AH746" s="4"/>
      <c r="AI746" s="4"/>
    </row>
    <row r="747">
      <c r="A747" s="57"/>
      <c r="B747" s="4"/>
      <c r="C747" s="4"/>
      <c r="D747" s="4"/>
      <c r="E747" s="4"/>
      <c r="F747" s="4"/>
      <c r="G747" s="4"/>
      <c r="H747" s="52"/>
      <c r="I747" s="4"/>
      <c r="J747" s="52"/>
      <c r="K747" s="52"/>
      <c r="L747" s="52"/>
      <c r="M747" s="52"/>
      <c r="N747" s="52"/>
      <c r="O747" s="52"/>
      <c r="P747" s="52"/>
      <c r="Q747" s="52"/>
      <c r="R747" s="4"/>
      <c r="S747" s="4"/>
      <c r="T747" s="4"/>
      <c r="U747" s="74"/>
      <c r="V747" s="3"/>
      <c r="W747" s="3"/>
      <c r="X747" s="3"/>
      <c r="Y747" s="3"/>
      <c r="Z747" s="58"/>
      <c r="AA747" s="3"/>
      <c r="AB747" s="3"/>
      <c r="AC747" s="4"/>
      <c r="AD747" s="4"/>
      <c r="AE747" s="4"/>
      <c r="AF747" s="4"/>
      <c r="AG747" s="4"/>
      <c r="AH747" s="4"/>
      <c r="AI747" s="4"/>
    </row>
    <row r="748">
      <c r="A748" s="57"/>
      <c r="B748" s="4"/>
      <c r="C748" s="4"/>
      <c r="D748" s="4"/>
      <c r="E748" s="4"/>
      <c r="F748" s="4"/>
      <c r="G748" s="4"/>
      <c r="H748" s="52"/>
      <c r="I748" s="4"/>
      <c r="J748" s="52"/>
      <c r="K748" s="52"/>
      <c r="L748" s="52"/>
      <c r="M748" s="52"/>
      <c r="N748" s="52"/>
      <c r="O748" s="52"/>
      <c r="P748" s="52"/>
      <c r="Q748" s="52"/>
      <c r="R748" s="4"/>
      <c r="S748" s="4"/>
      <c r="T748" s="4"/>
      <c r="U748" s="74"/>
      <c r="V748" s="3"/>
      <c r="W748" s="3"/>
      <c r="X748" s="3"/>
      <c r="Y748" s="3"/>
      <c r="Z748" s="58"/>
      <c r="AA748" s="3"/>
      <c r="AB748" s="3"/>
      <c r="AC748" s="4"/>
      <c r="AD748" s="4"/>
      <c r="AE748" s="4"/>
      <c r="AF748" s="4"/>
      <c r="AG748" s="4"/>
      <c r="AH748" s="4"/>
      <c r="AI748" s="4"/>
    </row>
    <row r="749">
      <c r="A749" s="57"/>
      <c r="B749" s="4"/>
      <c r="C749" s="4"/>
      <c r="D749" s="4"/>
      <c r="E749" s="4"/>
      <c r="F749" s="4"/>
      <c r="G749" s="4"/>
      <c r="H749" s="52"/>
      <c r="I749" s="4"/>
      <c r="J749" s="52"/>
      <c r="K749" s="52"/>
      <c r="L749" s="52"/>
      <c r="M749" s="52"/>
      <c r="N749" s="52"/>
      <c r="O749" s="52"/>
      <c r="P749" s="52"/>
      <c r="Q749" s="52"/>
      <c r="R749" s="4"/>
      <c r="S749" s="4"/>
      <c r="T749" s="4"/>
      <c r="U749" s="74"/>
      <c r="V749" s="3"/>
      <c r="W749" s="3"/>
      <c r="X749" s="3"/>
      <c r="Y749" s="3"/>
      <c r="Z749" s="58"/>
      <c r="AA749" s="3"/>
      <c r="AB749" s="3"/>
      <c r="AC749" s="4"/>
      <c r="AD749" s="4"/>
      <c r="AE749" s="4"/>
      <c r="AF749" s="4"/>
      <c r="AG749" s="4"/>
      <c r="AH749" s="4"/>
      <c r="AI749" s="4"/>
    </row>
    <row r="750">
      <c r="A750" s="57"/>
      <c r="B750" s="4"/>
      <c r="C750" s="4"/>
      <c r="D750" s="4"/>
      <c r="E750" s="4"/>
      <c r="F750" s="4"/>
      <c r="G750" s="4"/>
      <c r="H750" s="52"/>
      <c r="I750" s="4"/>
      <c r="J750" s="52"/>
      <c r="K750" s="52"/>
      <c r="L750" s="52"/>
      <c r="M750" s="52"/>
      <c r="N750" s="52"/>
      <c r="O750" s="52"/>
      <c r="P750" s="52"/>
      <c r="Q750" s="52"/>
      <c r="R750" s="4"/>
      <c r="S750" s="4"/>
      <c r="T750" s="4"/>
      <c r="U750" s="74"/>
      <c r="V750" s="3"/>
      <c r="W750" s="3"/>
      <c r="X750" s="3"/>
      <c r="Y750" s="3"/>
      <c r="Z750" s="58"/>
      <c r="AA750" s="3"/>
      <c r="AB750" s="3"/>
      <c r="AC750" s="4"/>
      <c r="AD750" s="4"/>
      <c r="AE750" s="4"/>
      <c r="AF750" s="4"/>
      <c r="AG750" s="4"/>
      <c r="AH750" s="4"/>
      <c r="AI750" s="4"/>
    </row>
    <row r="751">
      <c r="A751" s="57"/>
      <c r="B751" s="4"/>
      <c r="C751" s="4"/>
      <c r="D751" s="4"/>
      <c r="E751" s="4"/>
      <c r="F751" s="4"/>
      <c r="G751" s="4"/>
      <c r="H751" s="52"/>
      <c r="I751" s="4"/>
      <c r="J751" s="52"/>
      <c r="K751" s="52"/>
      <c r="L751" s="52"/>
      <c r="M751" s="52"/>
      <c r="N751" s="52"/>
      <c r="O751" s="52"/>
      <c r="P751" s="52"/>
      <c r="Q751" s="52"/>
      <c r="R751" s="4"/>
      <c r="S751" s="4"/>
      <c r="T751" s="4"/>
      <c r="U751" s="74"/>
      <c r="V751" s="3"/>
      <c r="W751" s="3"/>
      <c r="X751" s="3"/>
      <c r="Y751" s="3"/>
      <c r="Z751" s="58"/>
      <c r="AA751" s="3"/>
      <c r="AB751" s="3"/>
      <c r="AC751" s="4"/>
      <c r="AD751" s="4"/>
      <c r="AE751" s="4"/>
      <c r="AF751" s="4"/>
      <c r="AG751" s="4"/>
      <c r="AH751" s="4"/>
      <c r="AI751" s="4"/>
    </row>
    <row r="752">
      <c r="A752" s="57"/>
      <c r="B752" s="4"/>
      <c r="C752" s="4"/>
      <c r="D752" s="4"/>
      <c r="E752" s="4"/>
      <c r="F752" s="4"/>
      <c r="G752" s="4"/>
      <c r="H752" s="52"/>
      <c r="I752" s="4"/>
      <c r="J752" s="52"/>
      <c r="K752" s="52"/>
      <c r="L752" s="52"/>
      <c r="M752" s="52"/>
      <c r="N752" s="52"/>
      <c r="O752" s="52"/>
      <c r="P752" s="52"/>
      <c r="Q752" s="52"/>
      <c r="R752" s="4"/>
      <c r="S752" s="4"/>
      <c r="T752" s="4"/>
      <c r="U752" s="74"/>
      <c r="V752" s="3"/>
      <c r="W752" s="3"/>
      <c r="X752" s="3"/>
      <c r="Y752" s="3"/>
      <c r="Z752" s="58"/>
      <c r="AA752" s="3"/>
      <c r="AB752" s="3"/>
      <c r="AC752" s="4"/>
      <c r="AD752" s="4"/>
      <c r="AE752" s="4"/>
      <c r="AF752" s="4"/>
      <c r="AG752" s="4"/>
      <c r="AH752" s="4"/>
      <c r="AI752" s="4"/>
    </row>
    <row r="753">
      <c r="A753" s="57"/>
      <c r="B753" s="4"/>
      <c r="C753" s="4"/>
      <c r="D753" s="4"/>
      <c r="E753" s="4"/>
      <c r="F753" s="4"/>
      <c r="G753" s="4"/>
      <c r="H753" s="52"/>
      <c r="I753" s="4"/>
      <c r="J753" s="52"/>
      <c r="K753" s="52"/>
      <c r="L753" s="52"/>
      <c r="M753" s="52"/>
      <c r="N753" s="52"/>
      <c r="O753" s="52"/>
      <c r="P753" s="52"/>
      <c r="Q753" s="52"/>
      <c r="R753" s="4"/>
      <c r="S753" s="4"/>
      <c r="T753" s="4"/>
      <c r="U753" s="74"/>
      <c r="V753" s="3"/>
      <c r="W753" s="3"/>
      <c r="X753" s="3"/>
      <c r="Y753" s="3"/>
      <c r="Z753" s="58"/>
      <c r="AA753" s="3"/>
      <c r="AB753" s="3"/>
      <c r="AC753" s="4"/>
      <c r="AD753" s="4"/>
      <c r="AE753" s="4"/>
      <c r="AF753" s="4"/>
      <c r="AG753" s="4"/>
      <c r="AH753" s="4"/>
      <c r="AI753" s="4"/>
    </row>
    <row r="754">
      <c r="A754" s="57"/>
      <c r="B754" s="4"/>
      <c r="C754" s="4"/>
      <c r="D754" s="4"/>
      <c r="E754" s="4"/>
      <c r="F754" s="4"/>
      <c r="G754" s="4"/>
      <c r="H754" s="52"/>
      <c r="I754" s="4"/>
      <c r="J754" s="52"/>
      <c r="K754" s="52"/>
      <c r="L754" s="52"/>
      <c r="M754" s="52"/>
      <c r="N754" s="52"/>
      <c r="O754" s="52"/>
      <c r="P754" s="52"/>
      <c r="Q754" s="52"/>
      <c r="R754" s="4"/>
      <c r="S754" s="4"/>
      <c r="T754" s="4"/>
      <c r="U754" s="74"/>
      <c r="V754" s="3"/>
      <c r="W754" s="3"/>
      <c r="X754" s="3"/>
      <c r="Y754" s="3"/>
      <c r="Z754" s="58"/>
      <c r="AA754" s="3"/>
      <c r="AB754" s="3"/>
      <c r="AC754" s="4"/>
      <c r="AD754" s="4"/>
      <c r="AE754" s="4"/>
      <c r="AF754" s="4"/>
      <c r="AG754" s="4"/>
      <c r="AH754" s="4"/>
      <c r="AI754" s="4"/>
    </row>
    <row r="755">
      <c r="A755" s="57"/>
      <c r="B755" s="4"/>
      <c r="C755" s="4"/>
      <c r="D755" s="4"/>
      <c r="E755" s="4"/>
      <c r="F755" s="4"/>
      <c r="G755" s="4"/>
      <c r="H755" s="52"/>
      <c r="I755" s="4"/>
      <c r="J755" s="52"/>
      <c r="K755" s="52"/>
      <c r="L755" s="52"/>
      <c r="M755" s="52"/>
      <c r="N755" s="52"/>
      <c r="O755" s="52"/>
      <c r="P755" s="52"/>
      <c r="Q755" s="52"/>
      <c r="R755" s="4"/>
      <c r="S755" s="4"/>
      <c r="T755" s="4"/>
      <c r="U755" s="74"/>
      <c r="V755" s="3"/>
      <c r="W755" s="3"/>
      <c r="X755" s="3"/>
      <c r="Y755" s="3"/>
      <c r="Z755" s="58"/>
      <c r="AA755" s="3"/>
      <c r="AB755" s="3"/>
      <c r="AC755" s="4"/>
      <c r="AD755" s="4"/>
      <c r="AE755" s="4"/>
      <c r="AF755" s="4"/>
      <c r="AG755" s="4"/>
      <c r="AH755" s="4"/>
      <c r="AI755" s="4"/>
    </row>
    <row r="756">
      <c r="A756" s="57"/>
      <c r="B756" s="4"/>
      <c r="C756" s="4"/>
      <c r="D756" s="4"/>
      <c r="E756" s="4"/>
      <c r="F756" s="4"/>
      <c r="G756" s="4"/>
      <c r="H756" s="52"/>
      <c r="I756" s="4"/>
      <c r="J756" s="52"/>
      <c r="K756" s="52"/>
      <c r="L756" s="52"/>
      <c r="M756" s="52"/>
      <c r="N756" s="52"/>
      <c r="O756" s="52"/>
      <c r="P756" s="52"/>
      <c r="Q756" s="52"/>
      <c r="R756" s="4"/>
      <c r="S756" s="4"/>
      <c r="T756" s="4"/>
      <c r="U756" s="74"/>
      <c r="V756" s="3"/>
      <c r="W756" s="3"/>
      <c r="X756" s="3"/>
      <c r="Y756" s="3"/>
      <c r="Z756" s="58"/>
      <c r="AA756" s="3"/>
      <c r="AB756" s="3"/>
      <c r="AC756" s="4"/>
      <c r="AD756" s="4"/>
      <c r="AE756" s="4"/>
      <c r="AF756" s="4"/>
      <c r="AG756" s="4"/>
      <c r="AH756" s="4"/>
      <c r="AI756" s="4"/>
    </row>
    <row r="757">
      <c r="A757" s="57"/>
      <c r="B757" s="4"/>
      <c r="C757" s="4"/>
      <c r="D757" s="4"/>
      <c r="E757" s="4"/>
      <c r="F757" s="4"/>
      <c r="G757" s="4"/>
      <c r="H757" s="52"/>
      <c r="I757" s="4"/>
      <c r="J757" s="52"/>
      <c r="K757" s="52"/>
      <c r="L757" s="52"/>
      <c r="M757" s="52"/>
      <c r="N757" s="52"/>
      <c r="O757" s="52"/>
      <c r="P757" s="52"/>
      <c r="Q757" s="52"/>
      <c r="R757" s="4"/>
      <c r="S757" s="4"/>
      <c r="T757" s="4"/>
      <c r="U757" s="74"/>
      <c r="V757" s="3"/>
      <c r="W757" s="3"/>
      <c r="X757" s="3"/>
      <c r="Y757" s="3"/>
      <c r="Z757" s="58"/>
      <c r="AA757" s="3"/>
      <c r="AB757" s="3"/>
      <c r="AC757" s="4"/>
      <c r="AD757" s="4"/>
      <c r="AE757" s="4"/>
      <c r="AF757" s="4"/>
      <c r="AG757" s="4"/>
      <c r="AH757" s="4"/>
      <c r="AI757" s="4"/>
    </row>
    <row r="758">
      <c r="A758" s="57"/>
      <c r="B758" s="4"/>
      <c r="C758" s="4"/>
      <c r="D758" s="4"/>
      <c r="E758" s="4"/>
      <c r="F758" s="4"/>
      <c r="G758" s="4"/>
      <c r="H758" s="52"/>
      <c r="I758" s="4"/>
      <c r="J758" s="52"/>
      <c r="K758" s="52"/>
      <c r="L758" s="52"/>
      <c r="M758" s="52"/>
      <c r="N758" s="52"/>
      <c r="O758" s="52"/>
      <c r="P758" s="52"/>
      <c r="Q758" s="52"/>
      <c r="R758" s="4"/>
      <c r="S758" s="4"/>
      <c r="T758" s="4"/>
      <c r="U758" s="74"/>
      <c r="V758" s="3"/>
      <c r="W758" s="3"/>
      <c r="X758" s="3"/>
      <c r="Y758" s="3"/>
      <c r="Z758" s="58"/>
      <c r="AA758" s="3"/>
      <c r="AB758" s="3"/>
      <c r="AC758" s="4"/>
      <c r="AD758" s="4"/>
      <c r="AE758" s="4"/>
      <c r="AF758" s="4"/>
      <c r="AG758" s="4"/>
      <c r="AH758" s="4"/>
      <c r="AI758" s="4"/>
    </row>
    <row r="759">
      <c r="A759" s="57"/>
      <c r="B759" s="4"/>
      <c r="C759" s="4"/>
      <c r="D759" s="4"/>
      <c r="E759" s="4"/>
      <c r="F759" s="4"/>
      <c r="G759" s="4"/>
      <c r="H759" s="52"/>
      <c r="I759" s="4"/>
      <c r="J759" s="52"/>
      <c r="K759" s="52"/>
      <c r="L759" s="52"/>
      <c r="M759" s="52"/>
      <c r="N759" s="52"/>
      <c r="O759" s="52"/>
      <c r="P759" s="52"/>
      <c r="Q759" s="52"/>
      <c r="R759" s="4"/>
      <c r="S759" s="4"/>
      <c r="T759" s="4"/>
      <c r="U759" s="74"/>
      <c r="V759" s="3"/>
      <c r="W759" s="3"/>
      <c r="X759" s="3"/>
      <c r="Y759" s="3"/>
      <c r="Z759" s="58"/>
      <c r="AA759" s="3"/>
      <c r="AB759" s="3"/>
      <c r="AC759" s="4"/>
      <c r="AD759" s="4"/>
      <c r="AE759" s="4"/>
      <c r="AF759" s="4"/>
      <c r="AG759" s="4"/>
      <c r="AH759" s="4"/>
      <c r="AI759" s="4"/>
    </row>
    <row r="760">
      <c r="A760" s="57"/>
      <c r="B760" s="4"/>
      <c r="C760" s="4"/>
      <c r="D760" s="4"/>
      <c r="E760" s="4"/>
      <c r="F760" s="4"/>
      <c r="G760" s="4"/>
      <c r="H760" s="52"/>
      <c r="I760" s="4"/>
      <c r="J760" s="52"/>
      <c r="K760" s="52"/>
      <c r="L760" s="52"/>
      <c r="M760" s="52"/>
      <c r="N760" s="52"/>
      <c r="O760" s="52"/>
      <c r="P760" s="52"/>
      <c r="Q760" s="52"/>
      <c r="R760" s="4"/>
      <c r="S760" s="4"/>
      <c r="T760" s="4"/>
      <c r="U760" s="74"/>
      <c r="V760" s="3"/>
      <c r="W760" s="3"/>
      <c r="X760" s="3"/>
      <c r="Y760" s="3"/>
      <c r="Z760" s="58"/>
      <c r="AA760" s="3"/>
      <c r="AB760" s="3"/>
      <c r="AC760" s="4"/>
      <c r="AD760" s="4"/>
      <c r="AE760" s="4"/>
      <c r="AF760" s="4"/>
      <c r="AG760" s="4"/>
      <c r="AH760" s="4"/>
      <c r="AI760" s="4"/>
    </row>
    <row r="761">
      <c r="A761" s="57"/>
      <c r="B761" s="4"/>
      <c r="C761" s="4"/>
      <c r="D761" s="4"/>
      <c r="E761" s="4"/>
      <c r="F761" s="4"/>
      <c r="G761" s="4"/>
      <c r="H761" s="52"/>
      <c r="I761" s="4"/>
      <c r="J761" s="52"/>
      <c r="K761" s="52"/>
      <c r="L761" s="52"/>
      <c r="M761" s="52"/>
      <c r="N761" s="52"/>
      <c r="O761" s="52"/>
      <c r="P761" s="52"/>
      <c r="Q761" s="52"/>
      <c r="R761" s="4"/>
      <c r="S761" s="4"/>
      <c r="T761" s="4"/>
      <c r="U761" s="74"/>
      <c r="V761" s="3"/>
      <c r="W761" s="3"/>
      <c r="X761" s="3"/>
      <c r="Y761" s="3"/>
      <c r="Z761" s="58"/>
      <c r="AA761" s="3"/>
      <c r="AB761" s="3"/>
      <c r="AC761" s="4"/>
      <c r="AD761" s="4"/>
      <c r="AE761" s="4"/>
      <c r="AF761" s="4"/>
      <c r="AG761" s="4"/>
      <c r="AH761" s="4"/>
      <c r="AI761" s="4"/>
    </row>
    <row r="762">
      <c r="A762" s="57"/>
      <c r="B762" s="4"/>
      <c r="C762" s="4"/>
      <c r="D762" s="4"/>
      <c r="E762" s="4"/>
      <c r="F762" s="4"/>
      <c r="G762" s="4"/>
      <c r="H762" s="52"/>
      <c r="I762" s="4"/>
      <c r="J762" s="52"/>
      <c r="K762" s="52"/>
      <c r="L762" s="52"/>
      <c r="M762" s="52"/>
      <c r="N762" s="52"/>
      <c r="O762" s="52"/>
      <c r="P762" s="52"/>
      <c r="Q762" s="52"/>
      <c r="R762" s="4"/>
      <c r="S762" s="4"/>
      <c r="T762" s="4"/>
      <c r="U762" s="74"/>
      <c r="V762" s="3"/>
      <c r="W762" s="3"/>
      <c r="X762" s="3"/>
      <c r="Y762" s="3"/>
      <c r="Z762" s="58"/>
      <c r="AA762" s="3"/>
      <c r="AB762" s="3"/>
      <c r="AC762" s="4"/>
      <c r="AD762" s="4"/>
      <c r="AE762" s="4"/>
      <c r="AF762" s="4"/>
      <c r="AG762" s="4"/>
      <c r="AH762" s="4"/>
      <c r="AI762" s="4"/>
    </row>
    <row r="763">
      <c r="A763" s="57"/>
      <c r="B763" s="4"/>
      <c r="C763" s="4"/>
      <c r="D763" s="4"/>
      <c r="E763" s="4"/>
      <c r="F763" s="4"/>
      <c r="G763" s="4"/>
      <c r="H763" s="52"/>
      <c r="I763" s="4"/>
      <c r="J763" s="52"/>
      <c r="K763" s="52"/>
      <c r="L763" s="52"/>
      <c r="M763" s="52"/>
      <c r="N763" s="52"/>
      <c r="O763" s="52"/>
      <c r="P763" s="52"/>
      <c r="Q763" s="52"/>
      <c r="R763" s="4"/>
      <c r="S763" s="4"/>
      <c r="T763" s="4"/>
      <c r="U763" s="74"/>
      <c r="V763" s="3"/>
      <c r="W763" s="3"/>
      <c r="X763" s="3"/>
      <c r="Y763" s="3"/>
      <c r="Z763" s="58"/>
      <c r="AA763" s="3"/>
      <c r="AB763" s="3"/>
      <c r="AC763" s="4"/>
      <c r="AD763" s="4"/>
      <c r="AE763" s="4"/>
      <c r="AF763" s="4"/>
      <c r="AG763" s="4"/>
      <c r="AH763" s="4"/>
      <c r="AI763" s="4"/>
    </row>
    <row r="764">
      <c r="A764" s="57"/>
      <c r="B764" s="4"/>
      <c r="C764" s="4"/>
      <c r="D764" s="4"/>
      <c r="E764" s="4"/>
      <c r="F764" s="4"/>
      <c r="G764" s="4"/>
      <c r="H764" s="52"/>
      <c r="I764" s="4"/>
      <c r="J764" s="52"/>
      <c r="K764" s="52"/>
      <c r="L764" s="52"/>
      <c r="M764" s="52"/>
      <c r="N764" s="52"/>
      <c r="O764" s="52"/>
      <c r="P764" s="52"/>
      <c r="Q764" s="52"/>
      <c r="R764" s="4"/>
      <c r="S764" s="4"/>
      <c r="T764" s="4"/>
      <c r="U764" s="74"/>
      <c r="V764" s="3"/>
      <c r="W764" s="3"/>
      <c r="X764" s="3"/>
      <c r="Y764" s="3"/>
      <c r="Z764" s="58"/>
      <c r="AA764" s="3"/>
      <c r="AB764" s="3"/>
      <c r="AC764" s="4"/>
      <c r="AD764" s="4"/>
      <c r="AE764" s="4"/>
      <c r="AF764" s="4"/>
      <c r="AG764" s="4"/>
      <c r="AH764" s="4"/>
      <c r="AI764" s="4"/>
    </row>
    <row r="765">
      <c r="A765" s="57"/>
      <c r="B765" s="4"/>
      <c r="C765" s="4"/>
      <c r="D765" s="4"/>
      <c r="E765" s="4"/>
      <c r="F765" s="4"/>
      <c r="G765" s="4"/>
      <c r="H765" s="52"/>
      <c r="I765" s="4"/>
      <c r="J765" s="52"/>
      <c r="K765" s="52"/>
      <c r="L765" s="52"/>
      <c r="M765" s="52"/>
      <c r="N765" s="52"/>
      <c r="O765" s="52"/>
      <c r="P765" s="52"/>
      <c r="Q765" s="52"/>
      <c r="R765" s="4"/>
      <c r="S765" s="4"/>
      <c r="T765" s="4"/>
      <c r="U765" s="74"/>
      <c r="V765" s="3"/>
      <c r="W765" s="3"/>
      <c r="X765" s="3"/>
      <c r="Y765" s="3"/>
      <c r="Z765" s="58"/>
      <c r="AA765" s="3"/>
      <c r="AB765" s="3"/>
      <c r="AC765" s="4"/>
      <c r="AD765" s="4"/>
      <c r="AE765" s="4"/>
      <c r="AF765" s="4"/>
      <c r="AG765" s="4"/>
      <c r="AH765" s="4"/>
      <c r="AI765" s="4"/>
    </row>
    <row r="766">
      <c r="A766" s="57"/>
      <c r="B766" s="4"/>
      <c r="C766" s="4"/>
      <c r="D766" s="4"/>
      <c r="E766" s="4"/>
      <c r="F766" s="4"/>
      <c r="G766" s="4"/>
      <c r="H766" s="52"/>
      <c r="I766" s="4"/>
      <c r="J766" s="52"/>
      <c r="K766" s="52"/>
      <c r="L766" s="52"/>
      <c r="M766" s="52"/>
      <c r="N766" s="52"/>
      <c r="O766" s="52"/>
      <c r="P766" s="52"/>
      <c r="Q766" s="52"/>
      <c r="R766" s="4"/>
      <c r="S766" s="4"/>
      <c r="T766" s="4"/>
      <c r="U766" s="74"/>
      <c r="V766" s="3"/>
      <c r="W766" s="3"/>
      <c r="X766" s="3"/>
      <c r="Y766" s="3"/>
      <c r="Z766" s="58"/>
      <c r="AA766" s="3"/>
      <c r="AB766" s="3"/>
      <c r="AC766" s="4"/>
      <c r="AD766" s="4"/>
      <c r="AE766" s="4"/>
      <c r="AF766" s="4"/>
      <c r="AG766" s="4"/>
      <c r="AH766" s="4"/>
      <c r="AI766" s="4"/>
    </row>
    <row r="767">
      <c r="A767" s="57"/>
      <c r="B767" s="4"/>
      <c r="C767" s="4"/>
      <c r="D767" s="4"/>
      <c r="E767" s="4"/>
      <c r="F767" s="4"/>
      <c r="G767" s="4"/>
      <c r="H767" s="52"/>
      <c r="I767" s="4"/>
      <c r="J767" s="52"/>
      <c r="K767" s="52"/>
      <c r="L767" s="52"/>
      <c r="M767" s="52"/>
      <c r="N767" s="52"/>
      <c r="O767" s="52"/>
      <c r="P767" s="52"/>
      <c r="Q767" s="52"/>
      <c r="R767" s="4"/>
      <c r="S767" s="4"/>
      <c r="T767" s="4"/>
      <c r="U767" s="74"/>
      <c r="V767" s="3"/>
      <c r="W767" s="3"/>
      <c r="X767" s="3"/>
      <c r="Y767" s="3"/>
      <c r="Z767" s="58"/>
      <c r="AA767" s="3"/>
      <c r="AB767" s="3"/>
      <c r="AC767" s="4"/>
      <c r="AD767" s="4"/>
      <c r="AE767" s="4"/>
      <c r="AF767" s="4"/>
      <c r="AG767" s="4"/>
      <c r="AH767" s="4"/>
      <c r="AI767" s="4"/>
    </row>
    <row r="768">
      <c r="A768" s="57"/>
      <c r="B768" s="4"/>
      <c r="C768" s="4"/>
      <c r="D768" s="4"/>
      <c r="E768" s="4"/>
      <c r="F768" s="4"/>
      <c r="G768" s="4"/>
      <c r="H768" s="52"/>
      <c r="I768" s="4"/>
      <c r="J768" s="52"/>
      <c r="K768" s="52"/>
      <c r="L768" s="52"/>
      <c r="M768" s="52"/>
      <c r="N768" s="52"/>
      <c r="O768" s="52"/>
      <c r="P768" s="52"/>
      <c r="Q768" s="52"/>
      <c r="R768" s="4"/>
      <c r="S768" s="4"/>
      <c r="T768" s="4"/>
      <c r="U768" s="74"/>
      <c r="V768" s="3"/>
      <c r="W768" s="3"/>
      <c r="X768" s="3"/>
      <c r="Y768" s="3"/>
      <c r="Z768" s="58"/>
      <c r="AA768" s="3"/>
      <c r="AB768" s="3"/>
      <c r="AC768" s="4"/>
      <c r="AD768" s="4"/>
      <c r="AE768" s="4"/>
      <c r="AF768" s="4"/>
      <c r="AG768" s="4"/>
      <c r="AH768" s="4"/>
      <c r="AI768" s="4"/>
    </row>
    <row r="769">
      <c r="A769" s="57"/>
      <c r="B769" s="4"/>
      <c r="C769" s="4"/>
      <c r="D769" s="4"/>
      <c r="E769" s="4"/>
      <c r="F769" s="4"/>
      <c r="G769" s="4"/>
      <c r="H769" s="52"/>
      <c r="I769" s="4"/>
      <c r="J769" s="52"/>
      <c r="K769" s="52"/>
      <c r="L769" s="52"/>
      <c r="M769" s="52"/>
      <c r="N769" s="52"/>
      <c r="O769" s="52"/>
      <c r="P769" s="52"/>
      <c r="Q769" s="52"/>
      <c r="R769" s="4"/>
      <c r="S769" s="4"/>
      <c r="T769" s="4"/>
      <c r="U769" s="74"/>
      <c r="V769" s="3"/>
      <c r="W769" s="3"/>
      <c r="X769" s="3"/>
      <c r="Y769" s="3"/>
      <c r="Z769" s="58"/>
      <c r="AA769" s="3"/>
      <c r="AB769" s="3"/>
      <c r="AC769" s="4"/>
      <c r="AD769" s="4"/>
      <c r="AE769" s="4"/>
      <c r="AF769" s="4"/>
      <c r="AG769" s="4"/>
      <c r="AH769" s="4"/>
      <c r="AI769" s="4"/>
    </row>
    <row r="770">
      <c r="A770" s="57"/>
      <c r="B770" s="4"/>
      <c r="C770" s="4"/>
      <c r="D770" s="4"/>
      <c r="E770" s="4"/>
      <c r="F770" s="4"/>
      <c r="G770" s="4"/>
      <c r="H770" s="52"/>
      <c r="I770" s="4"/>
      <c r="J770" s="52"/>
      <c r="K770" s="52"/>
      <c r="L770" s="52"/>
      <c r="M770" s="52"/>
      <c r="N770" s="52"/>
      <c r="O770" s="52"/>
      <c r="P770" s="52"/>
      <c r="Q770" s="52"/>
      <c r="R770" s="4"/>
      <c r="S770" s="4"/>
      <c r="T770" s="4"/>
      <c r="U770" s="74"/>
      <c r="V770" s="3"/>
      <c r="W770" s="3"/>
      <c r="X770" s="3"/>
      <c r="Y770" s="3"/>
      <c r="Z770" s="58"/>
      <c r="AA770" s="3"/>
      <c r="AB770" s="3"/>
      <c r="AC770" s="4"/>
      <c r="AD770" s="4"/>
      <c r="AE770" s="4"/>
      <c r="AF770" s="4"/>
      <c r="AG770" s="4"/>
      <c r="AH770" s="4"/>
      <c r="AI770" s="4"/>
    </row>
    <row r="771">
      <c r="A771" s="57"/>
      <c r="B771" s="4"/>
      <c r="C771" s="4"/>
      <c r="D771" s="4"/>
      <c r="E771" s="4"/>
      <c r="F771" s="4"/>
      <c r="G771" s="4"/>
      <c r="H771" s="52"/>
      <c r="I771" s="4"/>
      <c r="J771" s="52"/>
      <c r="K771" s="52"/>
      <c r="L771" s="52"/>
      <c r="M771" s="52"/>
      <c r="N771" s="52"/>
      <c r="O771" s="52"/>
      <c r="P771" s="52"/>
      <c r="Q771" s="52"/>
      <c r="R771" s="4"/>
      <c r="S771" s="4"/>
      <c r="T771" s="4"/>
      <c r="U771" s="74"/>
      <c r="V771" s="3"/>
      <c r="W771" s="3"/>
      <c r="X771" s="3"/>
      <c r="Y771" s="3"/>
      <c r="Z771" s="58"/>
      <c r="AA771" s="3"/>
      <c r="AB771" s="3"/>
      <c r="AC771" s="4"/>
      <c r="AD771" s="4"/>
      <c r="AE771" s="4"/>
      <c r="AF771" s="4"/>
      <c r="AG771" s="4"/>
      <c r="AH771" s="4"/>
      <c r="AI771" s="4"/>
    </row>
    <row r="772">
      <c r="A772" s="57"/>
      <c r="B772" s="4"/>
      <c r="C772" s="4"/>
      <c r="D772" s="4"/>
      <c r="E772" s="4"/>
      <c r="F772" s="4"/>
      <c r="G772" s="4"/>
      <c r="H772" s="52"/>
      <c r="I772" s="4"/>
      <c r="J772" s="52"/>
      <c r="K772" s="52"/>
      <c r="L772" s="52"/>
      <c r="M772" s="52"/>
      <c r="N772" s="52"/>
      <c r="O772" s="52"/>
      <c r="P772" s="52"/>
      <c r="Q772" s="52"/>
      <c r="R772" s="4"/>
      <c r="S772" s="4"/>
      <c r="T772" s="4"/>
      <c r="U772" s="74"/>
      <c r="V772" s="3"/>
      <c r="W772" s="3"/>
      <c r="X772" s="3"/>
      <c r="Y772" s="3"/>
      <c r="Z772" s="58"/>
      <c r="AA772" s="3"/>
      <c r="AB772" s="3"/>
      <c r="AC772" s="4"/>
      <c r="AD772" s="4"/>
      <c r="AE772" s="4"/>
      <c r="AF772" s="4"/>
      <c r="AG772" s="4"/>
      <c r="AH772" s="4"/>
      <c r="AI772" s="4"/>
    </row>
    <row r="773">
      <c r="A773" s="57"/>
      <c r="B773" s="4"/>
      <c r="C773" s="4"/>
      <c r="D773" s="4"/>
      <c r="E773" s="4"/>
      <c r="F773" s="4"/>
      <c r="G773" s="4"/>
      <c r="H773" s="52"/>
      <c r="I773" s="4"/>
      <c r="J773" s="52"/>
      <c r="K773" s="52"/>
      <c r="L773" s="52"/>
      <c r="M773" s="52"/>
      <c r="N773" s="52"/>
      <c r="O773" s="52"/>
      <c r="P773" s="52"/>
      <c r="Q773" s="52"/>
      <c r="R773" s="4"/>
      <c r="S773" s="4"/>
      <c r="T773" s="4"/>
      <c r="U773" s="74"/>
      <c r="V773" s="3"/>
      <c r="W773" s="3"/>
      <c r="X773" s="3"/>
      <c r="Y773" s="3"/>
      <c r="Z773" s="58"/>
      <c r="AA773" s="3"/>
      <c r="AB773" s="3"/>
      <c r="AC773" s="4"/>
      <c r="AD773" s="4"/>
      <c r="AE773" s="4"/>
      <c r="AF773" s="4"/>
      <c r="AG773" s="4"/>
      <c r="AH773" s="4"/>
      <c r="AI773" s="4"/>
    </row>
    <row r="774">
      <c r="A774" s="57"/>
      <c r="B774" s="4"/>
      <c r="C774" s="4"/>
      <c r="D774" s="4"/>
      <c r="E774" s="4"/>
      <c r="F774" s="4"/>
      <c r="G774" s="4"/>
      <c r="H774" s="52"/>
      <c r="I774" s="4"/>
      <c r="J774" s="52"/>
      <c r="K774" s="52"/>
      <c r="L774" s="52"/>
      <c r="M774" s="52"/>
      <c r="N774" s="52"/>
      <c r="O774" s="52"/>
      <c r="P774" s="52"/>
      <c r="Q774" s="52"/>
      <c r="R774" s="4"/>
      <c r="S774" s="4"/>
      <c r="T774" s="4"/>
      <c r="U774" s="74"/>
      <c r="V774" s="3"/>
      <c r="W774" s="3"/>
      <c r="X774" s="3"/>
      <c r="Y774" s="3"/>
      <c r="Z774" s="58"/>
      <c r="AA774" s="3"/>
      <c r="AB774" s="3"/>
      <c r="AC774" s="4"/>
      <c r="AD774" s="4"/>
      <c r="AE774" s="4"/>
      <c r="AF774" s="4"/>
      <c r="AG774" s="4"/>
      <c r="AH774" s="4"/>
      <c r="AI774" s="4"/>
    </row>
    <row r="775">
      <c r="A775" s="57"/>
      <c r="B775" s="4"/>
      <c r="C775" s="4"/>
      <c r="D775" s="4"/>
      <c r="E775" s="4"/>
      <c r="F775" s="4"/>
      <c r="G775" s="4"/>
      <c r="H775" s="52"/>
      <c r="I775" s="4"/>
      <c r="J775" s="52"/>
      <c r="K775" s="52"/>
      <c r="L775" s="52"/>
      <c r="M775" s="52"/>
      <c r="N775" s="52"/>
      <c r="O775" s="52"/>
      <c r="P775" s="52"/>
      <c r="Q775" s="52"/>
      <c r="R775" s="4"/>
      <c r="S775" s="4"/>
      <c r="T775" s="4"/>
      <c r="U775" s="74"/>
      <c r="V775" s="3"/>
      <c r="W775" s="3"/>
      <c r="X775" s="3"/>
      <c r="Y775" s="3"/>
      <c r="Z775" s="58"/>
      <c r="AA775" s="3"/>
      <c r="AB775" s="3"/>
      <c r="AC775" s="4"/>
      <c r="AD775" s="4"/>
      <c r="AE775" s="4"/>
      <c r="AF775" s="4"/>
      <c r="AG775" s="4"/>
      <c r="AH775" s="4"/>
      <c r="AI775" s="4"/>
    </row>
    <row r="776">
      <c r="A776" s="57"/>
      <c r="B776" s="4"/>
      <c r="C776" s="4"/>
      <c r="D776" s="4"/>
      <c r="E776" s="4"/>
      <c r="F776" s="4"/>
      <c r="G776" s="4"/>
      <c r="H776" s="52"/>
      <c r="I776" s="4"/>
      <c r="J776" s="52"/>
      <c r="K776" s="52"/>
      <c r="L776" s="52"/>
      <c r="M776" s="52"/>
      <c r="N776" s="52"/>
      <c r="O776" s="52"/>
      <c r="P776" s="52"/>
      <c r="Q776" s="52"/>
      <c r="R776" s="4"/>
      <c r="S776" s="4"/>
      <c r="T776" s="4"/>
      <c r="U776" s="74"/>
      <c r="V776" s="3"/>
      <c r="W776" s="3"/>
      <c r="X776" s="3"/>
      <c r="Y776" s="3"/>
      <c r="Z776" s="58"/>
      <c r="AA776" s="3"/>
      <c r="AB776" s="3"/>
      <c r="AC776" s="4"/>
      <c r="AD776" s="4"/>
      <c r="AE776" s="4"/>
      <c r="AF776" s="4"/>
      <c r="AG776" s="4"/>
      <c r="AH776" s="4"/>
      <c r="AI776" s="4"/>
    </row>
    <row r="777">
      <c r="A777" s="57"/>
      <c r="B777" s="4"/>
      <c r="C777" s="4"/>
      <c r="D777" s="4"/>
      <c r="E777" s="4"/>
      <c r="F777" s="4"/>
      <c r="G777" s="4"/>
      <c r="H777" s="52"/>
      <c r="I777" s="4"/>
      <c r="J777" s="52"/>
      <c r="K777" s="52"/>
      <c r="L777" s="52"/>
      <c r="M777" s="52"/>
      <c r="N777" s="52"/>
      <c r="O777" s="52"/>
      <c r="P777" s="52"/>
      <c r="Q777" s="52"/>
      <c r="R777" s="4"/>
      <c r="S777" s="4"/>
      <c r="T777" s="4"/>
      <c r="U777" s="74"/>
      <c r="V777" s="3"/>
      <c r="W777" s="3"/>
      <c r="X777" s="3"/>
      <c r="Y777" s="3"/>
      <c r="Z777" s="58"/>
      <c r="AA777" s="3"/>
      <c r="AB777" s="3"/>
      <c r="AC777" s="4"/>
      <c r="AD777" s="4"/>
      <c r="AE777" s="4"/>
      <c r="AF777" s="4"/>
      <c r="AG777" s="4"/>
      <c r="AH777" s="4"/>
      <c r="AI777" s="4"/>
    </row>
    <row r="778">
      <c r="A778" s="57"/>
      <c r="B778" s="4"/>
      <c r="C778" s="4"/>
      <c r="D778" s="4"/>
      <c r="E778" s="4"/>
      <c r="F778" s="4"/>
      <c r="G778" s="4"/>
      <c r="H778" s="52"/>
      <c r="I778" s="4"/>
      <c r="J778" s="52"/>
      <c r="K778" s="52"/>
      <c r="L778" s="52"/>
      <c r="M778" s="52"/>
      <c r="N778" s="52"/>
      <c r="O778" s="52"/>
      <c r="P778" s="52"/>
      <c r="Q778" s="52"/>
      <c r="R778" s="4"/>
      <c r="S778" s="4"/>
      <c r="T778" s="4"/>
      <c r="U778" s="74"/>
      <c r="V778" s="3"/>
      <c r="W778" s="3"/>
      <c r="X778" s="3"/>
      <c r="Y778" s="3"/>
      <c r="Z778" s="58"/>
      <c r="AA778" s="3"/>
      <c r="AB778" s="3"/>
      <c r="AC778" s="4"/>
      <c r="AD778" s="4"/>
      <c r="AE778" s="4"/>
      <c r="AF778" s="4"/>
      <c r="AG778" s="4"/>
      <c r="AH778" s="4"/>
      <c r="AI778" s="4"/>
    </row>
    <row r="779">
      <c r="A779" s="57"/>
      <c r="B779" s="4"/>
      <c r="C779" s="4"/>
      <c r="D779" s="4"/>
      <c r="E779" s="4"/>
      <c r="F779" s="4"/>
      <c r="G779" s="4"/>
      <c r="H779" s="52"/>
      <c r="I779" s="4"/>
      <c r="J779" s="52"/>
      <c r="K779" s="52"/>
      <c r="L779" s="52"/>
      <c r="M779" s="52"/>
      <c r="N779" s="52"/>
      <c r="O779" s="52"/>
      <c r="P779" s="52"/>
      <c r="Q779" s="52"/>
      <c r="R779" s="4"/>
      <c r="S779" s="4"/>
      <c r="T779" s="4"/>
      <c r="U779" s="74"/>
      <c r="V779" s="3"/>
      <c r="W779" s="3"/>
      <c r="X779" s="3"/>
      <c r="Y779" s="3"/>
      <c r="Z779" s="58"/>
      <c r="AA779" s="3"/>
      <c r="AB779" s="3"/>
      <c r="AC779" s="4"/>
      <c r="AD779" s="4"/>
      <c r="AE779" s="4"/>
      <c r="AF779" s="4"/>
      <c r="AG779" s="4"/>
      <c r="AH779" s="4"/>
      <c r="AI779" s="4"/>
    </row>
    <row r="780">
      <c r="A780" s="57"/>
      <c r="B780" s="4"/>
      <c r="C780" s="4"/>
      <c r="D780" s="4"/>
      <c r="E780" s="4"/>
      <c r="F780" s="4"/>
      <c r="G780" s="4"/>
      <c r="H780" s="52"/>
      <c r="I780" s="4"/>
      <c r="J780" s="52"/>
      <c r="K780" s="52"/>
      <c r="L780" s="52"/>
      <c r="M780" s="52"/>
      <c r="N780" s="52"/>
      <c r="O780" s="52"/>
      <c r="P780" s="52"/>
      <c r="Q780" s="52"/>
      <c r="R780" s="4"/>
      <c r="S780" s="4"/>
      <c r="T780" s="4"/>
      <c r="U780" s="74"/>
      <c r="V780" s="3"/>
      <c r="W780" s="3"/>
      <c r="X780" s="3"/>
      <c r="Y780" s="3"/>
      <c r="Z780" s="58"/>
      <c r="AA780" s="3"/>
      <c r="AB780" s="3"/>
      <c r="AC780" s="4"/>
      <c r="AD780" s="4"/>
      <c r="AE780" s="4"/>
      <c r="AF780" s="4"/>
      <c r="AG780" s="4"/>
      <c r="AH780" s="4"/>
      <c r="AI780" s="4"/>
    </row>
    <row r="781">
      <c r="A781" s="57"/>
      <c r="B781" s="4"/>
      <c r="C781" s="4"/>
      <c r="D781" s="4"/>
      <c r="E781" s="4"/>
      <c r="F781" s="4"/>
      <c r="G781" s="4"/>
      <c r="H781" s="52"/>
      <c r="I781" s="4"/>
      <c r="J781" s="52"/>
      <c r="K781" s="52"/>
      <c r="L781" s="52"/>
      <c r="M781" s="52"/>
      <c r="N781" s="52"/>
      <c r="O781" s="52"/>
      <c r="P781" s="52"/>
      <c r="Q781" s="52"/>
      <c r="R781" s="4"/>
      <c r="S781" s="4"/>
      <c r="T781" s="4"/>
      <c r="U781" s="74"/>
      <c r="V781" s="3"/>
      <c r="W781" s="3"/>
      <c r="X781" s="3"/>
      <c r="Y781" s="3"/>
      <c r="Z781" s="58"/>
      <c r="AA781" s="3"/>
      <c r="AB781" s="3"/>
      <c r="AC781" s="4"/>
      <c r="AD781" s="4"/>
      <c r="AE781" s="4"/>
      <c r="AF781" s="4"/>
      <c r="AG781" s="4"/>
      <c r="AH781" s="4"/>
      <c r="AI781" s="4"/>
    </row>
    <row r="782">
      <c r="A782" s="57"/>
      <c r="B782" s="4"/>
      <c r="C782" s="4"/>
      <c r="D782" s="4"/>
      <c r="E782" s="4"/>
      <c r="F782" s="4"/>
      <c r="G782" s="4"/>
      <c r="H782" s="52"/>
      <c r="I782" s="4"/>
      <c r="J782" s="52"/>
      <c r="K782" s="52"/>
      <c r="L782" s="52"/>
      <c r="M782" s="52"/>
      <c r="N782" s="52"/>
      <c r="O782" s="52"/>
      <c r="P782" s="52"/>
      <c r="Q782" s="52"/>
      <c r="R782" s="4"/>
      <c r="S782" s="4"/>
      <c r="T782" s="4"/>
      <c r="U782" s="74"/>
      <c r="V782" s="3"/>
      <c r="W782" s="3"/>
      <c r="X782" s="3"/>
      <c r="Y782" s="3"/>
      <c r="Z782" s="58"/>
      <c r="AA782" s="3"/>
      <c r="AB782" s="3"/>
      <c r="AC782" s="4"/>
      <c r="AD782" s="4"/>
      <c r="AE782" s="4"/>
      <c r="AF782" s="4"/>
      <c r="AG782" s="4"/>
      <c r="AH782" s="4"/>
      <c r="AI782" s="4"/>
    </row>
    <row r="783">
      <c r="A783" s="57"/>
      <c r="B783" s="4"/>
      <c r="C783" s="4"/>
      <c r="D783" s="4"/>
      <c r="E783" s="4"/>
      <c r="F783" s="4"/>
      <c r="G783" s="4"/>
      <c r="H783" s="52"/>
      <c r="I783" s="4"/>
      <c r="J783" s="52"/>
      <c r="K783" s="52"/>
      <c r="L783" s="52"/>
      <c r="M783" s="52"/>
      <c r="N783" s="52"/>
      <c r="O783" s="52"/>
      <c r="P783" s="52"/>
      <c r="Q783" s="52"/>
      <c r="R783" s="4"/>
      <c r="S783" s="4"/>
      <c r="T783" s="4"/>
      <c r="U783" s="74"/>
      <c r="V783" s="3"/>
      <c r="W783" s="3"/>
      <c r="X783" s="3"/>
      <c r="Y783" s="3"/>
      <c r="Z783" s="58"/>
      <c r="AA783" s="3"/>
      <c r="AB783" s="3"/>
      <c r="AC783" s="4"/>
      <c r="AD783" s="4"/>
      <c r="AE783" s="4"/>
      <c r="AF783" s="4"/>
      <c r="AG783" s="4"/>
      <c r="AH783" s="4"/>
      <c r="AI783" s="4"/>
    </row>
    <row r="784">
      <c r="A784" s="57"/>
      <c r="B784" s="4"/>
      <c r="C784" s="4"/>
      <c r="D784" s="4"/>
      <c r="E784" s="4"/>
      <c r="F784" s="4"/>
      <c r="G784" s="4"/>
      <c r="H784" s="52"/>
      <c r="I784" s="4"/>
      <c r="J784" s="52"/>
      <c r="K784" s="52"/>
      <c r="L784" s="52"/>
      <c r="M784" s="52"/>
      <c r="N784" s="52"/>
      <c r="O784" s="52"/>
      <c r="P784" s="52"/>
      <c r="Q784" s="52"/>
      <c r="R784" s="4"/>
      <c r="S784" s="4"/>
      <c r="T784" s="4"/>
      <c r="U784" s="74"/>
      <c r="V784" s="3"/>
      <c r="W784" s="3"/>
      <c r="X784" s="3"/>
      <c r="Y784" s="3"/>
      <c r="Z784" s="58"/>
      <c r="AA784" s="3"/>
      <c r="AB784" s="3"/>
      <c r="AC784" s="4"/>
      <c r="AD784" s="4"/>
      <c r="AE784" s="4"/>
      <c r="AF784" s="4"/>
      <c r="AG784" s="4"/>
      <c r="AH784" s="4"/>
      <c r="AI784" s="4"/>
    </row>
    <row r="785">
      <c r="A785" s="57"/>
      <c r="B785" s="4"/>
      <c r="C785" s="4"/>
      <c r="D785" s="4"/>
      <c r="E785" s="4"/>
      <c r="F785" s="4"/>
      <c r="G785" s="4"/>
      <c r="H785" s="52"/>
      <c r="I785" s="4"/>
      <c r="J785" s="52"/>
      <c r="K785" s="52"/>
      <c r="L785" s="52"/>
      <c r="M785" s="52"/>
      <c r="N785" s="52"/>
      <c r="O785" s="52"/>
      <c r="P785" s="52"/>
      <c r="Q785" s="52"/>
      <c r="R785" s="4"/>
      <c r="S785" s="4"/>
      <c r="T785" s="4"/>
      <c r="U785" s="74"/>
      <c r="V785" s="3"/>
      <c r="W785" s="3"/>
      <c r="X785" s="3"/>
      <c r="Y785" s="3"/>
      <c r="Z785" s="58"/>
      <c r="AA785" s="3"/>
      <c r="AB785" s="3"/>
      <c r="AC785" s="4"/>
      <c r="AD785" s="4"/>
      <c r="AE785" s="4"/>
      <c r="AF785" s="4"/>
      <c r="AG785" s="4"/>
      <c r="AH785" s="4"/>
      <c r="AI785" s="4"/>
    </row>
    <row r="786">
      <c r="A786" s="57"/>
      <c r="B786" s="4"/>
      <c r="C786" s="4"/>
      <c r="D786" s="4"/>
      <c r="E786" s="4"/>
      <c r="F786" s="4"/>
      <c r="G786" s="4"/>
      <c r="H786" s="52"/>
      <c r="I786" s="4"/>
      <c r="J786" s="52"/>
      <c r="K786" s="52"/>
      <c r="L786" s="52"/>
      <c r="M786" s="52"/>
      <c r="N786" s="52"/>
      <c r="O786" s="52"/>
      <c r="P786" s="52"/>
      <c r="Q786" s="52"/>
      <c r="R786" s="4"/>
      <c r="S786" s="4"/>
      <c r="T786" s="4"/>
      <c r="U786" s="74"/>
      <c r="V786" s="3"/>
      <c r="W786" s="3"/>
      <c r="X786" s="3"/>
      <c r="Y786" s="3"/>
      <c r="Z786" s="58"/>
      <c r="AA786" s="3"/>
      <c r="AB786" s="3"/>
      <c r="AC786" s="4"/>
      <c r="AD786" s="4"/>
      <c r="AE786" s="4"/>
      <c r="AF786" s="4"/>
      <c r="AG786" s="4"/>
      <c r="AH786" s="4"/>
      <c r="AI786" s="4"/>
    </row>
    <row r="787">
      <c r="A787" s="57"/>
      <c r="B787" s="4"/>
      <c r="C787" s="4"/>
      <c r="D787" s="4"/>
      <c r="E787" s="4"/>
      <c r="F787" s="4"/>
      <c r="G787" s="4"/>
      <c r="H787" s="52"/>
      <c r="I787" s="4"/>
      <c r="J787" s="52"/>
      <c r="K787" s="52"/>
      <c r="L787" s="52"/>
      <c r="M787" s="52"/>
      <c r="N787" s="52"/>
      <c r="O787" s="52"/>
      <c r="P787" s="52"/>
      <c r="Q787" s="52"/>
      <c r="R787" s="4"/>
      <c r="S787" s="4"/>
      <c r="T787" s="4"/>
      <c r="U787" s="74"/>
      <c r="V787" s="3"/>
      <c r="W787" s="3"/>
      <c r="X787" s="3"/>
      <c r="Y787" s="3"/>
      <c r="Z787" s="58"/>
      <c r="AA787" s="3"/>
      <c r="AB787" s="3"/>
      <c r="AC787" s="4"/>
      <c r="AD787" s="4"/>
      <c r="AE787" s="4"/>
      <c r="AF787" s="4"/>
      <c r="AG787" s="4"/>
      <c r="AH787" s="4"/>
      <c r="AI787" s="4"/>
    </row>
    <row r="788">
      <c r="A788" s="57"/>
      <c r="B788" s="4"/>
      <c r="C788" s="4"/>
      <c r="D788" s="4"/>
      <c r="E788" s="4"/>
      <c r="F788" s="4"/>
      <c r="G788" s="4"/>
      <c r="H788" s="52"/>
      <c r="I788" s="4"/>
      <c r="J788" s="52"/>
      <c r="K788" s="52"/>
      <c r="L788" s="52"/>
      <c r="M788" s="52"/>
      <c r="N788" s="52"/>
      <c r="O788" s="52"/>
      <c r="P788" s="52"/>
      <c r="Q788" s="52"/>
      <c r="R788" s="4"/>
      <c r="S788" s="4"/>
      <c r="T788" s="4"/>
      <c r="U788" s="74"/>
      <c r="V788" s="3"/>
      <c r="W788" s="3"/>
      <c r="X788" s="3"/>
      <c r="Y788" s="3"/>
      <c r="Z788" s="58"/>
      <c r="AA788" s="3"/>
      <c r="AB788" s="3"/>
      <c r="AC788" s="4"/>
      <c r="AD788" s="4"/>
      <c r="AE788" s="4"/>
      <c r="AF788" s="4"/>
      <c r="AG788" s="4"/>
      <c r="AH788" s="4"/>
      <c r="AI788" s="4"/>
    </row>
    <row r="789">
      <c r="A789" s="57"/>
      <c r="B789" s="4"/>
      <c r="C789" s="4"/>
      <c r="D789" s="4"/>
      <c r="E789" s="4"/>
      <c r="F789" s="4"/>
      <c r="G789" s="4"/>
      <c r="H789" s="52"/>
      <c r="I789" s="4"/>
      <c r="J789" s="52"/>
      <c r="K789" s="52"/>
      <c r="L789" s="52"/>
      <c r="M789" s="52"/>
      <c r="N789" s="52"/>
      <c r="O789" s="52"/>
      <c r="P789" s="52"/>
      <c r="Q789" s="52"/>
      <c r="R789" s="4"/>
      <c r="S789" s="4"/>
      <c r="T789" s="4"/>
      <c r="U789" s="74"/>
      <c r="V789" s="3"/>
      <c r="W789" s="3"/>
      <c r="X789" s="3"/>
      <c r="Y789" s="3"/>
      <c r="Z789" s="58"/>
      <c r="AA789" s="3"/>
      <c r="AB789" s="3"/>
      <c r="AC789" s="4"/>
      <c r="AD789" s="4"/>
      <c r="AE789" s="4"/>
      <c r="AF789" s="4"/>
      <c r="AG789" s="4"/>
      <c r="AH789" s="4"/>
      <c r="AI789" s="4"/>
    </row>
    <row r="790">
      <c r="A790" s="57"/>
      <c r="B790" s="4"/>
      <c r="C790" s="4"/>
      <c r="D790" s="4"/>
      <c r="E790" s="4"/>
      <c r="F790" s="4"/>
      <c r="G790" s="4"/>
      <c r="H790" s="52"/>
      <c r="I790" s="4"/>
      <c r="J790" s="52"/>
      <c r="K790" s="52"/>
      <c r="L790" s="52"/>
      <c r="M790" s="52"/>
      <c r="N790" s="52"/>
      <c r="O790" s="52"/>
      <c r="P790" s="52"/>
      <c r="Q790" s="52"/>
      <c r="R790" s="4"/>
      <c r="S790" s="4"/>
      <c r="T790" s="4"/>
      <c r="U790" s="74"/>
      <c r="V790" s="3"/>
      <c r="W790" s="3"/>
      <c r="X790" s="3"/>
      <c r="Y790" s="3"/>
      <c r="Z790" s="58"/>
      <c r="AA790" s="3"/>
      <c r="AB790" s="3"/>
      <c r="AC790" s="4"/>
      <c r="AD790" s="4"/>
      <c r="AE790" s="4"/>
      <c r="AF790" s="4"/>
      <c r="AG790" s="4"/>
      <c r="AH790" s="4"/>
      <c r="AI790" s="4"/>
    </row>
    <row r="791">
      <c r="A791" s="57"/>
      <c r="B791" s="4"/>
      <c r="C791" s="4"/>
      <c r="D791" s="4"/>
      <c r="E791" s="4"/>
      <c r="F791" s="4"/>
      <c r="G791" s="4"/>
      <c r="H791" s="52"/>
      <c r="I791" s="4"/>
      <c r="J791" s="52"/>
      <c r="K791" s="52"/>
      <c r="L791" s="52"/>
      <c r="M791" s="52"/>
      <c r="N791" s="52"/>
      <c r="O791" s="52"/>
      <c r="P791" s="52"/>
      <c r="Q791" s="52"/>
      <c r="R791" s="4"/>
      <c r="S791" s="4"/>
      <c r="T791" s="4"/>
      <c r="U791" s="74"/>
      <c r="V791" s="3"/>
      <c r="W791" s="3"/>
      <c r="X791" s="3"/>
      <c r="Y791" s="3"/>
      <c r="Z791" s="58"/>
      <c r="AA791" s="3"/>
      <c r="AB791" s="3"/>
      <c r="AC791" s="4"/>
      <c r="AD791" s="4"/>
      <c r="AE791" s="4"/>
      <c r="AF791" s="4"/>
      <c r="AG791" s="4"/>
      <c r="AH791" s="4"/>
      <c r="AI791" s="4"/>
    </row>
    <row r="792">
      <c r="A792" s="57"/>
      <c r="B792" s="4"/>
      <c r="C792" s="4"/>
      <c r="D792" s="4"/>
      <c r="E792" s="4"/>
      <c r="F792" s="4"/>
      <c r="G792" s="4"/>
      <c r="H792" s="52"/>
      <c r="I792" s="4"/>
      <c r="J792" s="52"/>
      <c r="K792" s="52"/>
      <c r="L792" s="52"/>
      <c r="M792" s="52"/>
      <c r="N792" s="52"/>
      <c r="O792" s="52"/>
      <c r="P792" s="52"/>
      <c r="Q792" s="52"/>
      <c r="R792" s="4"/>
      <c r="S792" s="4"/>
      <c r="T792" s="4"/>
      <c r="U792" s="74"/>
      <c r="V792" s="3"/>
      <c r="W792" s="3"/>
      <c r="X792" s="3"/>
      <c r="Y792" s="3"/>
      <c r="Z792" s="58"/>
      <c r="AA792" s="3"/>
      <c r="AB792" s="3"/>
      <c r="AC792" s="4"/>
      <c r="AD792" s="4"/>
      <c r="AE792" s="4"/>
      <c r="AF792" s="4"/>
      <c r="AG792" s="4"/>
      <c r="AH792" s="4"/>
      <c r="AI792" s="4"/>
    </row>
    <row r="793">
      <c r="A793" s="57"/>
      <c r="B793" s="4"/>
      <c r="C793" s="4"/>
      <c r="D793" s="4"/>
      <c r="E793" s="4"/>
      <c r="F793" s="4"/>
      <c r="G793" s="4"/>
      <c r="H793" s="52"/>
      <c r="I793" s="4"/>
      <c r="J793" s="52"/>
      <c r="K793" s="52"/>
      <c r="L793" s="52"/>
      <c r="M793" s="52"/>
      <c r="N793" s="52"/>
      <c r="O793" s="52"/>
      <c r="P793" s="52"/>
      <c r="Q793" s="52"/>
      <c r="R793" s="4"/>
      <c r="S793" s="4"/>
      <c r="T793" s="4"/>
      <c r="U793" s="74"/>
      <c r="V793" s="3"/>
      <c r="W793" s="3"/>
      <c r="X793" s="3"/>
      <c r="Y793" s="3"/>
      <c r="Z793" s="58"/>
      <c r="AA793" s="3"/>
      <c r="AB793" s="3"/>
      <c r="AC793" s="4"/>
      <c r="AD793" s="4"/>
      <c r="AE793" s="4"/>
      <c r="AF793" s="4"/>
      <c r="AG793" s="4"/>
      <c r="AH793" s="4"/>
      <c r="AI793" s="4"/>
    </row>
    <row r="794">
      <c r="A794" s="57"/>
      <c r="B794" s="4"/>
      <c r="C794" s="4"/>
      <c r="D794" s="4"/>
      <c r="E794" s="4"/>
      <c r="F794" s="4"/>
      <c r="G794" s="4"/>
      <c r="H794" s="52"/>
      <c r="I794" s="4"/>
      <c r="J794" s="52"/>
      <c r="K794" s="52"/>
      <c r="L794" s="52"/>
      <c r="M794" s="52"/>
      <c r="N794" s="52"/>
      <c r="O794" s="52"/>
      <c r="P794" s="52"/>
      <c r="Q794" s="52"/>
      <c r="R794" s="4"/>
      <c r="S794" s="4"/>
      <c r="T794" s="4"/>
      <c r="U794" s="74"/>
      <c r="V794" s="3"/>
      <c r="W794" s="3"/>
      <c r="X794" s="3"/>
      <c r="Y794" s="3"/>
      <c r="Z794" s="58"/>
      <c r="AA794" s="3"/>
      <c r="AB794" s="3"/>
      <c r="AC794" s="4"/>
      <c r="AD794" s="4"/>
      <c r="AE794" s="4"/>
      <c r="AF794" s="4"/>
      <c r="AG794" s="4"/>
      <c r="AH794" s="4"/>
      <c r="AI794" s="4"/>
    </row>
    <row r="795">
      <c r="A795" s="57"/>
      <c r="B795" s="4"/>
      <c r="C795" s="4"/>
      <c r="D795" s="4"/>
      <c r="E795" s="4"/>
      <c r="F795" s="4"/>
      <c r="G795" s="4"/>
      <c r="H795" s="52"/>
      <c r="I795" s="4"/>
      <c r="J795" s="52"/>
      <c r="K795" s="52"/>
      <c r="L795" s="52"/>
      <c r="M795" s="52"/>
      <c r="N795" s="52"/>
      <c r="O795" s="52"/>
      <c r="P795" s="52"/>
      <c r="Q795" s="52"/>
      <c r="R795" s="4"/>
      <c r="S795" s="4"/>
      <c r="T795" s="4"/>
      <c r="U795" s="74"/>
      <c r="V795" s="3"/>
      <c r="W795" s="3"/>
      <c r="X795" s="3"/>
      <c r="Y795" s="3"/>
      <c r="Z795" s="58"/>
      <c r="AA795" s="3"/>
      <c r="AB795" s="3"/>
      <c r="AC795" s="4"/>
      <c r="AD795" s="4"/>
      <c r="AE795" s="4"/>
      <c r="AF795" s="4"/>
      <c r="AG795" s="4"/>
      <c r="AH795" s="4"/>
      <c r="AI795" s="4"/>
    </row>
    <row r="796">
      <c r="A796" s="57"/>
      <c r="B796" s="4"/>
      <c r="C796" s="4"/>
      <c r="D796" s="4"/>
      <c r="E796" s="4"/>
      <c r="F796" s="4"/>
      <c r="G796" s="4"/>
      <c r="H796" s="52"/>
      <c r="I796" s="4"/>
      <c r="J796" s="52"/>
      <c r="K796" s="52"/>
      <c r="L796" s="52"/>
      <c r="M796" s="52"/>
      <c r="N796" s="52"/>
      <c r="O796" s="52"/>
      <c r="P796" s="52"/>
      <c r="Q796" s="52"/>
      <c r="R796" s="4"/>
      <c r="S796" s="4"/>
      <c r="T796" s="4"/>
      <c r="U796" s="74"/>
      <c r="V796" s="3"/>
      <c r="W796" s="3"/>
      <c r="X796" s="3"/>
      <c r="Y796" s="3"/>
      <c r="Z796" s="58"/>
      <c r="AA796" s="3"/>
      <c r="AB796" s="3"/>
      <c r="AC796" s="4"/>
      <c r="AD796" s="4"/>
      <c r="AE796" s="4"/>
      <c r="AF796" s="4"/>
      <c r="AG796" s="4"/>
      <c r="AH796" s="4"/>
      <c r="AI796" s="4"/>
    </row>
    <row r="797">
      <c r="A797" s="57"/>
      <c r="B797" s="4"/>
      <c r="C797" s="4"/>
      <c r="D797" s="4"/>
      <c r="E797" s="4"/>
      <c r="F797" s="4"/>
      <c r="G797" s="4"/>
      <c r="H797" s="52"/>
      <c r="I797" s="4"/>
      <c r="J797" s="52"/>
      <c r="K797" s="52"/>
      <c r="L797" s="52"/>
      <c r="M797" s="52"/>
      <c r="N797" s="52"/>
      <c r="O797" s="52"/>
      <c r="P797" s="52"/>
      <c r="Q797" s="52"/>
      <c r="R797" s="4"/>
      <c r="S797" s="4"/>
      <c r="T797" s="4"/>
      <c r="U797" s="74"/>
      <c r="V797" s="3"/>
      <c r="W797" s="3"/>
      <c r="X797" s="3"/>
      <c r="Y797" s="3"/>
      <c r="Z797" s="58"/>
      <c r="AA797" s="3"/>
      <c r="AB797" s="3"/>
      <c r="AC797" s="4"/>
      <c r="AD797" s="4"/>
      <c r="AE797" s="4"/>
      <c r="AF797" s="4"/>
      <c r="AG797" s="4"/>
      <c r="AH797" s="4"/>
      <c r="AI797" s="4"/>
    </row>
    <row r="798">
      <c r="A798" s="57"/>
      <c r="B798" s="4"/>
      <c r="C798" s="4"/>
      <c r="D798" s="4"/>
      <c r="E798" s="4"/>
      <c r="F798" s="4"/>
      <c r="G798" s="4"/>
      <c r="H798" s="52"/>
      <c r="I798" s="4"/>
      <c r="J798" s="52"/>
      <c r="K798" s="52"/>
      <c r="L798" s="52"/>
      <c r="M798" s="52"/>
      <c r="N798" s="52"/>
      <c r="O798" s="52"/>
      <c r="P798" s="52"/>
      <c r="Q798" s="52"/>
      <c r="R798" s="4"/>
      <c r="S798" s="4"/>
      <c r="T798" s="4"/>
      <c r="U798" s="74"/>
      <c r="V798" s="3"/>
      <c r="W798" s="3"/>
      <c r="X798" s="3"/>
      <c r="Y798" s="3"/>
      <c r="Z798" s="58"/>
      <c r="AA798" s="3"/>
      <c r="AB798" s="3"/>
      <c r="AC798" s="4"/>
      <c r="AD798" s="4"/>
      <c r="AE798" s="4"/>
      <c r="AF798" s="4"/>
      <c r="AG798" s="4"/>
      <c r="AH798" s="4"/>
      <c r="AI798" s="4"/>
    </row>
    <row r="799">
      <c r="A799" s="57"/>
      <c r="B799" s="4"/>
      <c r="C799" s="4"/>
      <c r="D799" s="4"/>
      <c r="E799" s="4"/>
      <c r="F799" s="4"/>
      <c r="G799" s="4"/>
      <c r="H799" s="52"/>
      <c r="I799" s="4"/>
      <c r="J799" s="52"/>
      <c r="K799" s="52"/>
      <c r="L799" s="52"/>
      <c r="M799" s="52"/>
      <c r="N799" s="52"/>
      <c r="O799" s="52"/>
      <c r="P799" s="52"/>
      <c r="Q799" s="52"/>
      <c r="R799" s="4"/>
      <c r="S799" s="4"/>
      <c r="T799" s="4"/>
      <c r="U799" s="74"/>
      <c r="V799" s="3"/>
      <c r="W799" s="3"/>
      <c r="X799" s="3"/>
      <c r="Y799" s="3"/>
      <c r="Z799" s="58"/>
      <c r="AA799" s="3"/>
      <c r="AB799" s="3"/>
      <c r="AC799" s="4"/>
      <c r="AD799" s="4"/>
      <c r="AE799" s="4"/>
      <c r="AF799" s="4"/>
      <c r="AG799" s="4"/>
      <c r="AH799" s="4"/>
      <c r="AI799" s="4"/>
    </row>
    <row r="800">
      <c r="A800" s="57"/>
      <c r="B800" s="4"/>
      <c r="C800" s="4"/>
      <c r="D800" s="4"/>
      <c r="E800" s="4"/>
      <c r="F800" s="4"/>
      <c r="G800" s="4"/>
      <c r="H800" s="52"/>
      <c r="I800" s="4"/>
      <c r="J800" s="52"/>
      <c r="K800" s="52"/>
      <c r="L800" s="52"/>
      <c r="M800" s="52"/>
      <c r="N800" s="52"/>
      <c r="O800" s="52"/>
      <c r="P800" s="52"/>
      <c r="Q800" s="52"/>
      <c r="R800" s="4"/>
      <c r="S800" s="4"/>
      <c r="T800" s="4"/>
      <c r="U800" s="74"/>
      <c r="V800" s="3"/>
      <c r="W800" s="3"/>
      <c r="X800" s="3"/>
      <c r="Y800" s="3"/>
      <c r="Z800" s="58"/>
      <c r="AA800" s="3"/>
      <c r="AB800" s="3"/>
      <c r="AC800" s="4"/>
      <c r="AD800" s="4"/>
      <c r="AE800" s="4"/>
      <c r="AF800" s="4"/>
      <c r="AG800" s="4"/>
      <c r="AH800" s="4"/>
      <c r="AI800" s="4"/>
    </row>
    <row r="801">
      <c r="A801" s="57"/>
      <c r="B801" s="4"/>
      <c r="C801" s="4"/>
      <c r="D801" s="4"/>
      <c r="E801" s="4"/>
      <c r="F801" s="4"/>
      <c r="G801" s="4"/>
      <c r="H801" s="52"/>
      <c r="I801" s="4"/>
      <c r="J801" s="52"/>
      <c r="K801" s="52"/>
      <c r="L801" s="52"/>
      <c r="M801" s="52"/>
      <c r="N801" s="52"/>
      <c r="O801" s="52"/>
      <c r="P801" s="52"/>
      <c r="Q801" s="52"/>
      <c r="R801" s="4"/>
      <c r="S801" s="4"/>
      <c r="T801" s="4"/>
      <c r="U801" s="74"/>
      <c r="V801" s="3"/>
      <c r="W801" s="3"/>
      <c r="X801" s="3"/>
      <c r="Y801" s="3"/>
      <c r="Z801" s="58"/>
      <c r="AA801" s="3"/>
      <c r="AB801" s="3"/>
      <c r="AC801" s="4"/>
      <c r="AD801" s="4"/>
      <c r="AE801" s="4"/>
      <c r="AF801" s="4"/>
      <c r="AG801" s="4"/>
      <c r="AH801" s="4"/>
      <c r="AI801" s="4"/>
    </row>
    <row r="802">
      <c r="A802" s="57"/>
      <c r="B802" s="4"/>
      <c r="C802" s="4"/>
      <c r="D802" s="4"/>
      <c r="E802" s="4"/>
      <c r="F802" s="4"/>
      <c r="G802" s="4"/>
      <c r="H802" s="52"/>
      <c r="I802" s="4"/>
      <c r="J802" s="52"/>
      <c r="K802" s="52"/>
      <c r="L802" s="52"/>
      <c r="M802" s="52"/>
      <c r="N802" s="52"/>
      <c r="O802" s="52"/>
      <c r="P802" s="52"/>
      <c r="Q802" s="52"/>
      <c r="R802" s="4"/>
      <c r="S802" s="4"/>
      <c r="T802" s="4"/>
      <c r="U802" s="74"/>
      <c r="V802" s="3"/>
      <c r="W802" s="3"/>
      <c r="X802" s="3"/>
      <c r="Y802" s="3"/>
      <c r="Z802" s="58"/>
      <c r="AA802" s="3"/>
      <c r="AB802" s="3"/>
      <c r="AC802" s="4"/>
      <c r="AD802" s="4"/>
      <c r="AE802" s="4"/>
      <c r="AF802" s="4"/>
      <c r="AG802" s="4"/>
      <c r="AH802" s="4"/>
      <c r="AI802" s="4"/>
    </row>
    <row r="803">
      <c r="A803" s="57"/>
      <c r="B803" s="4"/>
      <c r="C803" s="4"/>
      <c r="D803" s="4"/>
      <c r="E803" s="4"/>
      <c r="F803" s="4"/>
      <c r="G803" s="4"/>
      <c r="H803" s="52"/>
      <c r="I803" s="4"/>
      <c r="J803" s="52"/>
      <c r="K803" s="52"/>
      <c r="L803" s="52"/>
      <c r="M803" s="52"/>
      <c r="N803" s="52"/>
      <c r="O803" s="52"/>
      <c r="P803" s="52"/>
      <c r="Q803" s="52"/>
      <c r="R803" s="4"/>
      <c r="S803" s="4"/>
      <c r="T803" s="4"/>
      <c r="U803" s="74"/>
      <c r="V803" s="3"/>
      <c r="W803" s="3"/>
      <c r="X803" s="3"/>
      <c r="Y803" s="3"/>
      <c r="Z803" s="58"/>
      <c r="AA803" s="3"/>
      <c r="AB803" s="3"/>
      <c r="AC803" s="4"/>
      <c r="AD803" s="4"/>
      <c r="AE803" s="4"/>
      <c r="AF803" s="4"/>
      <c r="AG803" s="4"/>
      <c r="AH803" s="4"/>
      <c r="AI803" s="4"/>
    </row>
    <row r="804">
      <c r="A804" s="57"/>
      <c r="B804" s="4"/>
      <c r="C804" s="4"/>
      <c r="D804" s="4"/>
      <c r="E804" s="4"/>
      <c r="F804" s="4"/>
      <c r="G804" s="4"/>
      <c r="H804" s="52"/>
      <c r="I804" s="4"/>
      <c r="J804" s="52"/>
      <c r="K804" s="52"/>
      <c r="L804" s="52"/>
      <c r="M804" s="52"/>
      <c r="N804" s="52"/>
      <c r="O804" s="52"/>
      <c r="P804" s="52"/>
      <c r="Q804" s="52"/>
      <c r="R804" s="4"/>
      <c r="S804" s="4"/>
      <c r="T804" s="4"/>
      <c r="U804" s="74"/>
      <c r="V804" s="3"/>
      <c r="W804" s="3"/>
      <c r="X804" s="3"/>
      <c r="Y804" s="3"/>
      <c r="Z804" s="58"/>
      <c r="AA804" s="3"/>
      <c r="AB804" s="3"/>
      <c r="AC804" s="4"/>
      <c r="AD804" s="4"/>
      <c r="AE804" s="4"/>
      <c r="AF804" s="4"/>
      <c r="AG804" s="4"/>
      <c r="AH804" s="4"/>
      <c r="AI804" s="4"/>
    </row>
    <row r="805">
      <c r="A805" s="57"/>
      <c r="B805" s="4"/>
      <c r="C805" s="4"/>
      <c r="D805" s="4"/>
      <c r="E805" s="4"/>
      <c r="F805" s="4"/>
      <c r="G805" s="4"/>
      <c r="H805" s="52"/>
      <c r="I805" s="4"/>
      <c r="J805" s="52"/>
      <c r="K805" s="52"/>
      <c r="L805" s="52"/>
      <c r="M805" s="52"/>
      <c r="N805" s="52"/>
      <c r="O805" s="52"/>
      <c r="P805" s="52"/>
      <c r="Q805" s="52"/>
      <c r="R805" s="4"/>
      <c r="S805" s="4"/>
      <c r="T805" s="4"/>
      <c r="U805" s="74"/>
      <c r="V805" s="3"/>
      <c r="W805" s="3"/>
      <c r="X805" s="3"/>
      <c r="Y805" s="3"/>
      <c r="Z805" s="58"/>
      <c r="AA805" s="3"/>
      <c r="AB805" s="3"/>
      <c r="AC805" s="4"/>
      <c r="AD805" s="4"/>
      <c r="AE805" s="4"/>
      <c r="AF805" s="4"/>
      <c r="AG805" s="4"/>
      <c r="AH805" s="4"/>
      <c r="AI805" s="4"/>
    </row>
    <row r="806">
      <c r="A806" s="57"/>
      <c r="B806" s="4"/>
      <c r="C806" s="4"/>
      <c r="D806" s="4"/>
      <c r="E806" s="4"/>
      <c r="F806" s="4"/>
      <c r="G806" s="4"/>
      <c r="H806" s="52"/>
      <c r="I806" s="4"/>
      <c r="J806" s="52"/>
      <c r="K806" s="52"/>
      <c r="L806" s="52"/>
      <c r="M806" s="52"/>
      <c r="N806" s="52"/>
      <c r="O806" s="52"/>
      <c r="P806" s="52"/>
      <c r="Q806" s="52"/>
      <c r="R806" s="4"/>
      <c r="S806" s="4"/>
      <c r="T806" s="4"/>
      <c r="U806" s="74"/>
      <c r="V806" s="3"/>
      <c r="W806" s="3"/>
      <c r="X806" s="3"/>
      <c r="Y806" s="3"/>
      <c r="Z806" s="58"/>
      <c r="AA806" s="3"/>
      <c r="AB806" s="3"/>
      <c r="AC806" s="4"/>
      <c r="AD806" s="4"/>
      <c r="AE806" s="4"/>
      <c r="AF806" s="4"/>
      <c r="AG806" s="4"/>
      <c r="AH806" s="4"/>
      <c r="AI806" s="4"/>
    </row>
    <row r="807">
      <c r="A807" s="57"/>
      <c r="B807" s="4"/>
      <c r="C807" s="4"/>
      <c r="D807" s="4"/>
      <c r="E807" s="4"/>
      <c r="F807" s="4"/>
      <c r="G807" s="4"/>
      <c r="H807" s="52"/>
      <c r="I807" s="4"/>
      <c r="J807" s="52"/>
      <c r="K807" s="52"/>
      <c r="L807" s="52"/>
      <c r="M807" s="52"/>
      <c r="N807" s="52"/>
      <c r="O807" s="52"/>
      <c r="P807" s="52"/>
      <c r="Q807" s="52"/>
      <c r="R807" s="4"/>
      <c r="S807" s="4"/>
      <c r="T807" s="4"/>
      <c r="U807" s="74"/>
      <c r="V807" s="3"/>
      <c r="W807" s="3"/>
      <c r="X807" s="3"/>
      <c r="Y807" s="3"/>
      <c r="Z807" s="58"/>
      <c r="AA807" s="3"/>
      <c r="AB807" s="3"/>
      <c r="AC807" s="4"/>
      <c r="AD807" s="4"/>
      <c r="AE807" s="4"/>
      <c r="AF807" s="4"/>
      <c r="AG807" s="4"/>
      <c r="AH807" s="4"/>
      <c r="AI807" s="4"/>
    </row>
    <row r="808">
      <c r="A808" s="57"/>
      <c r="B808" s="4"/>
      <c r="C808" s="4"/>
      <c r="D808" s="4"/>
      <c r="E808" s="4"/>
      <c r="F808" s="4"/>
      <c r="G808" s="4"/>
      <c r="H808" s="52"/>
      <c r="I808" s="4"/>
      <c r="J808" s="52"/>
      <c r="K808" s="52"/>
      <c r="L808" s="52"/>
      <c r="M808" s="52"/>
      <c r="N808" s="52"/>
      <c r="O808" s="52"/>
      <c r="P808" s="52"/>
      <c r="Q808" s="52"/>
      <c r="R808" s="4"/>
      <c r="S808" s="4"/>
      <c r="T808" s="4"/>
      <c r="U808" s="74"/>
      <c r="V808" s="3"/>
      <c r="W808" s="3"/>
      <c r="X808" s="3"/>
      <c r="Y808" s="3"/>
      <c r="Z808" s="58"/>
      <c r="AA808" s="3"/>
      <c r="AB808" s="3"/>
      <c r="AC808" s="4"/>
      <c r="AD808" s="4"/>
      <c r="AE808" s="4"/>
      <c r="AF808" s="4"/>
      <c r="AG808" s="4"/>
      <c r="AH808" s="4"/>
      <c r="AI808" s="4"/>
    </row>
    <row r="809">
      <c r="A809" s="57"/>
      <c r="B809" s="4"/>
      <c r="C809" s="4"/>
      <c r="D809" s="4"/>
      <c r="E809" s="4"/>
      <c r="F809" s="4"/>
      <c r="G809" s="4"/>
      <c r="H809" s="52"/>
      <c r="I809" s="4"/>
      <c r="J809" s="52"/>
      <c r="K809" s="52"/>
      <c r="L809" s="52"/>
      <c r="M809" s="52"/>
      <c r="N809" s="52"/>
      <c r="O809" s="52"/>
      <c r="P809" s="52"/>
      <c r="Q809" s="52"/>
      <c r="R809" s="4"/>
      <c r="S809" s="4"/>
      <c r="T809" s="4"/>
      <c r="U809" s="74"/>
      <c r="V809" s="3"/>
      <c r="W809" s="3"/>
      <c r="X809" s="3"/>
      <c r="Y809" s="3"/>
      <c r="Z809" s="58"/>
      <c r="AA809" s="3"/>
      <c r="AB809" s="3"/>
      <c r="AC809" s="4"/>
      <c r="AD809" s="4"/>
      <c r="AE809" s="4"/>
      <c r="AF809" s="4"/>
      <c r="AG809" s="4"/>
      <c r="AH809" s="4"/>
      <c r="AI809" s="4"/>
    </row>
    <row r="810">
      <c r="A810" s="57"/>
      <c r="B810" s="4"/>
      <c r="C810" s="4"/>
      <c r="D810" s="4"/>
      <c r="E810" s="4"/>
      <c r="F810" s="4"/>
      <c r="G810" s="4"/>
      <c r="H810" s="52"/>
      <c r="I810" s="4"/>
      <c r="J810" s="52"/>
      <c r="K810" s="52"/>
      <c r="L810" s="52"/>
      <c r="M810" s="52"/>
      <c r="N810" s="52"/>
      <c r="O810" s="52"/>
      <c r="P810" s="52"/>
      <c r="Q810" s="52"/>
      <c r="R810" s="4"/>
      <c r="S810" s="4"/>
      <c r="T810" s="4"/>
      <c r="U810" s="74"/>
      <c r="V810" s="3"/>
      <c r="W810" s="3"/>
      <c r="X810" s="3"/>
      <c r="Y810" s="3"/>
      <c r="Z810" s="58"/>
      <c r="AA810" s="3"/>
      <c r="AB810" s="3"/>
      <c r="AC810" s="4"/>
      <c r="AD810" s="4"/>
      <c r="AE810" s="4"/>
      <c r="AF810" s="4"/>
      <c r="AG810" s="4"/>
      <c r="AH810" s="4"/>
      <c r="AI810" s="4"/>
    </row>
    <row r="811">
      <c r="A811" s="57"/>
      <c r="B811" s="4"/>
      <c r="C811" s="4"/>
      <c r="D811" s="4"/>
      <c r="E811" s="4"/>
      <c r="F811" s="4"/>
      <c r="G811" s="4"/>
      <c r="H811" s="52"/>
      <c r="I811" s="4"/>
      <c r="J811" s="52"/>
      <c r="K811" s="52"/>
      <c r="L811" s="52"/>
      <c r="M811" s="52"/>
      <c r="N811" s="52"/>
      <c r="O811" s="52"/>
      <c r="P811" s="52"/>
      <c r="Q811" s="52"/>
      <c r="R811" s="4"/>
      <c r="S811" s="4"/>
      <c r="T811" s="4"/>
      <c r="U811" s="74"/>
      <c r="V811" s="3"/>
      <c r="W811" s="3"/>
      <c r="X811" s="3"/>
      <c r="Y811" s="3"/>
      <c r="Z811" s="58"/>
      <c r="AA811" s="3"/>
      <c r="AB811" s="3"/>
      <c r="AC811" s="4"/>
      <c r="AD811" s="4"/>
      <c r="AE811" s="4"/>
      <c r="AF811" s="4"/>
      <c r="AG811" s="4"/>
      <c r="AH811" s="4"/>
      <c r="AI811" s="4"/>
    </row>
    <row r="812">
      <c r="A812" s="57"/>
      <c r="B812" s="4"/>
      <c r="C812" s="4"/>
      <c r="D812" s="4"/>
      <c r="E812" s="4"/>
      <c r="F812" s="4"/>
      <c r="G812" s="4"/>
      <c r="H812" s="52"/>
      <c r="I812" s="4"/>
      <c r="J812" s="52"/>
      <c r="K812" s="52"/>
      <c r="L812" s="52"/>
      <c r="M812" s="52"/>
      <c r="N812" s="52"/>
      <c r="O812" s="52"/>
      <c r="P812" s="52"/>
      <c r="Q812" s="52"/>
      <c r="R812" s="4"/>
      <c r="S812" s="4"/>
      <c r="T812" s="4"/>
      <c r="U812" s="74"/>
      <c r="V812" s="3"/>
      <c r="W812" s="3"/>
      <c r="X812" s="3"/>
      <c r="Y812" s="3"/>
      <c r="Z812" s="58"/>
      <c r="AA812" s="3"/>
      <c r="AB812" s="3"/>
      <c r="AC812" s="4"/>
      <c r="AD812" s="4"/>
      <c r="AE812" s="4"/>
      <c r="AF812" s="4"/>
      <c r="AG812" s="4"/>
      <c r="AH812" s="4"/>
      <c r="AI812" s="4"/>
    </row>
    <row r="813">
      <c r="A813" s="57"/>
      <c r="B813" s="4"/>
      <c r="C813" s="4"/>
      <c r="D813" s="4"/>
      <c r="E813" s="4"/>
      <c r="F813" s="4"/>
      <c r="G813" s="4"/>
      <c r="H813" s="52"/>
      <c r="I813" s="4"/>
      <c r="J813" s="52"/>
      <c r="K813" s="52"/>
      <c r="L813" s="52"/>
      <c r="M813" s="52"/>
      <c r="N813" s="52"/>
      <c r="O813" s="52"/>
      <c r="P813" s="52"/>
      <c r="Q813" s="52"/>
      <c r="R813" s="4"/>
      <c r="S813" s="4"/>
      <c r="T813" s="4"/>
      <c r="U813" s="74"/>
      <c r="V813" s="3"/>
      <c r="W813" s="3"/>
      <c r="X813" s="3"/>
      <c r="Y813" s="3"/>
      <c r="Z813" s="58"/>
      <c r="AA813" s="3"/>
      <c r="AB813" s="3"/>
      <c r="AC813" s="4"/>
      <c r="AD813" s="4"/>
      <c r="AE813" s="4"/>
      <c r="AF813" s="4"/>
      <c r="AG813" s="4"/>
      <c r="AH813" s="4"/>
      <c r="AI813" s="4"/>
    </row>
    <row r="814">
      <c r="A814" s="57"/>
      <c r="B814" s="4"/>
      <c r="C814" s="4"/>
      <c r="D814" s="4"/>
      <c r="E814" s="4"/>
      <c r="F814" s="4"/>
      <c r="G814" s="4"/>
      <c r="H814" s="52"/>
      <c r="I814" s="4"/>
      <c r="J814" s="52"/>
      <c r="K814" s="52"/>
      <c r="L814" s="52"/>
      <c r="M814" s="52"/>
      <c r="N814" s="52"/>
      <c r="O814" s="52"/>
      <c r="P814" s="52"/>
      <c r="Q814" s="52"/>
      <c r="R814" s="4"/>
      <c r="S814" s="4"/>
      <c r="T814" s="4"/>
      <c r="U814" s="74"/>
      <c r="V814" s="3"/>
      <c r="W814" s="3"/>
      <c r="X814" s="3"/>
      <c r="Y814" s="3"/>
      <c r="Z814" s="58"/>
      <c r="AA814" s="3"/>
      <c r="AB814" s="3"/>
      <c r="AC814" s="4"/>
      <c r="AD814" s="4"/>
      <c r="AE814" s="4"/>
      <c r="AF814" s="4"/>
      <c r="AG814" s="4"/>
      <c r="AH814" s="4"/>
      <c r="AI814" s="4"/>
    </row>
    <row r="815">
      <c r="A815" s="57"/>
      <c r="B815" s="4"/>
      <c r="C815" s="4"/>
      <c r="D815" s="4"/>
      <c r="E815" s="4"/>
      <c r="F815" s="4"/>
      <c r="G815" s="4"/>
      <c r="H815" s="52"/>
      <c r="I815" s="4"/>
      <c r="J815" s="52"/>
      <c r="K815" s="52"/>
      <c r="L815" s="52"/>
      <c r="M815" s="52"/>
      <c r="N815" s="52"/>
      <c r="O815" s="52"/>
      <c r="P815" s="52"/>
      <c r="Q815" s="52"/>
      <c r="R815" s="4"/>
      <c r="S815" s="4"/>
      <c r="T815" s="4"/>
      <c r="U815" s="74"/>
      <c r="V815" s="3"/>
      <c r="W815" s="3"/>
      <c r="X815" s="3"/>
      <c r="Y815" s="3"/>
      <c r="Z815" s="58"/>
      <c r="AA815" s="3"/>
      <c r="AB815" s="3"/>
      <c r="AC815" s="4"/>
      <c r="AD815" s="4"/>
      <c r="AE815" s="4"/>
      <c r="AF815" s="4"/>
      <c r="AG815" s="4"/>
      <c r="AH815" s="4"/>
      <c r="AI815" s="4"/>
    </row>
    <row r="816">
      <c r="A816" s="57"/>
      <c r="B816" s="4"/>
      <c r="C816" s="4"/>
      <c r="D816" s="4"/>
      <c r="E816" s="4"/>
      <c r="F816" s="4"/>
      <c r="G816" s="4"/>
      <c r="H816" s="52"/>
      <c r="I816" s="4"/>
      <c r="J816" s="52"/>
      <c r="K816" s="52"/>
      <c r="L816" s="52"/>
      <c r="M816" s="52"/>
      <c r="N816" s="52"/>
      <c r="O816" s="52"/>
      <c r="P816" s="52"/>
      <c r="Q816" s="52"/>
      <c r="R816" s="4"/>
      <c r="S816" s="4"/>
      <c r="T816" s="4"/>
      <c r="U816" s="74"/>
      <c r="V816" s="3"/>
      <c r="W816" s="3"/>
      <c r="X816" s="3"/>
      <c r="Y816" s="3"/>
      <c r="Z816" s="58"/>
      <c r="AA816" s="3"/>
      <c r="AB816" s="3"/>
      <c r="AC816" s="4"/>
      <c r="AD816" s="4"/>
      <c r="AE816" s="4"/>
      <c r="AF816" s="4"/>
      <c r="AG816" s="4"/>
      <c r="AH816" s="4"/>
      <c r="AI816" s="4"/>
    </row>
    <row r="817">
      <c r="A817" s="57"/>
      <c r="B817" s="4"/>
      <c r="C817" s="4"/>
      <c r="D817" s="4"/>
      <c r="E817" s="4"/>
      <c r="F817" s="4"/>
      <c r="G817" s="4"/>
      <c r="H817" s="52"/>
      <c r="I817" s="4"/>
      <c r="J817" s="52"/>
      <c r="K817" s="52"/>
      <c r="L817" s="52"/>
      <c r="M817" s="52"/>
      <c r="N817" s="52"/>
      <c r="O817" s="52"/>
      <c r="P817" s="52"/>
      <c r="Q817" s="52"/>
      <c r="R817" s="4"/>
      <c r="S817" s="4"/>
      <c r="T817" s="4"/>
      <c r="U817" s="74"/>
      <c r="V817" s="3"/>
      <c r="W817" s="3"/>
      <c r="X817" s="3"/>
      <c r="Y817" s="3"/>
      <c r="Z817" s="58"/>
      <c r="AA817" s="3"/>
      <c r="AB817" s="3"/>
      <c r="AC817" s="4"/>
      <c r="AD817" s="4"/>
      <c r="AE817" s="4"/>
      <c r="AF817" s="4"/>
      <c r="AG817" s="4"/>
      <c r="AH817" s="4"/>
      <c r="AI817" s="4"/>
    </row>
    <row r="818">
      <c r="A818" s="57"/>
      <c r="B818" s="4"/>
      <c r="C818" s="4"/>
      <c r="D818" s="4"/>
      <c r="E818" s="4"/>
      <c r="F818" s="4"/>
      <c r="G818" s="4"/>
      <c r="H818" s="52"/>
      <c r="I818" s="4"/>
      <c r="J818" s="52"/>
      <c r="K818" s="52"/>
      <c r="L818" s="52"/>
      <c r="M818" s="52"/>
      <c r="N818" s="52"/>
      <c r="O818" s="52"/>
      <c r="P818" s="52"/>
      <c r="Q818" s="52"/>
      <c r="R818" s="4"/>
      <c r="S818" s="4"/>
      <c r="T818" s="4"/>
      <c r="U818" s="74"/>
      <c r="V818" s="3"/>
      <c r="W818" s="3"/>
      <c r="X818" s="3"/>
      <c r="Y818" s="3"/>
      <c r="Z818" s="58"/>
      <c r="AA818" s="3"/>
      <c r="AB818" s="3"/>
      <c r="AC818" s="4"/>
      <c r="AD818" s="4"/>
      <c r="AE818" s="4"/>
      <c r="AF818" s="4"/>
      <c r="AG818" s="4"/>
      <c r="AH818" s="4"/>
      <c r="AI818" s="4"/>
    </row>
    <row r="819">
      <c r="A819" s="57"/>
      <c r="B819" s="4"/>
      <c r="C819" s="4"/>
      <c r="D819" s="4"/>
      <c r="E819" s="4"/>
      <c r="F819" s="4"/>
      <c r="G819" s="4"/>
      <c r="H819" s="52"/>
      <c r="I819" s="4"/>
      <c r="J819" s="52"/>
      <c r="K819" s="52"/>
      <c r="L819" s="52"/>
      <c r="M819" s="52"/>
      <c r="N819" s="52"/>
      <c r="O819" s="52"/>
      <c r="P819" s="52"/>
      <c r="Q819" s="52"/>
      <c r="R819" s="4"/>
      <c r="S819" s="4"/>
      <c r="T819" s="4"/>
      <c r="U819" s="74"/>
      <c r="V819" s="3"/>
      <c r="W819" s="3"/>
      <c r="X819" s="3"/>
      <c r="Y819" s="3"/>
      <c r="Z819" s="58"/>
      <c r="AA819" s="3"/>
      <c r="AB819" s="3"/>
      <c r="AC819" s="4"/>
      <c r="AD819" s="4"/>
      <c r="AE819" s="4"/>
      <c r="AF819" s="4"/>
      <c r="AG819" s="4"/>
      <c r="AH819" s="4"/>
      <c r="AI819" s="4"/>
    </row>
    <row r="820">
      <c r="A820" s="57"/>
      <c r="B820" s="4"/>
      <c r="C820" s="4"/>
      <c r="D820" s="4"/>
      <c r="E820" s="4"/>
      <c r="F820" s="4"/>
      <c r="G820" s="4"/>
      <c r="H820" s="52"/>
      <c r="I820" s="4"/>
      <c r="J820" s="52"/>
      <c r="K820" s="52"/>
      <c r="L820" s="52"/>
      <c r="M820" s="52"/>
      <c r="N820" s="52"/>
      <c r="O820" s="52"/>
      <c r="P820" s="52"/>
      <c r="Q820" s="52"/>
      <c r="R820" s="4"/>
      <c r="S820" s="4"/>
      <c r="T820" s="4"/>
      <c r="U820" s="74"/>
      <c r="V820" s="3"/>
      <c r="W820" s="3"/>
      <c r="X820" s="3"/>
      <c r="Y820" s="3"/>
      <c r="Z820" s="58"/>
      <c r="AA820" s="3"/>
      <c r="AB820" s="3"/>
      <c r="AC820" s="4"/>
      <c r="AD820" s="4"/>
      <c r="AE820" s="4"/>
      <c r="AF820" s="4"/>
      <c r="AG820" s="4"/>
      <c r="AH820" s="4"/>
      <c r="AI820" s="4"/>
    </row>
    <row r="821">
      <c r="A821" s="57"/>
      <c r="B821" s="4"/>
      <c r="C821" s="4"/>
      <c r="D821" s="4"/>
      <c r="E821" s="4"/>
      <c r="F821" s="4"/>
      <c r="G821" s="4"/>
      <c r="H821" s="52"/>
      <c r="I821" s="4"/>
      <c r="J821" s="52"/>
      <c r="K821" s="52"/>
      <c r="L821" s="52"/>
      <c r="M821" s="52"/>
      <c r="N821" s="52"/>
      <c r="O821" s="52"/>
      <c r="P821" s="52"/>
      <c r="Q821" s="52"/>
      <c r="R821" s="4"/>
      <c r="S821" s="4"/>
      <c r="T821" s="4"/>
      <c r="U821" s="74"/>
      <c r="V821" s="3"/>
      <c r="W821" s="3"/>
      <c r="X821" s="3"/>
      <c r="Y821" s="3"/>
      <c r="Z821" s="58"/>
      <c r="AA821" s="3"/>
      <c r="AB821" s="3"/>
      <c r="AC821" s="4"/>
      <c r="AD821" s="4"/>
      <c r="AE821" s="4"/>
      <c r="AF821" s="4"/>
      <c r="AG821" s="4"/>
      <c r="AH821" s="4"/>
      <c r="AI821" s="4"/>
    </row>
    <row r="822">
      <c r="A822" s="57"/>
      <c r="B822" s="4"/>
      <c r="C822" s="4"/>
      <c r="D822" s="4"/>
      <c r="E822" s="4"/>
      <c r="F822" s="4"/>
      <c r="G822" s="4"/>
      <c r="H822" s="52"/>
      <c r="I822" s="4"/>
      <c r="J822" s="52"/>
      <c r="K822" s="52"/>
      <c r="L822" s="52"/>
      <c r="M822" s="52"/>
      <c r="N822" s="52"/>
      <c r="O822" s="52"/>
      <c r="P822" s="52"/>
      <c r="Q822" s="52"/>
      <c r="R822" s="4"/>
      <c r="S822" s="4"/>
      <c r="T822" s="4"/>
      <c r="U822" s="74"/>
      <c r="V822" s="3"/>
      <c r="W822" s="3"/>
      <c r="X822" s="3"/>
      <c r="Y822" s="3"/>
      <c r="Z822" s="58"/>
      <c r="AA822" s="3"/>
      <c r="AB822" s="3"/>
      <c r="AC822" s="4"/>
      <c r="AD822" s="4"/>
      <c r="AE822" s="4"/>
      <c r="AF822" s="4"/>
      <c r="AG822" s="4"/>
      <c r="AH822" s="4"/>
      <c r="AI822" s="4"/>
    </row>
    <row r="823">
      <c r="A823" s="57"/>
      <c r="B823" s="4"/>
      <c r="C823" s="4"/>
      <c r="D823" s="4"/>
      <c r="E823" s="4"/>
      <c r="F823" s="4"/>
      <c r="G823" s="4"/>
      <c r="H823" s="52"/>
      <c r="I823" s="4"/>
      <c r="J823" s="52"/>
      <c r="K823" s="52"/>
      <c r="L823" s="52"/>
      <c r="M823" s="52"/>
      <c r="N823" s="52"/>
      <c r="O823" s="52"/>
      <c r="P823" s="52"/>
      <c r="Q823" s="52"/>
      <c r="R823" s="4"/>
      <c r="S823" s="4"/>
      <c r="T823" s="4"/>
      <c r="U823" s="74"/>
      <c r="V823" s="3"/>
      <c r="W823" s="3"/>
      <c r="X823" s="3"/>
      <c r="Y823" s="3"/>
      <c r="Z823" s="58"/>
      <c r="AA823" s="3"/>
      <c r="AB823" s="3"/>
      <c r="AC823" s="4"/>
      <c r="AD823" s="4"/>
      <c r="AE823" s="4"/>
      <c r="AF823" s="4"/>
      <c r="AG823" s="4"/>
      <c r="AH823" s="4"/>
      <c r="AI823" s="4"/>
    </row>
    <row r="824">
      <c r="A824" s="57"/>
      <c r="B824" s="4"/>
      <c r="C824" s="4"/>
      <c r="D824" s="4"/>
      <c r="E824" s="4"/>
      <c r="F824" s="4"/>
      <c r="G824" s="4"/>
      <c r="H824" s="52"/>
      <c r="I824" s="4"/>
      <c r="J824" s="52"/>
      <c r="K824" s="52"/>
      <c r="L824" s="52"/>
      <c r="M824" s="52"/>
      <c r="N824" s="52"/>
      <c r="O824" s="52"/>
      <c r="P824" s="52"/>
      <c r="Q824" s="52"/>
      <c r="R824" s="4"/>
      <c r="S824" s="4"/>
      <c r="T824" s="4"/>
      <c r="U824" s="74"/>
      <c r="V824" s="3"/>
      <c r="W824" s="3"/>
      <c r="X824" s="3"/>
      <c r="Y824" s="3"/>
      <c r="Z824" s="58"/>
      <c r="AA824" s="3"/>
      <c r="AB824" s="3"/>
      <c r="AC824" s="4"/>
      <c r="AD824" s="4"/>
      <c r="AE824" s="4"/>
      <c r="AF824" s="4"/>
      <c r="AG824" s="4"/>
      <c r="AH824" s="4"/>
      <c r="AI824" s="4"/>
    </row>
    <row r="825">
      <c r="A825" s="57"/>
      <c r="B825" s="4"/>
      <c r="C825" s="4"/>
      <c r="D825" s="4"/>
      <c r="E825" s="4"/>
      <c r="F825" s="4"/>
      <c r="G825" s="4"/>
      <c r="H825" s="52"/>
      <c r="I825" s="4"/>
      <c r="J825" s="52"/>
      <c r="K825" s="52"/>
      <c r="L825" s="52"/>
      <c r="M825" s="52"/>
      <c r="N825" s="52"/>
      <c r="O825" s="52"/>
      <c r="P825" s="52"/>
      <c r="Q825" s="52"/>
      <c r="R825" s="4"/>
      <c r="S825" s="4"/>
      <c r="T825" s="4"/>
      <c r="U825" s="74"/>
      <c r="V825" s="3"/>
      <c r="W825" s="3"/>
      <c r="X825" s="3"/>
      <c r="Y825" s="3"/>
      <c r="Z825" s="58"/>
      <c r="AA825" s="3"/>
      <c r="AB825" s="3"/>
      <c r="AC825" s="4"/>
      <c r="AD825" s="4"/>
      <c r="AE825" s="4"/>
      <c r="AF825" s="4"/>
      <c r="AG825" s="4"/>
      <c r="AH825" s="4"/>
      <c r="AI825" s="4"/>
    </row>
    <row r="826">
      <c r="A826" s="57"/>
      <c r="B826" s="4"/>
      <c r="C826" s="4"/>
      <c r="D826" s="4"/>
      <c r="E826" s="4"/>
      <c r="F826" s="4"/>
      <c r="G826" s="4"/>
      <c r="H826" s="52"/>
      <c r="I826" s="4"/>
      <c r="J826" s="52"/>
      <c r="K826" s="52"/>
      <c r="L826" s="52"/>
      <c r="M826" s="52"/>
      <c r="N826" s="52"/>
      <c r="O826" s="52"/>
      <c r="P826" s="52"/>
      <c r="Q826" s="52"/>
      <c r="R826" s="4"/>
      <c r="S826" s="4"/>
      <c r="T826" s="4"/>
      <c r="U826" s="74"/>
      <c r="V826" s="3"/>
      <c r="W826" s="3"/>
      <c r="X826" s="3"/>
      <c r="Y826" s="3"/>
      <c r="Z826" s="58"/>
      <c r="AA826" s="3"/>
      <c r="AB826" s="3"/>
      <c r="AC826" s="4"/>
      <c r="AD826" s="4"/>
      <c r="AE826" s="4"/>
      <c r="AF826" s="4"/>
      <c r="AG826" s="4"/>
      <c r="AH826" s="4"/>
      <c r="AI826" s="4"/>
    </row>
    <row r="827">
      <c r="A827" s="57"/>
      <c r="B827" s="4"/>
      <c r="C827" s="4"/>
      <c r="D827" s="4"/>
      <c r="E827" s="4"/>
      <c r="F827" s="4"/>
      <c r="G827" s="4"/>
      <c r="H827" s="52"/>
      <c r="I827" s="4"/>
      <c r="J827" s="52"/>
      <c r="K827" s="52"/>
      <c r="L827" s="52"/>
      <c r="M827" s="52"/>
      <c r="N827" s="52"/>
      <c r="O827" s="52"/>
      <c r="P827" s="52"/>
      <c r="Q827" s="52"/>
      <c r="R827" s="4"/>
      <c r="S827" s="4"/>
      <c r="T827" s="4"/>
      <c r="U827" s="74"/>
      <c r="V827" s="3"/>
      <c r="W827" s="3"/>
      <c r="X827" s="3"/>
      <c r="Y827" s="3"/>
      <c r="Z827" s="58"/>
      <c r="AA827" s="3"/>
      <c r="AB827" s="3"/>
      <c r="AC827" s="4"/>
      <c r="AD827" s="4"/>
      <c r="AE827" s="4"/>
      <c r="AF827" s="4"/>
      <c r="AG827" s="4"/>
      <c r="AH827" s="4"/>
      <c r="AI827" s="4"/>
    </row>
    <row r="828">
      <c r="A828" s="57"/>
      <c r="B828" s="4"/>
      <c r="C828" s="4"/>
      <c r="D828" s="4"/>
      <c r="E828" s="4"/>
      <c r="F828" s="4"/>
      <c r="G828" s="4"/>
      <c r="H828" s="52"/>
      <c r="I828" s="4"/>
      <c r="J828" s="52"/>
      <c r="K828" s="52"/>
      <c r="L828" s="52"/>
      <c r="M828" s="52"/>
      <c r="N828" s="52"/>
      <c r="O828" s="52"/>
      <c r="P828" s="52"/>
      <c r="Q828" s="52"/>
      <c r="R828" s="4"/>
      <c r="S828" s="4"/>
      <c r="T828" s="4"/>
      <c r="U828" s="74"/>
      <c r="V828" s="3"/>
      <c r="W828" s="3"/>
      <c r="X828" s="3"/>
      <c r="Y828" s="3"/>
      <c r="Z828" s="58"/>
      <c r="AA828" s="3"/>
      <c r="AB828" s="3"/>
      <c r="AC828" s="4"/>
      <c r="AD828" s="4"/>
      <c r="AE828" s="4"/>
      <c r="AF828" s="4"/>
      <c r="AG828" s="4"/>
      <c r="AH828" s="4"/>
      <c r="AI828" s="4"/>
    </row>
    <row r="829">
      <c r="A829" s="57"/>
      <c r="B829" s="4"/>
      <c r="C829" s="4"/>
      <c r="D829" s="4"/>
      <c r="E829" s="4"/>
      <c r="F829" s="4"/>
      <c r="G829" s="4"/>
      <c r="H829" s="52"/>
      <c r="I829" s="4"/>
      <c r="J829" s="52"/>
      <c r="K829" s="52"/>
      <c r="L829" s="52"/>
      <c r="M829" s="52"/>
      <c r="N829" s="52"/>
      <c r="O829" s="52"/>
      <c r="P829" s="52"/>
      <c r="Q829" s="52"/>
      <c r="R829" s="4"/>
      <c r="S829" s="4"/>
      <c r="T829" s="4"/>
      <c r="U829" s="74"/>
      <c r="V829" s="3"/>
      <c r="W829" s="3"/>
      <c r="X829" s="3"/>
      <c r="Y829" s="3"/>
      <c r="Z829" s="58"/>
      <c r="AA829" s="3"/>
      <c r="AB829" s="3"/>
      <c r="AC829" s="4"/>
      <c r="AD829" s="4"/>
      <c r="AE829" s="4"/>
      <c r="AF829" s="4"/>
      <c r="AG829" s="4"/>
      <c r="AH829" s="4"/>
      <c r="AI829" s="4"/>
    </row>
    <row r="830">
      <c r="A830" s="57"/>
      <c r="B830" s="4"/>
      <c r="C830" s="4"/>
      <c r="D830" s="4"/>
      <c r="E830" s="4"/>
      <c r="F830" s="4"/>
      <c r="G830" s="4"/>
      <c r="H830" s="52"/>
      <c r="I830" s="4"/>
      <c r="J830" s="52"/>
      <c r="K830" s="52"/>
      <c r="L830" s="52"/>
      <c r="M830" s="52"/>
      <c r="N830" s="52"/>
      <c r="O830" s="52"/>
      <c r="P830" s="52"/>
      <c r="Q830" s="52"/>
      <c r="R830" s="4"/>
      <c r="S830" s="4"/>
      <c r="T830" s="4"/>
      <c r="U830" s="74"/>
      <c r="V830" s="3"/>
      <c r="W830" s="3"/>
      <c r="X830" s="3"/>
      <c r="Y830" s="3"/>
      <c r="Z830" s="58"/>
      <c r="AA830" s="3"/>
      <c r="AB830" s="3"/>
      <c r="AC830" s="4"/>
      <c r="AD830" s="4"/>
      <c r="AE830" s="4"/>
      <c r="AF830" s="4"/>
      <c r="AG830" s="4"/>
      <c r="AH830" s="4"/>
      <c r="AI830" s="4"/>
    </row>
    <row r="831">
      <c r="A831" s="57"/>
      <c r="B831" s="4"/>
      <c r="C831" s="4"/>
      <c r="D831" s="4"/>
      <c r="E831" s="4"/>
      <c r="F831" s="4"/>
      <c r="G831" s="4"/>
      <c r="H831" s="52"/>
      <c r="I831" s="4"/>
      <c r="J831" s="52"/>
      <c r="K831" s="52"/>
      <c r="L831" s="52"/>
      <c r="M831" s="52"/>
      <c r="N831" s="52"/>
      <c r="O831" s="52"/>
      <c r="P831" s="52"/>
      <c r="Q831" s="52"/>
      <c r="R831" s="4"/>
      <c r="S831" s="4"/>
      <c r="T831" s="4"/>
      <c r="U831" s="74"/>
      <c r="V831" s="3"/>
      <c r="W831" s="3"/>
      <c r="X831" s="3"/>
      <c r="Y831" s="3"/>
      <c r="Z831" s="58"/>
      <c r="AA831" s="3"/>
      <c r="AB831" s="3"/>
      <c r="AC831" s="4"/>
      <c r="AD831" s="4"/>
      <c r="AE831" s="4"/>
      <c r="AF831" s="4"/>
      <c r="AG831" s="4"/>
      <c r="AH831" s="4"/>
      <c r="AI831" s="4"/>
    </row>
    <row r="832">
      <c r="A832" s="57"/>
      <c r="B832" s="4"/>
      <c r="C832" s="4"/>
      <c r="D832" s="4"/>
      <c r="E832" s="4"/>
      <c r="F832" s="4"/>
      <c r="G832" s="4"/>
      <c r="H832" s="52"/>
      <c r="I832" s="4"/>
      <c r="J832" s="52"/>
      <c r="K832" s="52"/>
      <c r="L832" s="52"/>
      <c r="M832" s="52"/>
      <c r="N832" s="52"/>
      <c r="O832" s="52"/>
      <c r="P832" s="52"/>
      <c r="Q832" s="52"/>
      <c r="R832" s="4"/>
      <c r="S832" s="4"/>
      <c r="T832" s="4"/>
      <c r="U832" s="74"/>
      <c r="V832" s="3"/>
      <c r="W832" s="3"/>
      <c r="X832" s="3"/>
      <c r="Y832" s="3"/>
      <c r="Z832" s="58"/>
      <c r="AA832" s="3"/>
      <c r="AB832" s="3"/>
      <c r="AC832" s="4"/>
      <c r="AD832" s="4"/>
      <c r="AE832" s="4"/>
      <c r="AF832" s="4"/>
      <c r="AG832" s="4"/>
      <c r="AH832" s="4"/>
      <c r="AI832" s="4"/>
    </row>
    <row r="833">
      <c r="A833" s="57"/>
      <c r="B833" s="4"/>
      <c r="C833" s="4"/>
      <c r="D833" s="4"/>
      <c r="E833" s="4"/>
      <c r="F833" s="4"/>
      <c r="G833" s="4"/>
      <c r="H833" s="52"/>
      <c r="I833" s="4"/>
      <c r="J833" s="52"/>
      <c r="K833" s="52"/>
      <c r="L833" s="52"/>
      <c r="M833" s="52"/>
      <c r="N833" s="52"/>
      <c r="O833" s="52"/>
      <c r="P833" s="52"/>
      <c r="Q833" s="52"/>
      <c r="R833" s="4"/>
      <c r="S833" s="4"/>
      <c r="T833" s="4"/>
      <c r="U833" s="74"/>
      <c r="V833" s="3"/>
      <c r="W833" s="3"/>
      <c r="X833" s="3"/>
      <c r="Y833" s="3"/>
      <c r="Z833" s="58"/>
      <c r="AA833" s="3"/>
      <c r="AB833" s="3"/>
      <c r="AC833" s="4"/>
      <c r="AD833" s="4"/>
      <c r="AE833" s="4"/>
      <c r="AF833" s="4"/>
      <c r="AG833" s="4"/>
      <c r="AH833" s="4"/>
      <c r="AI833" s="4"/>
    </row>
    <row r="834">
      <c r="A834" s="57"/>
      <c r="B834" s="4"/>
      <c r="C834" s="4"/>
      <c r="D834" s="4"/>
      <c r="E834" s="4"/>
      <c r="F834" s="4"/>
      <c r="G834" s="4"/>
      <c r="H834" s="52"/>
      <c r="I834" s="4"/>
      <c r="J834" s="52"/>
      <c r="K834" s="52"/>
      <c r="L834" s="52"/>
      <c r="M834" s="52"/>
      <c r="N834" s="52"/>
      <c r="O834" s="52"/>
      <c r="P834" s="52"/>
      <c r="Q834" s="52"/>
      <c r="R834" s="4"/>
      <c r="S834" s="4"/>
      <c r="T834" s="4"/>
      <c r="U834" s="74"/>
      <c r="V834" s="3"/>
      <c r="W834" s="3"/>
      <c r="X834" s="3"/>
      <c r="Y834" s="3"/>
      <c r="Z834" s="58"/>
      <c r="AA834" s="3"/>
      <c r="AB834" s="3"/>
      <c r="AC834" s="4"/>
      <c r="AD834" s="4"/>
      <c r="AE834" s="4"/>
      <c r="AF834" s="4"/>
      <c r="AG834" s="4"/>
      <c r="AH834" s="4"/>
      <c r="AI834" s="4"/>
    </row>
    <row r="835">
      <c r="A835" s="57"/>
      <c r="B835" s="4"/>
      <c r="C835" s="4"/>
      <c r="D835" s="4"/>
      <c r="E835" s="4"/>
      <c r="F835" s="4"/>
      <c r="G835" s="4"/>
      <c r="H835" s="52"/>
      <c r="I835" s="4"/>
      <c r="J835" s="52"/>
      <c r="K835" s="52"/>
      <c r="L835" s="52"/>
      <c r="M835" s="52"/>
      <c r="N835" s="52"/>
      <c r="O835" s="52"/>
      <c r="P835" s="52"/>
      <c r="Q835" s="52"/>
      <c r="R835" s="4"/>
      <c r="S835" s="4"/>
      <c r="T835" s="4"/>
      <c r="U835" s="74"/>
      <c r="V835" s="3"/>
      <c r="W835" s="3"/>
      <c r="X835" s="3"/>
      <c r="Y835" s="3"/>
      <c r="Z835" s="58"/>
      <c r="AA835" s="3"/>
      <c r="AB835" s="3"/>
      <c r="AC835" s="4"/>
      <c r="AD835" s="4"/>
      <c r="AE835" s="4"/>
      <c r="AF835" s="4"/>
      <c r="AG835" s="4"/>
      <c r="AH835" s="4"/>
      <c r="AI835" s="4"/>
    </row>
    <row r="836">
      <c r="A836" s="57"/>
      <c r="B836" s="4"/>
      <c r="C836" s="4"/>
      <c r="D836" s="4"/>
      <c r="E836" s="4"/>
      <c r="F836" s="4"/>
      <c r="G836" s="4"/>
      <c r="H836" s="52"/>
      <c r="I836" s="4"/>
      <c r="J836" s="52"/>
      <c r="K836" s="52"/>
      <c r="L836" s="52"/>
      <c r="M836" s="52"/>
      <c r="N836" s="52"/>
      <c r="O836" s="52"/>
      <c r="P836" s="52"/>
      <c r="Q836" s="52"/>
      <c r="R836" s="4"/>
      <c r="S836" s="4"/>
      <c r="T836" s="4"/>
      <c r="U836" s="74"/>
      <c r="V836" s="3"/>
      <c r="W836" s="3"/>
      <c r="X836" s="3"/>
      <c r="Y836" s="3"/>
      <c r="Z836" s="58"/>
      <c r="AA836" s="3"/>
      <c r="AB836" s="3"/>
      <c r="AC836" s="4"/>
      <c r="AD836" s="4"/>
      <c r="AE836" s="4"/>
      <c r="AF836" s="4"/>
      <c r="AG836" s="4"/>
      <c r="AH836" s="4"/>
      <c r="AI836" s="4"/>
    </row>
    <row r="837">
      <c r="A837" s="57"/>
      <c r="B837" s="4"/>
      <c r="C837" s="4"/>
      <c r="D837" s="4"/>
      <c r="E837" s="4"/>
      <c r="F837" s="4"/>
      <c r="G837" s="4"/>
      <c r="H837" s="52"/>
      <c r="I837" s="4"/>
      <c r="J837" s="52"/>
      <c r="K837" s="52"/>
      <c r="L837" s="52"/>
      <c r="M837" s="52"/>
      <c r="N837" s="52"/>
      <c r="O837" s="52"/>
      <c r="P837" s="52"/>
      <c r="Q837" s="52"/>
      <c r="R837" s="4"/>
      <c r="S837" s="4"/>
      <c r="T837" s="4"/>
      <c r="U837" s="74"/>
      <c r="V837" s="3"/>
      <c r="W837" s="3"/>
      <c r="X837" s="3"/>
      <c r="Y837" s="3"/>
      <c r="Z837" s="58"/>
      <c r="AA837" s="3"/>
      <c r="AB837" s="3"/>
      <c r="AC837" s="4"/>
      <c r="AD837" s="4"/>
      <c r="AE837" s="4"/>
      <c r="AF837" s="4"/>
      <c r="AG837" s="4"/>
      <c r="AH837" s="4"/>
      <c r="AI837" s="4"/>
    </row>
    <row r="838">
      <c r="A838" s="57"/>
      <c r="B838" s="4"/>
      <c r="C838" s="4"/>
      <c r="D838" s="4"/>
      <c r="E838" s="4"/>
      <c r="F838" s="4"/>
      <c r="G838" s="4"/>
      <c r="H838" s="52"/>
      <c r="I838" s="4"/>
      <c r="J838" s="52"/>
      <c r="K838" s="52"/>
      <c r="L838" s="52"/>
      <c r="M838" s="52"/>
      <c r="N838" s="52"/>
      <c r="O838" s="52"/>
      <c r="P838" s="52"/>
      <c r="Q838" s="52"/>
      <c r="R838" s="4"/>
      <c r="S838" s="4"/>
      <c r="T838" s="4"/>
      <c r="U838" s="74"/>
      <c r="V838" s="3"/>
      <c r="W838" s="3"/>
      <c r="X838" s="3"/>
      <c r="Y838" s="3"/>
      <c r="Z838" s="58"/>
      <c r="AA838" s="3"/>
      <c r="AB838" s="3"/>
      <c r="AC838" s="4"/>
      <c r="AD838" s="4"/>
      <c r="AE838" s="4"/>
      <c r="AF838" s="4"/>
      <c r="AG838" s="4"/>
      <c r="AH838" s="4"/>
      <c r="AI838" s="4"/>
    </row>
    <row r="839">
      <c r="A839" s="57"/>
      <c r="B839" s="4"/>
      <c r="C839" s="4"/>
      <c r="D839" s="4"/>
      <c r="E839" s="4"/>
      <c r="F839" s="4"/>
      <c r="G839" s="4"/>
      <c r="H839" s="52"/>
      <c r="I839" s="4"/>
      <c r="J839" s="52"/>
      <c r="K839" s="52"/>
      <c r="L839" s="52"/>
      <c r="M839" s="52"/>
      <c r="N839" s="52"/>
      <c r="O839" s="52"/>
      <c r="P839" s="52"/>
      <c r="Q839" s="52"/>
      <c r="R839" s="4"/>
      <c r="S839" s="4"/>
      <c r="T839" s="4"/>
      <c r="U839" s="74"/>
      <c r="V839" s="3"/>
      <c r="W839" s="3"/>
      <c r="X839" s="3"/>
      <c r="Y839" s="3"/>
      <c r="Z839" s="58"/>
      <c r="AA839" s="3"/>
      <c r="AB839" s="3"/>
      <c r="AC839" s="4"/>
      <c r="AD839" s="4"/>
      <c r="AE839" s="4"/>
      <c r="AF839" s="4"/>
      <c r="AG839" s="4"/>
      <c r="AH839" s="4"/>
      <c r="AI839" s="4"/>
    </row>
    <row r="840">
      <c r="A840" s="57"/>
      <c r="B840" s="4"/>
      <c r="C840" s="4"/>
      <c r="D840" s="4"/>
      <c r="E840" s="4"/>
      <c r="F840" s="4"/>
      <c r="G840" s="4"/>
      <c r="H840" s="52"/>
      <c r="I840" s="4"/>
      <c r="J840" s="52"/>
      <c r="K840" s="52"/>
      <c r="L840" s="52"/>
      <c r="M840" s="52"/>
      <c r="N840" s="52"/>
      <c r="O840" s="52"/>
      <c r="P840" s="52"/>
      <c r="Q840" s="52"/>
      <c r="R840" s="4"/>
      <c r="S840" s="4"/>
      <c r="T840" s="4"/>
      <c r="U840" s="74"/>
      <c r="V840" s="3"/>
      <c r="W840" s="3"/>
      <c r="X840" s="3"/>
      <c r="Y840" s="3"/>
      <c r="Z840" s="58"/>
      <c r="AA840" s="3"/>
      <c r="AB840" s="3"/>
      <c r="AC840" s="4"/>
      <c r="AD840" s="4"/>
      <c r="AE840" s="4"/>
      <c r="AF840" s="4"/>
      <c r="AG840" s="4"/>
      <c r="AH840" s="4"/>
      <c r="AI840" s="4"/>
    </row>
    <row r="841">
      <c r="A841" s="57"/>
      <c r="B841" s="4"/>
      <c r="C841" s="4"/>
      <c r="D841" s="4"/>
      <c r="E841" s="4"/>
      <c r="F841" s="4"/>
      <c r="G841" s="4"/>
      <c r="H841" s="52"/>
      <c r="I841" s="4"/>
      <c r="J841" s="52"/>
      <c r="K841" s="52"/>
      <c r="L841" s="52"/>
      <c r="M841" s="52"/>
      <c r="N841" s="52"/>
      <c r="O841" s="52"/>
      <c r="P841" s="52"/>
      <c r="Q841" s="52"/>
      <c r="R841" s="4"/>
      <c r="S841" s="4"/>
      <c r="T841" s="4"/>
      <c r="U841" s="74"/>
      <c r="V841" s="3"/>
      <c r="W841" s="3"/>
      <c r="X841" s="3"/>
      <c r="Y841" s="3"/>
      <c r="Z841" s="58"/>
      <c r="AA841" s="3"/>
      <c r="AB841" s="3"/>
      <c r="AC841" s="4"/>
      <c r="AD841" s="4"/>
      <c r="AE841" s="4"/>
      <c r="AF841" s="4"/>
      <c r="AG841" s="4"/>
      <c r="AH841" s="4"/>
      <c r="AI841" s="4"/>
    </row>
    <row r="842">
      <c r="A842" s="57"/>
      <c r="B842" s="4"/>
      <c r="C842" s="4"/>
      <c r="D842" s="4"/>
      <c r="E842" s="4"/>
      <c r="F842" s="4"/>
      <c r="G842" s="4"/>
      <c r="H842" s="52"/>
      <c r="I842" s="4"/>
      <c r="J842" s="52"/>
      <c r="K842" s="52"/>
      <c r="L842" s="52"/>
      <c r="M842" s="52"/>
      <c r="N842" s="52"/>
      <c r="O842" s="52"/>
      <c r="P842" s="52"/>
      <c r="Q842" s="52"/>
      <c r="R842" s="4"/>
      <c r="S842" s="4"/>
      <c r="T842" s="4"/>
      <c r="U842" s="74"/>
      <c r="V842" s="3"/>
      <c r="W842" s="3"/>
      <c r="X842" s="3"/>
      <c r="Y842" s="3"/>
      <c r="Z842" s="58"/>
      <c r="AA842" s="3"/>
      <c r="AB842" s="3"/>
      <c r="AC842" s="4"/>
      <c r="AD842" s="4"/>
      <c r="AE842" s="4"/>
      <c r="AF842" s="4"/>
      <c r="AG842" s="4"/>
      <c r="AH842" s="4"/>
      <c r="AI842" s="4"/>
    </row>
    <row r="843">
      <c r="A843" s="57"/>
      <c r="B843" s="4"/>
      <c r="C843" s="4"/>
      <c r="D843" s="4"/>
      <c r="E843" s="4"/>
      <c r="F843" s="4"/>
      <c r="G843" s="4"/>
      <c r="H843" s="52"/>
      <c r="I843" s="4"/>
      <c r="J843" s="52"/>
      <c r="K843" s="52"/>
      <c r="L843" s="52"/>
      <c r="M843" s="52"/>
      <c r="N843" s="52"/>
      <c r="O843" s="52"/>
      <c r="P843" s="52"/>
      <c r="Q843" s="52"/>
      <c r="R843" s="4"/>
      <c r="S843" s="4"/>
      <c r="T843" s="4"/>
      <c r="U843" s="74"/>
      <c r="V843" s="3"/>
      <c r="W843" s="3"/>
      <c r="X843" s="3"/>
      <c r="Y843" s="3"/>
      <c r="Z843" s="58"/>
      <c r="AA843" s="3"/>
      <c r="AB843" s="3"/>
      <c r="AC843" s="4"/>
      <c r="AD843" s="4"/>
      <c r="AE843" s="4"/>
      <c r="AF843" s="4"/>
      <c r="AG843" s="4"/>
      <c r="AH843" s="4"/>
      <c r="AI843" s="4"/>
    </row>
    <row r="844">
      <c r="A844" s="57"/>
      <c r="B844" s="4"/>
      <c r="C844" s="4"/>
      <c r="D844" s="4"/>
      <c r="E844" s="4"/>
      <c r="F844" s="4"/>
      <c r="G844" s="4"/>
      <c r="H844" s="52"/>
      <c r="I844" s="4"/>
      <c r="J844" s="52"/>
      <c r="K844" s="52"/>
      <c r="L844" s="52"/>
      <c r="M844" s="52"/>
      <c r="N844" s="52"/>
      <c r="O844" s="52"/>
      <c r="P844" s="52"/>
      <c r="Q844" s="52"/>
      <c r="R844" s="4"/>
      <c r="S844" s="4"/>
      <c r="T844" s="4"/>
      <c r="U844" s="74"/>
      <c r="V844" s="3"/>
      <c r="W844" s="3"/>
      <c r="X844" s="3"/>
      <c r="Y844" s="3"/>
      <c r="Z844" s="58"/>
      <c r="AA844" s="3"/>
      <c r="AB844" s="3"/>
      <c r="AC844" s="4"/>
      <c r="AD844" s="4"/>
      <c r="AE844" s="4"/>
      <c r="AF844" s="4"/>
      <c r="AG844" s="4"/>
      <c r="AH844" s="4"/>
      <c r="AI844" s="4"/>
    </row>
    <row r="845">
      <c r="A845" s="57"/>
      <c r="B845" s="4"/>
      <c r="C845" s="4"/>
      <c r="D845" s="4"/>
      <c r="E845" s="4"/>
      <c r="F845" s="4"/>
      <c r="G845" s="4"/>
      <c r="H845" s="52"/>
      <c r="I845" s="4"/>
      <c r="J845" s="52"/>
      <c r="K845" s="52"/>
      <c r="L845" s="52"/>
      <c r="M845" s="52"/>
      <c r="N845" s="52"/>
      <c r="O845" s="52"/>
      <c r="P845" s="52"/>
      <c r="Q845" s="52"/>
      <c r="R845" s="4"/>
      <c r="S845" s="4"/>
      <c r="T845" s="4"/>
      <c r="U845" s="74"/>
      <c r="V845" s="3"/>
      <c r="W845" s="3"/>
      <c r="X845" s="3"/>
      <c r="Y845" s="3"/>
      <c r="Z845" s="58"/>
      <c r="AA845" s="3"/>
      <c r="AB845" s="3"/>
      <c r="AC845" s="4"/>
      <c r="AD845" s="4"/>
      <c r="AE845" s="4"/>
      <c r="AF845" s="4"/>
      <c r="AG845" s="4"/>
      <c r="AH845" s="4"/>
      <c r="AI845" s="4"/>
    </row>
    <row r="846">
      <c r="A846" s="57"/>
      <c r="B846" s="4"/>
      <c r="C846" s="4"/>
      <c r="D846" s="4"/>
      <c r="E846" s="4"/>
      <c r="F846" s="4"/>
      <c r="G846" s="4"/>
      <c r="H846" s="52"/>
      <c r="I846" s="4"/>
      <c r="J846" s="52"/>
      <c r="K846" s="52"/>
      <c r="L846" s="52"/>
      <c r="M846" s="52"/>
      <c r="N846" s="52"/>
      <c r="O846" s="52"/>
      <c r="P846" s="52"/>
      <c r="Q846" s="52"/>
      <c r="R846" s="4"/>
      <c r="S846" s="4"/>
      <c r="T846" s="4"/>
      <c r="U846" s="74"/>
      <c r="V846" s="3"/>
      <c r="W846" s="3"/>
      <c r="X846" s="3"/>
      <c r="Y846" s="3"/>
      <c r="Z846" s="58"/>
      <c r="AA846" s="3"/>
      <c r="AB846" s="3"/>
      <c r="AC846" s="4"/>
      <c r="AD846" s="4"/>
      <c r="AE846" s="4"/>
      <c r="AF846" s="4"/>
      <c r="AG846" s="4"/>
      <c r="AH846" s="4"/>
      <c r="AI846" s="4"/>
    </row>
    <row r="847">
      <c r="A847" s="57"/>
      <c r="B847" s="4"/>
      <c r="C847" s="4"/>
      <c r="D847" s="4"/>
      <c r="E847" s="4"/>
      <c r="F847" s="4"/>
      <c r="G847" s="4"/>
      <c r="H847" s="52"/>
      <c r="I847" s="4"/>
      <c r="J847" s="52"/>
      <c r="K847" s="52"/>
      <c r="L847" s="52"/>
      <c r="M847" s="52"/>
      <c r="N847" s="52"/>
      <c r="O847" s="52"/>
      <c r="P847" s="52"/>
      <c r="Q847" s="52"/>
      <c r="R847" s="4"/>
      <c r="S847" s="4"/>
      <c r="T847" s="4"/>
      <c r="U847" s="74"/>
      <c r="V847" s="3"/>
      <c r="W847" s="3"/>
      <c r="X847" s="3"/>
      <c r="Y847" s="3"/>
      <c r="Z847" s="58"/>
      <c r="AA847" s="3"/>
      <c r="AB847" s="3"/>
      <c r="AC847" s="4"/>
      <c r="AD847" s="4"/>
      <c r="AE847" s="4"/>
      <c r="AF847" s="4"/>
      <c r="AG847" s="4"/>
      <c r="AH847" s="4"/>
      <c r="AI847" s="4"/>
    </row>
    <row r="848">
      <c r="A848" s="57"/>
      <c r="B848" s="4"/>
      <c r="C848" s="4"/>
      <c r="D848" s="4"/>
      <c r="E848" s="4"/>
      <c r="F848" s="4"/>
      <c r="G848" s="4"/>
      <c r="H848" s="52"/>
      <c r="I848" s="4"/>
      <c r="J848" s="52"/>
      <c r="K848" s="52"/>
      <c r="L848" s="52"/>
      <c r="M848" s="52"/>
      <c r="N848" s="52"/>
      <c r="O848" s="52"/>
      <c r="P848" s="52"/>
      <c r="Q848" s="52"/>
      <c r="R848" s="4"/>
      <c r="S848" s="4"/>
      <c r="T848" s="4"/>
      <c r="U848" s="74"/>
      <c r="V848" s="3"/>
      <c r="W848" s="3"/>
      <c r="X848" s="3"/>
      <c r="Y848" s="3"/>
      <c r="Z848" s="58"/>
      <c r="AA848" s="3"/>
      <c r="AB848" s="3"/>
      <c r="AC848" s="4"/>
      <c r="AD848" s="4"/>
      <c r="AE848" s="4"/>
      <c r="AF848" s="4"/>
      <c r="AG848" s="4"/>
      <c r="AH848" s="4"/>
      <c r="AI848" s="4"/>
    </row>
    <row r="849">
      <c r="A849" s="57"/>
      <c r="B849" s="4"/>
      <c r="C849" s="4"/>
      <c r="D849" s="4"/>
      <c r="E849" s="4"/>
      <c r="F849" s="4"/>
      <c r="G849" s="4"/>
      <c r="H849" s="52"/>
      <c r="I849" s="4"/>
      <c r="J849" s="52"/>
      <c r="K849" s="52"/>
      <c r="L849" s="52"/>
      <c r="M849" s="52"/>
      <c r="N849" s="52"/>
      <c r="O849" s="52"/>
      <c r="P849" s="52"/>
      <c r="Q849" s="52"/>
      <c r="R849" s="4"/>
      <c r="S849" s="4"/>
      <c r="T849" s="4"/>
      <c r="U849" s="74"/>
      <c r="V849" s="3"/>
      <c r="W849" s="3"/>
      <c r="X849" s="3"/>
      <c r="Y849" s="3"/>
      <c r="Z849" s="58"/>
      <c r="AA849" s="3"/>
      <c r="AB849" s="3"/>
      <c r="AC849" s="4"/>
      <c r="AD849" s="4"/>
      <c r="AE849" s="4"/>
      <c r="AF849" s="4"/>
      <c r="AG849" s="4"/>
      <c r="AH849" s="4"/>
      <c r="AI849" s="4"/>
    </row>
    <row r="850">
      <c r="A850" s="57"/>
      <c r="B850" s="4"/>
      <c r="C850" s="4"/>
      <c r="D850" s="4"/>
      <c r="E850" s="4"/>
      <c r="F850" s="4"/>
      <c r="G850" s="4"/>
      <c r="H850" s="52"/>
      <c r="I850" s="4"/>
      <c r="J850" s="52"/>
      <c r="K850" s="52"/>
      <c r="L850" s="52"/>
      <c r="M850" s="52"/>
      <c r="N850" s="52"/>
      <c r="O850" s="52"/>
      <c r="P850" s="52"/>
      <c r="Q850" s="52"/>
      <c r="R850" s="4"/>
      <c r="S850" s="4"/>
      <c r="T850" s="4"/>
      <c r="U850" s="74"/>
      <c r="V850" s="3"/>
      <c r="W850" s="3"/>
      <c r="X850" s="3"/>
      <c r="Y850" s="3"/>
      <c r="Z850" s="58"/>
      <c r="AA850" s="3"/>
      <c r="AB850" s="3"/>
      <c r="AC850" s="4"/>
      <c r="AD850" s="4"/>
      <c r="AE850" s="4"/>
      <c r="AF850" s="4"/>
      <c r="AG850" s="4"/>
      <c r="AH850" s="4"/>
      <c r="AI850" s="4"/>
    </row>
    <row r="851">
      <c r="A851" s="57"/>
      <c r="B851" s="4"/>
      <c r="C851" s="4"/>
      <c r="D851" s="4"/>
      <c r="E851" s="4"/>
      <c r="F851" s="4"/>
      <c r="G851" s="4"/>
      <c r="H851" s="52"/>
      <c r="I851" s="4"/>
      <c r="J851" s="52"/>
      <c r="K851" s="52"/>
      <c r="L851" s="52"/>
      <c r="M851" s="52"/>
      <c r="N851" s="52"/>
      <c r="O851" s="52"/>
      <c r="P851" s="52"/>
      <c r="Q851" s="52"/>
      <c r="R851" s="4"/>
      <c r="S851" s="4"/>
      <c r="T851" s="4"/>
      <c r="U851" s="74"/>
      <c r="V851" s="3"/>
      <c r="W851" s="3"/>
      <c r="X851" s="3"/>
      <c r="Y851" s="3"/>
      <c r="Z851" s="58"/>
      <c r="AA851" s="3"/>
      <c r="AB851" s="3"/>
      <c r="AC851" s="4"/>
      <c r="AD851" s="4"/>
      <c r="AE851" s="4"/>
      <c r="AF851" s="4"/>
      <c r="AG851" s="4"/>
      <c r="AH851" s="4"/>
      <c r="AI851" s="4"/>
    </row>
    <row r="852">
      <c r="A852" s="57"/>
      <c r="B852" s="4"/>
      <c r="C852" s="4"/>
      <c r="D852" s="4"/>
      <c r="E852" s="4"/>
      <c r="F852" s="4"/>
      <c r="G852" s="4"/>
      <c r="H852" s="52"/>
      <c r="I852" s="4"/>
      <c r="J852" s="52"/>
      <c r="K852" s="52"/>
      <c r="L852" s="52"/>
      <c r="M852" s="52"/>
      <c r="N852" s="52"/>
      <c r="O852" s="52"/>
      <c r="P852" s="52"/>
      <c r="Q852" s="52"/>
      <c r="R852" s="4"/>
      <c r="S852" s="4"/>
      <c r="T852" s="4"/>
      <c r="U852" s="74"/>
      <c r="V852" s="3"/>
      <c r="W852" s="3"/>
      <c r="X852" s="3"/>
      <c r="Y852" s="3"/>
      <c r="Z852" s="58"/>
      <c r="AA852" s="3"/>
      <c r="AB852" s="3"/>
      <c r="AC852" s="4"/>
      <c r="AD852" s="4"/>
      <c r="AE852" s="4"/>
      <c r="AF852" s="4"/>
      <c r="AG852" s="4"/>
      <c r="AH852" s="4"/>
      <c r="AI852" s="4"/>
    </row>
    <row r="853">
      <c r="A853" s="57"/>
      <c r="B853" s="4"/>
      <c r="C853" s="4"/>
      <c r="D853" s="4"/>
      <c r="E853" s="4"/>
      <c r="F853" s="4"/>
      <c r="G853" s="4"/>
      <c r="H853" s="52"/>
      <c r="I853" s="4"/>
      <c r="J853" s="52"/>
      <c r="K853" s="52"/>
      <c r="L853" s="52"/>
      <c r="M853" s="52"/>
      <c r="N853" s="52"/>
      <c r="O853" s="52"/>
      <c r="P853" s="52"/>
      <c r="Q853" s="52"/>
      <c r="R853" s="4"/>
      <c r="S853" s="4"/>
      <c r="T853" s="4"/>
      <c r="U853" s="74"/>
      <c r="V853" s="3"/>
      <c r="W853" s="3"/>
      <c r="X853" s="3"/>
      <c r="Y853" s="3"/>
      <c r="Z853" s="58"/>
      <c r="AA853" s="3"/>
      <c r="AB853" s="3"/>
      <c r="AC853" s="4"/>
      <c r="AD853" s="4"/>
      <c r="AE853" s="4"/>
      <c r="AF853" s="4"/>
      <c r="AG853" s="4"/>
      <c r="AH853" s="4"/>
      <c r="AI853" s="4"/>
    </row>
    <row r="854">
      <c r="A854" s="57"/>
      <c r="B854" s="4"/>
      <c r="C854" s="4"/>
      <c r="D854" s="4"/>
      <c r="E854" s="4"/>
      <c r="F854" s="4"/>
      <c r="G854" s="4"/>
      <c r="H854" s="52"/>
      <c r="I854" s="4"/>
      <c r="J854" s="52"/>
      <c r="K854" s="52"/>
      <c r="L854" s="52"/>
      <c r="M854" s="52"/>
      <c r="N854" s="52"/>
      <c r="O854" s="52"/>
      <c r="P854" s="52"/>
      <c r="Q854" s="52"/>
      <c r="R854" s="4"/>
      <c r="S854" s="4"/>
      <c r="T854" s="4"/>
      <c r="U854" s="74"/>
      <c r="V854" s="3"/>
      <c r="W854" s="3"/>
      <c r="X854" s="3"/>
      <c r="Y854" s="3"/>
      <c r="Z854" s="58"/>
      <c r="AA854" s="3"/>
      <c r="AB854" s="3"/>
      <c r="AC854" s="4"/>
      <c r="AD854" s="4"/>
      <c r="AE854" s="4"/>
      <c r="AF854" s="4"/>
      <c r="AG854" s="4"/>
      <c r="AH854" s="4"/>
      <c r="AI854" s="4"/>
    </row>
    <row r="855">
      <c r="A855" s="57"/>
      <c r="B855" s="4"/>
      <c r="C855" s="4"/>
      <c r="D855" s="4"/>
      <c r="E855" s="4"/>
      <c r="F855" s="4"/>
      <c r="G855" s="4"/>
      <c r="H855" s="52"/>
      <c r="I855" s="4"/>
      <c r="J855" s="52"/>
      <c r="K855" s="52"/>
      <c r="L855" s="52"/>
      <c r="M855" s="52"/>
      <c r="N855" s="52"/>
      <c r="O855" s="52"/>
      <c r="P855" s="52"/>
      <c r="Q855" s="52"/>
      <c r="R855" s="4"/>
      <c r="S855" s="4"/>
      <c r="T855" s="4"/>
      <c r="U855" s="74"/>
      <c r="V855" s="3"/>
      <c r="W855" s="3"/>
      <c r="X855" s="3"/>
      <c r="Y855" s="3"/>
      <c r="Z855" s="58"/>
      <c r="AA855" s="3"/>
      <c r="AB855" s="3"/>
      <c r="AC855" s="4"/>
      <c r="AD855" s="4"/>
      <c r="AE855" s="4"/>
      <c r="AF855" s="4"/>
      <c r="AG855" s="4"/>
      <c r="AH855" s="4"/>
      <c r="AI855" s="4"/>
    </row>
    <row r="856">
      <c r="A856" s="57"/>
      <c r="B856" s="4"/>
      <c r="C856" s="4"/>
      <c r="D856" s="4"/>
      <c r="E856" s="4"/>
      <c r="F856" s="4"/>
      <c r="G856" s="4"/>
      <c r="H856" s="52"/>
      <c r="I856" s="4"/>
      <c r="J856" s="52"/>
      <c r="K856" s="52"/>
      <c r="L856" s="52"/>
      <c r="M856" s="52"/>
      <c r="N856" s="52"/>
      <c r="O856" s="52"/>
      <c r="P856" s="52"/>
      <c r="Q856" s="52"/>
      <c r="R856" s="4"/>
      <c r="S856" s="4"/>
      <c r="T856" s="4"/>
      <c r="U856" s="74"/>
      <c r="V856" s="3"/>
      <c r="W856" s="3"/>
      <c r="X856" s="3"/>
      <c r="Y856" s="3"/>
      <c r="Z856" s="58"/>
      <c r="AA856" s="3"/>
      <c r="AB856" s="3"/>
      <c r="AC856" s="4"/>
      <c r="AD856" s="4"/>
      <c r="AE856" s="4"/>
      <c r="AF856" s="4"/>
      <c r="AG856" s="4"/>
      <c r="AH856" s="4"/>
      <c r="AI856" s="4"/>
    </row>
    <row r="857">
      <c r="A857" s="57"/>
      <c r="B857" s="4"/>
      <c r="C857" s="4"/>
      <c r="D857" s="4"/>
      <c r="E857" s="4"/>
      <c r="F857" s="4"/>
      <c r="G857" s="4"/>
      <c r="H857" s="52"/>
      <c r="I857" s="4"/>
      <c r="J857" s="52"/>
      <c r="K857" s="52"/>
      <c r="L857" s="52"/>
      <c r="M857" s="52"/>
      <c r="N857" s="52"/>
      <c r="O857" s="52"/>
      <c r="P857" s="52"/>
      <c r="Q857" s="52"/>
      <c r="R857" s="4"/>
      <c r="S857" s="4"/>
      <c r="T857" s="4"/>
      <c r="U857" s="74"/>
      <c r="V857" s="3"/>
      <c r="W857" s="3"/>
      <c r="X857" s="3"/>
      <c r="Y857" s="3"/>
      <c r="Z857" s="58"/>
      <c r="AA857" s="3"/>
      <c r="AB857" s="3"/>
      <c r="AC857" s="4"/>
      <c r="AD857" s="4"/>
      <c r="AE857" s="4"/>
      <c r="AF857" s="4"/>
      <c r="AG857" s="4"/>
      <c r="AH857" s="4"/>
      <c r="AI857" s="4"/>
    </row>
    <row r="858">
      <c r="A858" s="57"/>
      <c r="B858" s="4"/>
      <c r="C858" s="4"/>
      <c r="D858" s="4"/>
      <c r="E858" s="4"/>
      <c r="F858" s="4"/>
      <c r="G858" s="4"/>
      <c r="H858" s="52"/>
      <c r="I858" s="4"/>
      <c r="J858" s="52"/>
      <c r="K858" s="52"/>
      <c r="L858" s="52"/>
      <c r="M858" s="52"/>
      <c r="N858" s="52"/>
      <c r="O858" s="52"/>
      <c r="P858" s="52"/>
      <c r="Q858" s="52"/>
      <c r="R858" s="4"/>
      <c r="S858" s="4"/>
      <c r="T858" s="4"/>
      <c r="U858" s="74"/>
      <c r="V858" s="3"/>
      <c r="W858" s="3"/>
      <c r="X858" s="3"/>
      <c r="Y858" s="3"/>
      <c r="Z858" s="58"/>
      <c r="AA858" s="3"/>
      <c r="AB858" s="3"/>
      <c r="AC858" s="4"/>
      <c r="AD858" s="4"/>
      <c r="AE858" s="4"/>
      <c r="AF858" s="4"/>
      <c r="AG858" s="4"/>
      <c r="AH858" s="4"/>
      <c r="AI858" s="4"/>
    </row>
    <row r="859">
      <c r="A859" s="57"/>
      <c r="B859" s="4"/>
      <c r="C859" s="4"/>
      <c r="D859" s="4"/>
      <c r="E859" s="4"/>
      <c r="F859" s="4"/>
      <c r="G859" s="4"/>
      <c r="H859" s="52"/>
      <c r="I859" s="4"/>
      <c r="J859" s="52"/>
      <c r="K859" s="52"/>
      <c r="L859" s="52"/>
      <c r="M859" s="52"/>
      <c r="N859" s="52"/>
      <c r="O859" s="52"/>
      <c r="P859" s="52"/>
      <c r="Q859" s="52"/>
      <c r="R859" s="4"/>
      <c r="S859" s="4"/>
      <c r="T859" s="4"/>
      <c r="U859" s="74"/>
      <c r="V859" s="3"/>
      <c r="W859" s="3"/>
      <c r="X859" s="3"/>
      <c r="Y859" s="3"/>
      <c r="Z859" s="58"/>
      <c r="AA859" s="3"/>
      <c r="AB859" s="3"/>
      <c r="AC859" s="4"/>
      <c r="AD859" s="4"/>
      <c r="AE859" s="4"/>
      <c r="AF859" s="4"/>
      <c r="AG859" s="4"/>
      <c r="AH859" s="4"/>
      <c r="AI859" s="4"/>
    </row>
    <row r="860">
      <c r="A860" s="57"/>
      <c r="B860" s="4"/>
      <c r="C860" s="4"/>
      <c r="D860" s="4"/>
      <c r="E860" s="4"/>
      <c r="F860" s="4"/>
      <c r="G860" s="4"/>
      <c r="H860" s="52"/>
      <c r="I860" s="4"/>
      <c r="J860" s="52"/>
      <c r="K860" s="52"/>
      <c r="L860" s="52"/>
      <c r="M860" s="52"/>
      <c r="N860" s="52"/>
      <c r="O860" s="52"/>
      <c r="P860" s="52"/>
      <c r="Q860" s="52"/>
      <c r="R860" s="4"/>
      <c r="S860" s="4"/>
      <c r="T860" s="4"/>
      <c r="U860" s="74"/>
      <c r="V860" s="3"/>
      <c r="W860" s="3"/>
      <c r="X860" s="3"/>
      <c r="Y860" s="3"/>
      <c r="Z860" s="58"/>
      <c r="AA860" s="3"/>
      <c r="AB860" s="3"/>
      <c r="AC860" s="4"/>
      <c r="AD860" s="4"/>
      <c r="AE860" s="4"/>
      <c r="AF860" s="4"/>
      <c r="AG860" s="4"/>
      <c r="AH860" s="4"/>
      <c r="AI860" s="4"/>
    </row>
    <row r="861">
      <c r="A861" s="57"/>
      <c r="B861" s="4"/>
      <c r="C861" s="4"/>
      <c r="D861" s="4"/>
      <c r="E861" s="4"/>
      <c r="F861" s="4"/>
      <c r="G861" s="4"/>
      <c r="H861" s="52"/>
      <c r="I861" s="4"/>
      <c r="J861" s="52"/>
      <c r="K861" s="52"/>
      <c r="L861" s="52"/>
      <c r="M861" s="52"/>
      <c r="N861" s="52"/>
      <c r="O861" s="52"/>
      <c r="P861" s="52"/>
      <c r="Q861" s="52"/>
      <c r="R861" s="4"/>
      <c r="S861" s="4"/>
      <c r="T861" s="4"/>
      <c r="U861" s="74"/>
      <c r="V861" s="3"/>
      <c r="W861" s="3"/>
      <c r="X861" s="3"/>
      <c r="Y861" s="3"/>
      <c r="Z861" s="58"/>
      <c r="AA861" s="3"/>
      <c r="AB861" s="3"/>
      <c r="AC861" s="4"/>
      <c r="AD861" s="4"/>
      <c r="AE861" s="4"/>
      <c r="AF861" s="4"/>
      <c r="AG861" s="4"/>
      <c r="AH861" s="4"/>
      <c r="AI861" s="4"/>
    </row>
    <row r="862">
      <c r="A862" s="57"/>
      <c r="B862" s="4"/>
      <c r="C862" s="4"/>
      <c r="D862" s="4"/>
      <c r="E862" s="4"/>
      <c r="F862" s="4"/>
      <c r="G862" s="4"/>
      <c r="H862" s="52"/>
      <c r="I862" s="4"/>
      <c r="J862" s="52"/>
      <c r="K862" s="52"/>
      <c r="L862" s="52"/>
      <c r="M862" s="52"/>
      <c r="N862" s="52"/>
      <c r="O862" s="52"/>
      <c r="P862" s="52"/>
      <c r="Q862" s="52"/>
      <c r="R862" s="4"/>
      <c r="S862" s="4"/>
      <c r="T862" s="4"/>
      <c r="U862" s="74"/>
      <c r="V862" s="3"/>
      <c r="W862" s="3"/>
      <c r="X862" s="3"/>
      <c r="Y862" s="3"/>
      <c r="Z862" s="58"/>
      <c r="AA862" s="3"/>
      <c r="AB862" s="3"/>
      <c r="AC862" s="4"/>
      <c r="AD862" s="4"/>
      <c r="AE862" s="4"/>
      <c r="AF862" s="4"/>
      <c r="AG862" s="4"/>
      <c r="AH862" s="4"/>
      <c r="AI862" s="4"/>
    </row>
    <row r="863">
      <c r="A863" s="57"/>
      <c r="B863" s="4"/>
      <c r="C863" s="4"/>
      <c r="D863" s="4"/>
      <c r="E863" s="4"/>
      <c r="F863" s="4"/>
      <c r="G863" s="4"/>
      <c r="H863" s="52"/>
      <c r="I863" s="4"/>
      <c r="J863" s="52"/>
      <c r="K863" s="52"/>
      <c r="L863" s="52"/>
      <c r="M863" s="52"/>
      <c r="N863" s="52"/>
      <c r="O863" s="52"/>
      <c r="P863" s="52"/>
      <c r="Q863" s="52"/>
      <c r="R863" s="4"/>
      <c r="S863" s="4"/>
      <c r="T863" s="4"/>
      <c r="U863" s="74"/>
      <c r="V863" s="3"/>
      <c r="W863" s="3"/>
      <c r="X863" s="3"/>
      <c r="Y863" s="3"/>
      <c r="Z863" s="58"/>
      <c r="AA863" s="3"/>
      <c r="AB863" s="3"/>
      <c r="AC863" s="4"/>
      <c r="AD863" s="4"/>
      <c r="AE863" s="4"/>
      <c r="AF863" s="4"/>
      <c r="AG863" s="4"/>
      <c r="AH863" s="4"/>
      <c r="AI863" s="4"/>
    </row>
    <row r="864">
      <c r="A864" s="57"/>
      <c r="B864" s="4"/>
      <c r="C864" s="4"/>
      <c r="D864" s="4"/>
      <c r="E864" s="4"/>
      <c r="F864" s="4"/>
      <c r="G864" s="4"/>
      <c r="H864" s="52"/>
      <c r="I864" s="4"/>
      <c r="J864" s="52"/>
      <c r="K864" s="52"/>
      <c r="L864" s="52"/>
      <c r="M864" s="52"/>
      <c r="N864" s="52"/>
      <c r="O864" s="52"/>
      <c r="P864" s="52"/>
      <c r="Q864" s="52"/>
      <c r="R864" s="4"/>
      <c r="S864" s="4"/>
      <c r="T864" s="4"/>
      <c r="U864" s="74"/>
      <c r="V864" s="3"/>
      <c r="W864" s="3"/>
      <c r="X864" s="3"/>
      <c r="Y864" s="3"/>
      <c r="Z864" s="58"/>
      <c r="AA864" s="3"/>
      <c r="AB864" s="3"/>
      <c r="AC864" s="4"/>
      <c r="AD864" s="4"/>
      <c r="AE864" s="4"/>
      <c r="AF864" s="4"/>
      <c r="AG864" s="4"/>
      <c r="AH864" s="4"/>
      <c r="AI864" s="4"/>
    </row>
    <row r="865">
      <c r="A865" s="57"/>
      <c r="B865" s="4"/>
      <c r="C865" s="4"/>
      <c r="D865" s="4"/>
      <c r="E865" s="4"/>
      <c r="F865" s="4"/>
      <c r="G865" s="4"/>
      <c r="H865" s="52"/>
      <c r="I865" s="4"/>
      <c r="J865" s="52"/>
      <c r="K865" s="52"/>
      <c r="L865" s="52"/>
      <c r="M865" s="52"/>
      <c r="N865" s="52"/>
      <c r="O865" s="52"/>
      <c r="P865" s="52"/>
      <c r="Q865" s="52"/>
      <c r="R865" s="4"/>
      <c r="S865" s="4"/>
      <c r="T865" s="4"/>
      <c r="U865" s="74"/>
      <c r="V865" s="3"/>
      <c r="W865" s="3"/>
      <c r="X865" s="3"/>
      <c r="Y865" s="3"/>
      <c r="Z865" s="58"/>
      <c r="AA865" s="3"/>
      <c r="AB865" s="3"/>
      <c r="AC865" s="4"/>
      <c r="AD865" s="4"/>
      <c r="AE865" s="4"/>
      <c r="AF865" s="4"/>
      <c r="AG865" s="4"/>
      <c r="AH865" s="4"/>
      <c r="AI865" s="4"/>
    </row>
    <row r="866">
      <c r="A866" s="57"/>
      <c r="B866" s="4"/>
      <c r="C866" s="4"/>
      <c r="D866" s="4"/>
      <c r="E866" s="4"/>
      <c r="F866" s="4"/>
      <c r="G866" s="4"/>
      <c r="H866" s="52"/>
      <c r="I866" s="4"/>
      <c r="J866" s="52"/>
      <c r="K866" s="52"/>
      <c r="L866" s="52"/>
      <c r="M866" s="52"/>
      <c r="N866" s="52"/>
      <c r="O866" s="52"/>
      <c r="P866" s="52"/>
      <c r="Q866" s="52"/>
      <c r="R866" s="4"/>
      <c r="S866" s="4"/>
      <c r="T866" s="4"/>
      <c r="U866" s="74"/>
      <c r="V866" s="3"/>
      <c r="W866" s="3"/>
      <c r="X866" s="3"/>
      <c r="Y866" s="3"/>
      <c r="Z866" s="58"/>
      <c r="AA866" s="3"/>
      <c r="AB866" s="3"/>
      <c r="AC866" s="4"/>
      <c r="AD866" s="4"/>
      <c r="AE866" s="4"/>
      <c r="AF866" s="4"/>
      <c r="AG866" s="4"/>
      <c r="AH866" s="4"/>
      <c r="AI866" s="4"/>
    </row>
    <row r="867">
      <c r="A867" s="57"/>
      <c r="B867" s="4"/>
      <c r="C867" s="4"/>
      <c r="D867" s="4"/>
      <c r="E867" s="4"/>
      <c r="F867" s="4"/>
      <c r="G867" s="4"/>
      <c r="H867" s="52"/>
      <c r="I867" s="4"/>
      <c r="J867" s="52"/>
      <c r="K867" s="52"/>
      <c r="L867" s="52"/>
      <c r="M867" s="52"/>
      <c r="N867" s="52"/>
      <c r="O867" s="52"/>
      <c r="P867" s="52"/>
      <c r="Q867" s="52"/>
      <c r="R867" s="4"/>
      <c r="S867" s="4"/>
      <c r="T867" s="4"/>
      <c r="U867" s="74"/>
      <c r="V867" s="3"/>
      <c r="W867" s="3"/>
      <c r="X867" s="3"/>
      <c r="Y867" s="3"/>
      <c r="Z867" s="58"/>
      <c r="AA867" s="3"/>
      <c r="AB867" s="3"/>
      <c r="AC867" s="4"/>
      <c r="AD867" s="4"/>
      <c r="AE867" s="4"/>
      <c r="AF867" s="4"/>
      <c r="AG867" s="4"/>
      <c r="AH867" s="4"/>
      <c r="AI867" s="4"/>
    </row>
    <row r="868">
      <c r="A868" s="57"/>
      <c r="B868" s="4"/>
      <c r="C868" s="4"/>
      <c r="D868" s="4"/>
      <c r="E868" s="4"/>
      <c r="F868" s="4"/>
      <c r="G868" s="4"/>
      <c r="H868" s="52"/>
      <c r="I868" s="4"/>
      <c r="J868" s="52"/>
      <c r="K868" s="52"/>
      <c r="L868" s="52"/>
      <c r="M868" s="52"/>
      <c r="N868" s="52"/>
      <c r="O868" s="52"/>
      <c r="P868" s="52"/>
      <c r="Q868" s="52"/>
      <c r="R868" s="4"/>
      <c r="S868" s="4"/>
      <c r="T868" s="4"/>
      <c r="U868" s="74"/>
      <c r="V868" s="3"/>
      <c r="W868" s="3"/>
      <c r="X868" s="3"/>
      <c r="Y868" s="3"/>
      <c r="Z868" s="58"/>
      <c r="AA868" s="3"/>
      <c r="AB868" s="3"/>
      <c r="AC868" s="4"/>
      <c r="AD868" s="4"/>
      <c r="AE868" s="4"/>
      <c r="AF868" s="4"/>
      <c r="AG868" s="4"/>
      <c r="AH868" s="4"/>
      <c r="AI868" s="4"/>
    </row>
    <row r="869">
      <c r="A869" s="57"/>
      <c r="B869" s="4"/>
      <c r="C869" s="4"/>
      <c r="D869" s="4"/>
      <c r="E869" s="4"/>
      <c r="F869" s="4"/>
      <c r="G869" s="4"/>
      <c r="H869" s="52"/>
      <c r="I869" s="4"/>
      <c r="J869" s="52"/>
      <c r="K869" s="52"/>
      <c r="L869" s="52"/>
      <c r="M869" s="52"/>
      <c r="N869" s="52"/>
      <c r="O869" s="52"/>
      <c r="P869" s="52"/>
      <c r="Q869" s="52"/>
      <c r="R869" s="4"/>
      <c r="S869" s="4"/>
      <c r="T869" s="4"/>
      <c r="U869" s="74"/>
      <c r="V869" s="3"/>
      <c r="W869" s="3"/>
      <c r="X869" s="3"/>
      <c r="Y869" s="3"/>
      <c r="Z869" s="58"/>
      <c r="AA869" s="3"/>
      <c r="AB869" s="3"/>
      <c r="AC869" s="4"/>
      <c r="AD869" s="4"/>
      <c r="AE869" s="4"/>
      <c r="AF869" s="4"/>
      <c r="AG869" s="4"/>
      <c r="AH869" s="4"/>
      <c r="AI869" s="4"/>
    </row>
    <row r="870">
      <c r="A870" s="57"/>
      <c r="B870" s="4"/>
      <c r="C870" s="4"/>
      <c r="D870" s="4"/>
      <c r="E870" s="4"/>
      <c r="F870" s="4"/>
      <c r="G870" s="4"/>
      <c r="H870" s="52"/>
      <c r="I870" s="4"/>
      <c r="J870" s="52"/>
      <c r="K870" s="52"/>
      <c r="L870" s="52"/>
      <c r="M870" s="52"/>
      <c r="N870" s="52"/>
      <c r="O870" s="52"/>
      <c r="P870" s="52"/>
      <c r="Q870" s="52"/>
      <c r="R870" s="4"/>
      <c r="S870" s="4"/>
      <c r="T870" s="4"/>
      <c r="U870" s="74"/>
      <c r="V870" s="3"/>
      <c r="W870" s="3"/>
      <c r="X870" s="3"/>
      <c r="Y870" s="3"/>
      <c r="Z870" s="58"/>
      <c r="AA870" s="3"/>
      <c r="AB870" s="3"/>
      <c r="AC870" s="4"/>
      <c r="AD870" s="4"/>
      <c r="AE870" s="4"/>
      <c r="AF870" s="4"/>
      <c r="AG870" s="4"/>
      <c r="AH870" s="4"/>
      <c r="AI870" s="4"/>
    </row>
    <row r="871">
      <c r="A871" s="57"/>
      <c r="B871" s="4"/>
      <c r="C871" s="4"/>
      <c r="D871" s="4"/>
      <c r="E871" s="4"/>
      <c r="F871" s="4"/>
      <c r="G871" s="4"/>
      <c r="H871" s="52"/>
      <c r="I871" s="4"/>
      <c r="J871" s="52"/>
      <c r="K871" s="52"/>
      <c r="L871" s="52"/>
      <c r="M871" s="52"/>
      <c r="N871" s="52"/>
      <c r="O871" s="52"/>
      <c r="P871" s="52"/>
      <c r="Q871" s="52"/>
      <c r="R871" s="4"/>
      <c r="S871" s="4"/>
      <c r="T871" s="4"/>
      <c r="U871" s="74"/>
      <c r="V871" s="3"/>
      <c r="W871" s="3"/>
      <c r="X871" s="3"/>
      <c r="Y871" s="3"/>
      <c r="Z871" s="58"/>
      <c r="AA871" s="3"/>
      <c r="AB871" s="3"/>
      <c r="AC871" s="4"/>
      <c r="AD871" s="4"/>
      <c r="AE871" s="4"/>
      <c r="AF871" s="4"/>
      <c r="AG871" s="4"/>
      <c r="AH871" s="4"/>
      <c r="AI871" s="4"/>
    </row>
    <row r="872">
      <c r="A872" s="57"/>
      <c r="B872" s="4"/>
      <c r="C872" s="4"/>
      <c r="D872" s="4"/>
      <c r="E872" s="4"/>
      <c r="F872" s="4"/>
      <c r="G872" s="4"/>
      <c r="H872" s="52"/>
      <c r="I872" s="4"/>
      <c r="J872" s="52"/>
      <c r="K872" s="52"/>
      <c r="L872" s="52"/>
      <c r="M872" s="52"/>
      <c r="N872" s="52"/>
      <c r="O872" s="52"/>
      <c r="P872" s="52"/>
      <c r="Q872" s="52"/>
      <c r="R872" s="4"/>
      <c r="S872" s="4"/>
      <c r="T872" s="4"/>
      <c r="U872" s="74"/>
      <c r="V872" s="3"/>
      <c r="W872" s="3"/>
      <c r="X872" s="3"/>
      <c r="Y872" s="3"/>
      <c r="Z872" s="58"/>
      <c r="AA872" s="3"/>
      <c r="AB872" s="3"/>
      <c r="AC872" s="4"/>
      <c r="AD872" s="4"/>
      <c r="AE872" s="4"/>
      <c r="AF872" s="4"/>
      <c r="AG872" s="4"/>
      <c r="AH872" s="4"/>
      <c r="AI872" s="4"/>
    </row>
    <row r="873">
      <c r="A873" s="57"/>
      <c r="B873" s="4"/>
      <c r="C873" s="4"/>
      <c r="D873" s="4"/>
      <c r="E873" s="4"/>
      <c r="F873" s="4"/>
      <c r="G873" s="4"/>
      <c r="H873" s="52"/>
      <c r="I873" s="4"/>
      <c r="J873" s="52"/>
      <c r="K873" s="52"/>
      <c r="L873" s="52"/>
      <c r="M873" s="52"/>
      <c r="N873" s="52"/>
      <c r="O873" s="52"/>
      <c r="P873" s="52"/>
      <c r="Q873" s="52"/>
      <c r="R873" s="4"/>
      <c r="S873" s="4"/>
      <c r="T873" s="4"/>
      <c r="U873" s="74"/>
      <c r="V873" s="3"/>
      <c r="W873" s="3"/>
      <c r="X873" s="3"/>
      <c r="Y873" s="3"/>
      <c r="Z873" s="58"/>
      <c r="AA873" s="3"/>
      <c r="AB873" s="3"/>
      <c r="AC873" s="4"/>
      <c r="AD873" s="4"/>
      <c r="AE873" s="4"/>
      <c r="AF873" s="4"/>
      <c r="AG873" s="4"/>
      <c r="AH873" s="4"/>
      <c r="AI873" s="4"/>
    </row>
    <row r="874">
      <c r="A874" s="57"/>
      <c r="B874" s="4"/>
      <c r="C874" s="4"/>
      <c r="D874" s="4"/>
      <c r="E874" s="4"/>
      <c r="F874" s="4"/>
      <c r="G874" s="4"/>
      <c r="H874" s="52"/>
      <c r="I874" s="4"/>
      <c r="J874" s="52"/>
      <c r="K874" s="52"/>
      <c r="L874" s="52"/>
      <c r="M874" s="52"/>
      <c r="N874" s="52"/>
      <c r="O874" s="52"/>
      <c r="P874" s="52"/>
      <c r="Q874" s="52"/>
      <c r="R874" s="4"/>
      <c r="S874" s="4"/>
      <c r="T874" s="4"/>
      <c r="U874" s="74"/>
      <c r="V874" s="3"/>
      <c r="W874" s="3"/>
      <c r="X874" s="3"/>
      <c r="Y874" s="3"/>
      <c r="Z874" s="58"/>
      <c r="AA874" s="3"/>
      <c r="AB874" s="3"/>
      <c r="AC874" s="4"/>
      <c r="AD874" s="4"/>
      <c r="AE874" s="4"/>
      <c r="AF874" s="4"/>
      <c r="AG874" s="4"/>
      <c r="AH874" s="4"/>
      <c r="AI874" s="4"/>
    </row>
    <row r="875">
      <c r="A875" s="57"/>
      <c r="B875" s="4"/>
      <c r="C875" s="4"/>
      <c r="D875" s="4"/>
      <c r="E875" s="4"/>
      <c r="F875" s="4"/>
      <c r="G875" s="4"/>
      <c r="H875" s="52"/>
      <c r="I875" s="4"/>
      <c r="J875" s="52"/>
      <c r="K875" s="52"/>
      <c r="L875" s="52"/>
      <c r="M875" s="52"/>
      <c r="N875" s="52"/>
      <c r="O875" s="52"/>
      <c r="P875" s="52"/>
      <c r="Q875" s="52"/>
      <c r="R875" s="4"/>
      <c r="S875" s="4"/>
      <c r="T875" s="4"/>
      <c r="U875" s="74"/>
      <c r="V875" s="3"/>
      <c r="W875" s="3"/>
      <c r="X875" s="3"/>
      <c r="Y875" s="3"/>
      <c r="Z875" s="58"/>
      <c r="AA875" s="3"/>
      <c r="AB875" s="3"/>
      <c r="AC875" s="4"/>
      <c r="AD875" s="4"/>
      <c r="AE875" s="4"/>
      <c r="AF875" s="4"/>
      <c r="AG875" s="4"/>
      <c r="AH875" s="4"/>
      <c r="AI875" s="4"/>
    </row>
    <row r="876">
      <c r="A876" s="57"/>
      <c r="B876" s="4"/>
      <c r="C876" s="4"/>
      <c r="D876" s="4"/>
      <c r="E876" s="4"/>
      <c r="F876" s="4"/>
      <c r="G876" s="4"/>
      <c r="H876" s="52"/>
      <c r="I876" s="4"/>
      <c r="J876" s="52"/>
      <c r="K876" s="52"/>
      <c r="L876" s="52"/>
      <c r="M876" s="52"/>
      <c r="N876" s="52"/>
      <c r="O876" s="52"/>
      <c r="P876" s="52"/>
      <c r="Q876" s="52"/>
      <c r="R876" s="4"/>
      <c r="S876" s="4"/>
      <c r="T876" s="4"/>
      <c r="U876" s="74"/>
      <c r="V876" s="3"/>
      <c r="W876" s="3"/>
      <c r="X876" s="3"/>
      <c r="Y876" s="3"/>
      <c r="Z876" s="58"/>
      <c r="AA876" s="3"/>
      <c r="AB876" s="3"/>
      <c r="AC876" s="4"/>
      <c r="AD876" s="4"/>
      <c r="AE876" s="4"/>
      <c r="AF876" s="4"/>
      <c r="AG876" s="4"/>
      <c r="AH876" s="4"/>
      <c r="AI876" s="4"/>
    </row>
    <row r="877">
      <c r="A877" s="57"/>
      <c r="B877" s="4"/>
      <c r="C877" s="4"/>
      <c r="D877" s="4"/>
      <c r="E877" s="4"/>
      <c r="F877" s="4"/>
      <c r="G877" s="4"/>
      <c r="H877" s="52"/>
      <c r="I877" s="4"/>
      <c r="J877" s="52"/>
      <c r="K877" s="52"/>
      <c r="L877" s="52"/>
      <c r="M877" s="52"/>
      <c r="N877" s="52"/>
      <c r="O877" s="52"/>
      <c r="P877" s="52"/>
      <c r="Q877" s="52"/>
      <c r="R877" s="4"/>
      <c r="S877" s="4"/>
      <c r="T877" s="4"/>
      <c r="U877" s="74"/>
      <c r="V877" s="3"/>
      <c r="W877" s="3"/>
      <c r="X877" s="3"/>
      <c r="Y877" s="3"/>
      <c r="Z877" s="58"/>
      <c r="AA877" s="3"/>
      <c r="AB877" s="3"/>
      <c r="AC877" s="4"/>
      <c r="AD877" s="4"/>
      <c r="AE877" s="4"/>
      <c r="AF877" s="4"/>
      <c r="AG877" s="4"/>
      <c r="AH877" s="4"/>
      <c r="AI877" s="4"/>
    </row>
    <row r="878">
      <c r="A878" s="57"/>
      <c r="B878" s="4"/>
      <c r="C878" s="4"/>
      <c r="D878" s="4"/>
      <c r="E878" s="4"/>
      <c r="F878" s="4"/>
      <c r="G878" s="4"/>
      <c r="H878" s="52"/>
      <c r="I878" s="4"/>
      <c r="J878" s="52"/>
      <c r="K878" s="52"/>
      <c r="L878" s="52"/>
      <c r="M878" s="52"/>
      <c r="N878" s="52"/>
      <c r="O878" s="52"/>
      <c r="P878" s="52"/>
      <c r="Q878" s="52"/>
      <c r="R878" s="4"/>
      <c r="S878" s="4"/>
      <c r="T878" s="4"/>
      <c r="U878" s="74"/>
      <c r="V878" s="3"/>
      <c r="W878" s="3"/>
      <c r="X878" s="3"/>
      <c r="Y878" s="3"/>
      <c r="Z878" s="58"/>
      <c r="AA878" s="3"/>
      <c r="AB878" s="3"/>
      <c r="AC878" s="4"/>
      <c r="AD878" s="4"/>
      <c r="AE878" s="4"/>
      <c r="AF878" s="4"/>
      <c r="AG878" s="4"/>
      <c r="AH878" s="4"/>
      <c r="AI878" s="4"/>
    </row>
    <row r="879">
      <c r="A879" s="57"/>
      <c r="B879" s="4"/>
      <c r="C879" s="4"/>
      <c r="D879" s="4"/>
      <c r="E879" s="4"/>
      <c r="F879" s="4"/>
      <c r="G879" s="4"/>
      <c r="H879" s="52"/>
      <c r="I879" s="4"/>
      <c r="J879" s="52"/>
      <c r="K879" s="52"/>
      <c r="L879" s="52"/>
      <c r="M879" s="52"/>
      <c r="N879" s="52"/>
      <c r="O879" s="52"/>
      <c r="P879" s="52"/>
      <c r="Q879" s="52"/>
      <c r="R879" s="4"/>
      <c r="S879" s="4"/>
      <c r="T879" s="4"/>
      <c r="U879" s="74"/>
      <c r="V879" s="3"/>
      <c r="W879" s="3"/>
      <c r="X879" s="3"/>
      <c r="Y879" s="3"/>
      <c r="Z879" s="58"/>
      <c r="AA879" s="3"/>
      <c r="AB879" s="3"/>
      <c r="AC879" s="4"/>
      <c r="AD879" s="4"/>
      <c r="AE879" s="4"/>
      <c r="AF879" s="4"/>
      <c r="AG879" s="4"/>
      <c r="AH879" s="4"/>
      <c r="AI879" s="4"/>
    </row>
    <row r="880">
      <c r="A880" s="57"/>
      <c r="B880" s="4"/>
      <c r="C880" s="4"/>
      <c r="D880" s="4"/>
      <c r="E880" s="4"/>
      <c r="F880" s="4"/>
      <c r="G880" s="4"/>
      <c r="H880" s="52"/>
      <c r="I880" s="4"/>
      <c r="J880" s="52"/>
      <c r="K880" s="52"/>
      <c r="L880" s="52"/>
      <c r="M880" s="52"/>
      <c r="N880" s="52"/>
      <c r="O880" s="52"/>
      <c r="P880" s="52"/>
      <c r="Q880" s="52"/>
      <c r="R880" s="4"/>
      <c r="S880" s="4"/>
      <c r="T880" s="4"/>
      <c r="U880" s="74"/>
      <c r="V880" s="3"/>
      <c r="W880" s="3"/>
      <c r="X880" s="3"/>
      <c r="Y880" s="3"/>
      <c r="Z880" s="58"/>
      <c r="AA880" s="3"/>
      <c r="AB880" s="3"/>
      <c r="AC880" s="4"/>
      <c r="AD880" s="4"/>
      <c r="AE880" s="4"/>
      <c r="AF880" s="4"/>
      <c r="AG880" s="4"/>
      <c r="AH880" s="4"/>
      <c r="AI880" s="4"/>
    </row>
    <row r="881">
      <c r="A881" s="57"/>
      <c r="B881" s="4"/>
      <c r="C881" s="4"/>
      <c r="D881" s="4"/>
      <c r="E881" s="4"/>
      <c r="F881" s="4"/>
      <c r="G881" s="4"/>
      <c r="H881" s="52"/>
      <c r="I881" s="4"/>
      <c r="J881" s="52"/>
      <c r="K881" s="52"/>
      <c r="L881" s="52"/>
      <c r="M881" s="52"/>
      <c r="N881" s="52"/>
      <c r="O881" s="52"/>
      <c r="P881" s="52"/>
      <c r="Q881" s="52"/>
      <c r="R881" s="4"/>
      <c r="S881" s="4"/>
      <c r="T881" s="4"/>
      <c r="U881" s="74"/>
      <c r="V881" s="3"/>
      <c r="W881" s="3"/>
      <c r="X881" s="3"/>
      <c r="Y881" s="3"/>
      <c r="Z881" s="58"/>
      <c r="AA881" s="3"/>
      <c r="AB881" s="3"/>
      <c r="AC881" s="4"/>
      <c r="AD881" s="4"/>
      <c r="AE881" s="4"/>
      <c r="AF881" s="4"/>
      <c r="AG881" s="4"/>
      <c r="AH881" s="4"/>
      <c r="AI881" s="4"/>
    </row>
    <row r="882">
      <c r="A882" s="57"/>
      <c r="B882" s="4"/>
      <c r="C882" s="4"/>
      <c r="D882" s="4"/>
      <c r="E882" s="4"/>
      <c r="F882" s="4"/>
      <c r="G882" s="4"/>
      <c r="H882" s="52"/>
      <c r="I882" s="4"/>
      <c r="J882" s="52"/>
      <c r="K882" s="52"/>
      <c r="L882" s="52"/>
      <c r="M882" s="52"/>
      <c r="N882" s="52"/>
      <c r="O882" s="52"/>
      <c r="P882" s="52"/>
      <c r="Q882" s="52"/>
      <c r="R882" s="4"/>
      <c r="S882" s="4"/>
      <c r="T882" s="4"/>
      <c r="U882" s="74"/>
      <c r="V882" s="3"/>
      <c r="W882" s="3"/>
      <c r="X882" s="3"/>
      <c r="Y882" s="3"/>
      <c r="Z882" s="58"/>
      <c r="AA882" s="3"/>
      <c r="AB882" s="3"/>
      <c r="AC882" s="4"/>
      <c r="AD882" s="4"/>
      <c r="AE882" s="4"/>
      <c r="AF882" s="4"/>
      <c r="AG882" s="4"/>
      <c r="AH882" s="4"/>
      <c r="AI882" s="4"/>
    </row>
    <row r="883">
      <c r="A883" s="57"/>
      <c r="B883" s="4"/>
      <c r="C883" s="4"/>
      <c r="D883" s="4"/>
      <c r="E883" s="4"/>
      <c r="F883" s="4"/>
      <c r="G883" s="4"/>
      <c r="H883" s="52"/>
      <c r="I883" s="4"/>
      <c r="J883" s="52"/>
      <c r="K883" s="52"/>
      <c r="L883" s="52"/>
      <c r="M883" s="52"/>
      <c r="N883" s="52"/>
      <c r="O883" s="52"/>
      <c r="P883" s="52"/>
      <c r="Q883" s="52"/>
      <c r="R883" s="4"/>
      <c r="S883" s="4"/>
      <c r="T883" s="4"/>
      <c r="U883" s="74"/>
      <c r="V883" s="3"/>
      <c r="W883" s="3"/>
      <c r="X883" s="3"/>
      <c r="Y883" s="3"/>
      <c r="Z883" s="58"/>
      <c r="AA883" s="3"/>
      <c r="AB883" s="3"/>
      <c r="AC883" s="4"/>
      <c r="AD883" s="4"/>
      <c r="AE883" s="4"/>
      <c r="AF883" s="4"/>
      <c r="AG883" s="4"/>
      <c r="AH883" s="4"/>
      <c r="AI883" s="4"/>
    </row>
    <row r="884">
      <c r="A884" s="57"/>
      <c r="B884" s="4"/>
      <c r="C884" s="4"/>
      <c r="D884" s="4"/>
      <c r="E884" s="4"/>
      <c r="F884" s="4"/>
      <c r="G884" s="4"/>
      <c r="H884" s="52"/>
      <c r="I884" s="4"/>
      <c r="J884" s="52"/>
      <c r="K884" s="52"/>
      <c r="L884" s="52"/>
      <c r="M884" s="52"/>
      <c r="N884" s="52"/>
      <c r="O884" s="52"/>
      <c r="P884" s="52"/>
      <c r="Q884" s="52"/>
      <c r="R884" s="4"/>
      <c r="S884" s="4"/>
      <c r="T884" s="4"/>
      <c r="U884" s="74"/>
      <c r="V884" s="3"/>
      <c r="W884" s="3"/>
      <c r="X884" s="3"/>
      <c r="Y884" s="3"/>
      <c r="Z884" s="58"/>
      <c r="AA884" s="3"/>
      <c r="AB884" s="3"/>
      <c r="AC884" s="4"/>
      <c r="AD884" s="4"/>
      <c r="AE884" s="4"/>
      <c r="AF884" s="4"/>
      <c r="AG884" s="4"/>
      <c r="AH884" s="4"/>
      <c r="AI884" s="4"/>
    </row>
    <row r="885">
      <c r="A885" s="57"/>
      <c r="B885" s="4"/>
      <c r="C885" s="4"/>
      <c r="D885" s="4"/>
      <c r="E885" s="4"/>
      <c r="F885" s="4"/>
      <c r="G885" s="4"/>
      <c r="H885" s="52"/>
      <c r="I885" s="4"/>
      <c r="J885" s="52"/>
      <c r="K885" s="52"/>
      <c r="L885" s="52"/>
      <c r="M885" s="52"/>
      <c r="N885" s="52"/>
      <c r="O885" s="52"/>
      <c r="P885" s="52"/>
      <c r="Q885" s="52"/>
      <c r="R885" s="4"/>
      <c r="S885" s="4"/>
      <c r="T885" s="4"/>
      <c r="U885" s="74"/>
      <c r="V885" s="3"/>
      <c r="W885" s="3"/>
      <c r="X885" s="3"/>
      <c r="Y885" s="3"/>
      <c r="Z885" s="58"/>
      <c r="AA885" s="3"/>
      <c r="AB885" s="3"/>
      <c r="AC885" s="4"/>
      <c r="AD885" s="4"/>
      <c r="AE885" s="4"/>
      <c r="AF885" s="4"/>
      <c r="AG885" s="4"/>
      <c r="AH885" s="4"/>
      <c r="AI885" s="4"/>
    </row>
    <row r="886">
      <c r="A886" s="57"/>
      <c r="B886" s="4"/>
      <c r="C886" s="4"/>
      <c r="D886" s="4"/>
      <c r="E886" s="4"/>
      <c r="F886" s="4"/>
      <c r="G886" s="4"/>
      <c r="H886" s="52"/>
      <c r="I886" s="4"/>
      <c r="J886" s="52"/>
      <c r="K886" s="52"/>
      <c r="L886" s="52"/>
      <c r="M886" s="52"/>
      <c r="N886" s="52"/>
      <c r="O886" s="52"/>
      <c r="P886" s="52"/>
      <c r="Q886" s="52"/>
      <c r="R886" s="4"/>
      <c r="S886" s="4"/>
      <c r="T886" s="4"/>
      <c r="U886" s="74"/>
      <c r="V886" s="3"/>
      <c r="W886" s="3"/>
      <c r="X886" s="3"/>
      <c r="Y886" s="3"/>
      <c r="Z886" s="58"/>
      <c r="AA886" s="3"/>
      <c r="AB886" s="3"/>
      <c r="AC886" s="4"/>
      <c r="AD886" s="4"/>
      <c r="AE886" s="4"/>
      <c r="AF886" s="4"/>
      <c r="AG886" s="4"/>
      <c r="AH886" s="4"/>
      <c r="AI886" s="4"/>
    </row>
    <row r="887">
      <c r="A887" s="57"/>
      <c r="B887" s="4"/>
      <c r="C887" s="4"/>
      <c r="D887" s="4"/>
      <c r="E887" s="4"/>
      <c r="F887" s="4"/>
      <c r="G887" s="4"/>
      <c r="H887" s="52"/>
      <c r="I887" s="4"/>
      <c r="J887" s="52"/>
      <c r="K887" s="52"/>
      <c r="L887" s="52"/>
      <c r="M887" s="52"/>
      <c r="N887" s="52"/>
      <c r="O887" s="52"/>
      <c r="P887" s="52"/>
      <c r="Q887" s="52"/>
      <c r="R887" s="4"/>
      <c r="S887" s="4"/>
      <c r="T887" s="4"/>
      <c r="U887" s="74"/>
      <c r="V887" s="3"/>
      <c r="W887" s="3"/>
      <c r="X887" s="3"/>
      <c r="Y887" s="3"/>
      <c r="Z887" s="58"/>
      <c r="AA887" s="3"/>
      <c r="AB887" s="3"/>
      <c r="AC887" s="4"/>
      <c r="AD887" s="4"/>
      <c r="AE887" s="4"/>
      <c r="AF887" s="4"/>
      <c r="AG887" s="4"/>
      <c r="AH887" s="4"/>
      <c r="AI887" s="4"/>
    </row>
    <row r="888">
      <c r="A888" s="57"/>
      <c r="B888" s="4"/>
      <c r="C888" s="4"/>
      <c r="D888" s="4"/>
      <c r="E888" s="4"/>
      <c r="F888" s="4"/>
      <c r="G888" s="4"/>
      <c r="H888" s="52"/>
      <c r="I888" s="4"/>
      <c r="J888" s="52"/>
      <c r="K888" s="52"/>
      <c r="L888" s="52"/>
      <c r="M888" s="52"/>
      <c r="N888" s="52"/>
      <c r="O888" s="52"/>
      <c r="P888" s="52"/>
      <c r="Q888" s="52"/>
      <c r="R888" s="4"/>
      <c r="S888" s="4"/>
      <c r="T888" s="4"/>
      <c r="U888" s="74"/>
      <c r="V888" s="3"/>
      <c r="W888" s="3"/>
      <c r="X888" s="3"/>
      <c r="Y888" s="3"/>
      <c r="Z888" s="58"/>
      <c r="AA888" s="3"/>
      <c r="AB888" s="3"/>
      <c r="AC888" s="4"/>
      <c r="AD888" s="4"/>
      <c r="AE888" s="4"/>
      <c r="AF888" s="4"/>
      <c r="AG888" s="4"/>
      <c r="AH888" s="4"/>
      <c r="AI888" s="4"/>
    </row>
    <row r="889">
      <c r="A889" s="57"/>
      <c r="B889" s="4"/>
      <c r="C889" s="4"/>
      <c r="D889" s="4"/>
      <c r="E889" s="4"/>
      <c r="F889" s="4"/>
      <c r="G889" s="4"/>
      <c r="H889" s="52"/>
      <c r="I889" s="4"/>
      <c r="J889" s="52"/>
      <c r="K889" s="52"/>
      <c r="L889" s="52"/>
      <c r="M889" s="52"/>
      <c r="N889" s="52"/>
      <c r="O889" s="52"/>
      <c r="P889" s="52"/>
      <c r="Q889" s="52"/>
      <c r="R889" s="4"/>
      <c r="S889" s="4"/>
      <c r="T889" s="4"/>
      <c r="U889" s="74"/>
      <c r="V889" s="3"/>
      <c r="W889" s="3"/>
      <c r="X889" s="3"/>
      <c r="Y889" s="3"/>
      <c r="Z889" s="58"/>
      <c r="AA889" s="3"/>
      <c r="AB889" s="3"/>
      <c r="AC889" s="4"/>
      <c r="AD889" s="4"/>
      <c r="AE889" s="4"/>
      <c r="AF889" s="4"/>
      <c r="AG889" s="4"/>
      <c r="AH889" s="4"/>
      <c r="AI889" s="4"/>
    </row>
    <row r="890">
      <c r="A890" s="57"/>
      <c r="B890" s="4"/>
      <c r="C890" s="4"/>
      <c r="D890" s="4"/>
      <c r="E890" s="4"/>
      <c r="F890" s="4"/>
      <c r="G890" s="4"/>
      <c r="H890" s="52"/>
      <c r="I890" s="4"/>
      <c r="J890" s="52"/>
      <c r="K890" s="52"/>
      <c r="L890" s="52"/>
      <c r="M890" s="52"/>
      <c r="N890" s="52"/>
      <c r="O890" s="52"/>
      <c r="P890" s="52"/>
      <c r="Q890" s="52"/>
      <c r="R890" s="4"/>
      <c r="S890" s="4"/>
      <c r="T890" s="4"/>
      <c r="U890" s="74"/>
      <c r="V890" s="3"/>
      <c r="W890" s="3"/>
      <c r="X890" s="3"/>
      <c r="Y890" s="3"/>
      <c r="Z890" s="58"/>
      <c r="AA890" s="3"/>
      <c r="AB890" s="3"/>
      <c r="AC890" s="4"/>
      <c r="AD890" s="4"/>
      <c r="AE890" s="4"/>
      <c r="AF890" s="4"/>
      <c r="AG890" s="4"/>
      <c r="AH890" s="4"/>
      <c r="AI890" s="4"/>
    </row>
    <row r="891">
      <c r="A891" s="57"/>
      <c r="B891" s="4"/>
      <c r="C891" s="4"/>
      <c r="D891" s="4"/>
      <c r="E891" s="4"/>
      <c r="F891" s="4"/>
      <c r="G891" s="4"/>
      <c r="H891" s="52"/>
      <c r="I891" s="4"/>
      <c r="J891" s="52"/>
      <c r="K891" s="52"/>
      <c r="L891" s="52"/>
      <c r="M891" s="52"/>
      <c r="N891" s="52"/>
      <c r="O891" s="52"/>
      <c r="P891" s="52"/>
      <c r="Q891" s="52"/>
      <c r="R891" s="4"/>
      <c r="S891" s="4"/>
      <c r="T891" s="4"/>
      <c r="U891" s="74"/>
      <c r="V891" s="3"/>
      <c r="W891" s="3"/>
      <c r="X891" s="3"/>
      <c r="Y891" s="3"/>
      <c r="Z891" s="58"/>
      <c r="AA891" s="3"/>
      <c r="AB891" s="3"/>
      <c r="AC891" s="4"/>
      <c r="AD891" s="4"/>
      <c r="AE891" s="4"/>
      <c r="AF891" s="4"/>
      <c r="AG891" s="4"/>
      <c r="AH891" s="4"/>
      <c r="AI891" s="4"/>
    </row>
    <row r="892">
      <c r="A892" s="57"/>
      <c r="B892" s="4"/>
      <c r="C892" s="4"/>
      <c r="D892" s="4"/>
      <c r="E892" s="4"/>
      <c r="F892" s="4"/>
      <c r="G892" s="4"/>
      <c r="H892" s="52"/>
      <c r="I892" s="4"/>
      <c r="J892" s="52"/>
      <c r="K892" s="52"/>
      <c r="L892" s="52"/>
      <c r="M892" s="52"/>
      <c r="N892" s="52"/>
      <c r="O892" s="52"/>
      <c r="P892" s="52"/>
      <c r="Q892" s="52"/>
      <c r="R892" s="4"/>
      <c r="S892" s="4"/>
      <c r="T892" s="4"/>
      <c r="U892" s="74"/>
      <c r="V892" s="3"/>
      <c r="W892" s="3"/>
      <c r="X892" s="3"/>
      <c r="Y892" s="3"/>
      <c r="Z892" s="58"/>
      <c r="AA892" s="3"/>
      <c r="AB892" s="3"/>
      <c r="AC892" s="4"/>
      <c r="AD892" s="4"/>
      <c r="AE892" s="4"/>
      <c r="AF892" s="4"/>
      <c r="AG892" s="4"/>
      <c r="AH892" s="4"/>
      <c r="AI892" s="4"/>
    </row>
    <row r="893">
      <c r="A893" s="57"/>
      <c r="B893" s="4"/>
      <c r="C893" s="4"/>
      <c r="D893" s="4"/>
      <c r="E893" s="4"/>
      <c r="F893" s="4"/>
      <c r="G893" s="4"/>
      <c r="H893" s="52"/>
      <c r="I893" s="4"/>
      <c r="J893" s="52"/>
      <c r="K893" s="52"/>
      <c r="L893" s="52"/>
      <c r="M893" s="52"/>
      <c r="N893" s="52"/>
      <c r="O893" s="52"/>
      <c r="P893" s="52"/>
      <c r="Q893" s="52"/>
      <c r="R893" s="4"/>
      <c r="S893" s="4"/>
      <c r="T893" s="4"/>
      <c r="U893" s="74"/>
      <c r="V893" s="3"/>
      <c r="W893" s="3"/>
      <c r="X893" s="3"/>
      <c r="Y893" s="3"/>
      <c r="Z893" s="58"/>
      <c r="AA893" s="3"/>
      <c r="AB893" s="3"/>
      <c r="AC893" s="4"/>
      <c r="AD893" s="4"/>
      <c r="AE893" s="4"/>
      <c r="AF893" s="4"/>
      <c r="AG893" s="4"/>
      <c r="AH893" s="4"/>
      <c r="AI893" s="4"/>
    </row>
    <row r="894">
      <c r="A894" s="57"/>
      <c r="B894" s="4"/>
      <c r="C894" s="4"/>
      <c r="D894" s="4"/>
      <c r="E894" s="4"/>
      <c r="F894" s="4"/>
      <c r="G894" s="4"/>
      <c r="H894" s="52"/>
      <c r="I894" s="4"/>
      <c r="J894" s="52"/>
      <c r="K894" s="52"/>
      <c r="L894" s="52"/>
      <c r="M894" s="52"/>
      <c r="N894" s="52"/>
      <c r="O894" s="52"/>
      <c r="P894" s="52"/>
      <c r="Q894" s="52"/>
      <c r="R894" s="4"/>
      <c r="S894" s="4"/>
      <c r="T894" s="4"/>
      <c r="U894" s="74"/>
      <c r="V894" s="3"/>
      <c r="W894" s="3"/>
      <c r="X894" s="3"/>
      <c r="Y894" s="3"/>
      <c r="Z894" s="58"/>
      <c r="AA894" s="3"/>
      <c r="AB894" s="3"/>
      <c r="AC894" s="4"/>
      <c r="AD894" s="4"/>
      <c r="AE894" s="4"/>
      <c r="AF894" s="4"/>
      <c r="AG894" s="4"/>
      <c r="AH894" s="4"/>
      <c r="AI894" s="4"/>
    </row>
    <row r="895">
      <c r="A895" s="57"/>
      <c r="B895" s="4"/>
      <c r="C895" s="4"/>
      <c r="D895" s="4"/>
      <c r="E895" s="4"/>
      <c r="F895" s="4"/>
      <c r="G895" s="4"/>
      <c r="H895" s="52"/>
      <c r="I895" s="4"/>
      <c r="J895" s="52"/>
      <c r="K895" s="52"/>
      <c r="L895" s="52"/>
      <c r="M895" s="52"/>
      <c r="N895" s="52"/>
      <c r="O895" s="52"/>
      <c r="P895" s="52"/>
      <c r="Q895" s="52"/>
      <c r="R895" s="4"/>
      <c r="S895" s="4"/>
      <c r="T895" s="4"/>
      <c r="U895" s="74"/>
      <c r="V895" s="3"/>
      <c r="W895" s="3"/>
      <c r="X895" s="3"/>
      <c r="Y895" s="3"/>
      <c r="Z895" s="58"/>
      <c r="AA895" s="3"/>
      <c r="AB895" s="3"/>
      <c r="AC895" s="4"/>
      <c r="AD895" s="4"/>
      <c r="AE895" s="4"/>
      <c r="AF895" s="4"/>
      <c r="AG895" s="4"/>
      <c r="AH895" s="4"/>
      <c r="AI895" s="4"/>
    </row>
    <row r="896">
      <c r="A896" s="57"/>
      <c r="B896" s="4"/>
      <c r="C896" s="4"/>
      <c r="D896" s="4"/>
      <c r="E896" s="4"/>
      <c r="F896" s="4"/>
      <c r="G896" s="4"/>
      <c r="H896" s="52"/>
      <c r="I896" s="4"/>
      <c r="J896" s="52"/>
      <c r="K896" s="52"/>
      <c r="L896" s="52"/>
      <c r="M896" s="52"/>
      <c r="N896" s="52"/>
      <c r="O896" s="52"/>
      <c r="P896" s="52"/>
      <c r="Q896" s="52"/>
      <c r="R896" s="4"/>
      <c r="S896" s="4"/>
      <c r="T896" s="4"/>
      <c r="U896" s="74"/>
      <c r="V896" s="3"/>
      <c r="W896" s="3"/>
      <c r="X896" s="3"/>
      <c r="Y896" s="3"/>
      <c r="Z896" s="58"/>
      <c r="AA896" s="3"/>
      <c r="AB896" s="3"/>
      <c r="AC896" s="4"/>
      <c r="AD896" s="4"/>
      <c r="AE896" s="4"/>
      <c r="AF896" s="4"/>
      <c r="AG896" s="4"/>
      <c r="AH896" s="4"/>
      <c r="AI896" s="4"/>
    </row>
    <row r="897">
      <c r="A897" s="57"/>
      <c r="B897" s="4"/>
      <c r="C897" s="4"/>
      <c r="D897" s="4"/>
      <c r="E897" s="4"/>
      <c r="F897" s="4"/>
      <c r="G897" s="4"/>
      <c r="H897" s="52"/>
      <c r="I897" s="4"/>
      <c r="J897" s="52"/>
      <c r="K897" s="52"/>
      <c r="L897" s="52"/>
      <c r="M897" s="52"/>
      <c r="N897" s="52"/>
      <c r="O897" s="52"/>
      <c r="P897" s="52"/>
      <c r="Q897" s="52"/>
      <c r="R897" s="4"/>
      <c r="S897" s="4"/>
      <c r="T897" s="4"/>
      <c r="U897" s="74"/>
      <c r="V897" s="3"/>
      <c r="W897" s="3"/>
      <c r="X897" s="3"/>
      <c r="Y897" s="3"/>
      <c r="Z897" s="58"/>
      <c r="AA897" s="3"/>
      <c r="AB897" s="3"/>
      <c r="AC897" s="4"/>
      <c r="AD897" s="4"/>
      <c r="AE897" s="4"/>
      <c r="AF897" s="4"/>
      <c r="AG897" s="4"/>
      <c r="AH897" s="4"/>
      <c r="AI897" s="4"/>
    </row>
    <row r="898">
      <c r="A898" s="57"/>
      <c r="B898" s="4"/>
      <c r="C898" s="4"/>
      <c r="D898" s="4"/>
      <c r="E898" s="4"/>
      <c r="F898" s="4"/>
      <c r="G898" s="4"/>
      <c r="H898" s="52"/>
      <c r="I898" s="4"/>
      <c r="J898" s="52"/>
      <c r="K898" s="52"/>
      <c r="L898" s="52"/>
      <c r="M898" s="52"/>
      <c r="N898" s="52"/>
      <c r="O898" s="52"/>
      <c r="P898" s="52"/>
      <c r="Q898" s="52"/>
      <c r="R898" s="4"/>
      <c r="S898" s="4"/>
      <c r="T898" s="4"/>
      <c r="U898" s="74"/>
      <c r="V898" s="3"/>
      <c r="W898" s="3"/>
      <c r="X898" s="3"/>
      <c r="Y898" s="3"/>
      <c r="Z898" s="58"/>
      <c r="AA898" s="3"/>
      <c r="AB898" s="3"/>
      <c r="AC898" s="4"/>
      <c r="AD898" s="4"/>
      <c r="AE898" s="4"/>
      <c r="AF898" s="4"/>
      <c r="AG898" s="4"/>
      <c r="AH898" s="4"/>
      <c r="AI898" s="4"/>
    </row>
    <row r="899">
      <c r="A899" s="57"/>
      <c r="B899" s="4"/>
      <c r="C899" s="4"/>
      <c r="D899" s="4"/>
      <c r="E899" s="4"/>
      <c r="F899" s="4"/>
      <c r="G899" s="4"/>
      <c r="H899" s="52"/>
      <c r="I899" s="4"/>
      <c r="J899" s="52"/>
      <c r="K899" s="52"/>
      <c r="L899" s="52"/>
      <c r="M899" s="52"/>
      <c r="N899" s="52"/>
      <c r="O899" s="52"/>
      <c r="P899" s="52"/>
      <c r="Q899" s="52"/>
      <c r="R899" s="4"/>
      <c r="S899" s="4"/>
      <c r="T899" s="4"/>
      <c r="U899" s="74"/>
      <c r="V899" s="3"/>
      <c r="W899" s="3"/>
      <c r="X899" s="3"/>
      <c r="Y899" s="3"/>
      <c r="Z899" s="58"/>
      <c r="AA899" s="3"/>
      <c r="AB899" s="3"/>
      <c r="AC899" s="4"/>
      <c r="AD899" s="4"/>
      <c r="AE899" s="4"/>
      <c r="AF899" s="4"/>
      <c r="AG899" s="4"/>
      <c r="AH899" s="4"/>
      <c r="AI899" s="4"/>
    </row>
    <row r="900">
      <c r="A900" s="57"/>
      <c r="B900" s="4"/>
      <c r="C900" s="4"/>
      <c r="D900" s="4"/>
      <c r="E900" s="4"/>
      <c r="F900" s="4"/>
      <c r="G900" s="4"/>
      <c r="H900" s="52"/>
      <c r="I900" s="4"/>
      <c r="J900" s="52"/>
      <c r="K900" s="52"/>
      <c r="L900" s="52"/>
      <c r="M900" s="52"/>
      <c r="N900" s="52"/>
      <c r="O900" s="52"/>
      <c r="P900" s="52"/>
      <c r="Q900" s="52"/>
      <c r="R900" s="4"/>
      <c r="S900" s="4"/>
      <c r="T900" s="4"/>
      <c r="U900" s="74"/>
      <c r="V900" s="3"/>
      <c r="W900" s="3"/>
      <c r="X900" s="3"/>
      <c r="Y900" s="3"/>
      <c r="Z900" s="58"/>
      <c r="AA900" s="3"/>
      <c r="AB900" s="3"/>
      <c r="AC900" s="4"/>
      <c r="AD900" s="4"/>
      <c r="AE900" s="4"/>
      <c r="AF900" s="4"/>
      <c r="AG900" s="4"/>
      <c r="AH900" s="4"/>
      <c r="AI900" s="4"/>
    </row>
    <row r="901">
      <c r="A901" s="57"/>
      <c r="B901" s="4"/>
      <c r="C901" s="4"/>
      <c r="D901" s="4"/>
      <c r="E901" s="4"/>
      <c r="F901" s="4"/>
      <c r="G901" s="4"/>
      <c r="H901" s="52"/>
      <c r="I901" s="4"/>
      <c r="J901" s="52"/>
      <c r="K901" s="52"/>
      <c r="L901" s="52"/>
      <c r="M901" s="52"/>
      <c r="N901" s="52"/>
      <c r="O901" s="52"/>
      <c r="P901" s="52"/>
      <c r="Q901" s="52"/>
      <c r="R901" s="4"/>
      <c r="S901" s="4"/>
      <c r="T901" s="4"/>
      <c r="U901" s="74"/>
      <c r="V901" s="3"/>
      <c r="W901" s="3"/>
      <c r="X901" s="3"/>
      <c r="Y901" s="3"/>
      <c r="Z901" s="58"/>
      <c r="AA901" s="3"/>
      <c r="AB901" s="3"/>
      <c r="AC901" s="4"/>
      <c r="AD901" s="4"/>
      <c r="AE901" s="4"/>
      <c r="AF901" s="4"/>
      <c r="AG901" s="4"/>
      <c r="AH901" s="4"/>
      <c r="AI901" s="4"/>
    </row>
    <row r="902">
      <c r="A902" s="57"/>
      <c r="B902" s="4"/>
      <c r="C902" s="4"/>
      <c r="D902" s="4"/>
      <c r="E902" s="4"/>
      <c r="F902" s="4"/>
      <c r="G902" s="4"/>
      <c r="H902" s="52"/>
      <c r="I902" s="4"/>
      <c r="J902" s="52"/>
      <c r="K902" s="52"/>
      <c r="L902" s="52"/>
      <c r="M902" s="52"/>
      <c r="N902" s="52"/>
      <c r="O902" s="52"/>
      <c r="P902" s="52"/>
      <c r="Q902" s="52"/>
      <c r="R902" s="4"/>
      <c r="S902" s="4"/>
      <c r="T902" s="4"/>
      <c r="U902" s="74"/>
      <c r="V902" s="3"/>
      <c r="W902" s="3"/>
      <c r="X902" s="3"/>
      <c r="Y902" s="3"/>
      <c r="Z902" s="58"/>
      <c r="AA902" s="3"/>
      <c r="AB902" s="3"/>
      <c r="AC902" s="4"/>
      <c r="AD902" s="4"/>
      <c r="AE902" s="4"/>
      <c r="AF902" s="4"/>
      <c r="AG902" s="4"/>
      <c r="AH902" s="4"/>
      <c r="AI902" s="4"/>
    </row>
    <row r="903">
      <c r="A903" s="57"/>
      <c r="B903" s="4"/>
      <c r="C903" s="4"/>
      <c r="D903" s="4"/>
      <c r="E903" s="4"/>
      <c r="F903" s="4"/>
      <c r="G903" s="4"/>
      <c r="H903" s="52"/>
      <c r="I903" s="4"/>
      <c r="J903" s="52"/>
      <c r="K903" s="52"/>
      <c r="L903" s="52"/>
      <c r="M903" s="52"/>
      <c r="N903" s="52"/>
      <c r="O903" s="52"/>
      <c r="P903" s="52"/>
      <c r="Q903" s="52"/>
      <c r="R903" s="4"/>
      <c r="S903" s="4"/>
      <c r="T903" s="4"/>
      <c r="U903" s="74"/>
      <c r="V903" s="3"/>
      <c r="W903" s="3"/>
      <c r="X903" s="3"/>
      <c r="Y903" s="3"/>
      <c r="Z903" s="58"/>
      <c r="AA903" s="3"/>
      <c r="AB903" s="3"/>
      <c r="AC903" s="4"/>
      <c r="AD903" s="4"/>
      <c r="AE903" s="4"/>
      <c r="AF903" s="4"/>
      <c r="AG903" s="4"/>
      <c r="AH903" s="4"/>
      <c r="AI903" s="4"/>
    </row>
    <row r="904">
      <c r="A904" s="57"/>
      <c r="B904" s="4"/>
      <c r="C904" s="4"/>
      <c r="D904" s="4"/>
      <c r="E904" s="4"/>
      <c r="F904" s="4"/>
      <c r="G904" s="4"/>
      <c r="H904" s="52"/>
      <c r="I904" s="4"/>
      <c r="J904" s="52"/>
      <c r="K904" s="52"/>
      <c r="L904" s="52"/>
      <c r="M904" s="52"/>
      <c r="N904" s="52"/>
      <c r="O904" s="52"/>
      <c r="P904" s="52"/>
      <c r="Q904" s="52"/>
      <c r="R904" s="4"/>
      <c r="S904" s="4"/>
      <c r="T904" s="4"/>
      <c r="U904" s="74"/>
      <c r="V904" s="3"/>
      <c r="W904" s="3"/>
      <c r="X904" s="3"/>
      <c r="Y904" s="3"/>
      <c r="Z904" s="58"/>
      <c r="AA904" s="3"/>
      <c r="AB904" s="3"/>
      <c r="AC904" s="4"/>
      <c r="AD904" s="4"/>
      <c r="AE904" s="4"/>
      <c r="AF904" s="4"/>
      <c r="AG904" s="4"/>
      <c r="AH904" s="4"/>
      <c r="AI904" s="4"/>
    </row>
    <row r="905">
      <c r="A905" s="57"/>
      <c r="B905" s="4"/>
      <c r="C905" s="4"/>
      <c r="D905" s="4"/>
      <c r="E905" s="4"/>
      <c r="F905" s="4"/>
      <c r="G905" s="4"/>
      <c r="H905" s="52"/>
      <c r="I905" s="4"/>
      <c r="J905" s="52"/>
      <c r="K905" s="52"/>
      <c r="L905" s="52"/>
      <c r="M905" s="52"/>
      <c r="N905" s="52"/>
      <c r="O905" s="52"/>
      <c r="P905" s="52"/>
      <c r="Q905" s="52"/>
      <c r="R905" s="4"/>
      <c r="S905" s="4"/>
      <c r="T905" s="4"/>
      <c r="U905" s="74"/>
      <c r="V905" s="3"/>
      <c r="W905" s="3"/>
      <c r="X905" s="3"/>
      <c r="Y905" s="3"/>
      <c r="Z905" s="58"/>
      <c r="AA905" s="3"/>
      <c r="AB905" s="3"/>
      <c r="AC905" s="4"/>
      <c r="AD905" s="4"/>
      <c r="AE905" s="4"/>
      <c r="AF905" s="4"/>
      <c r="AG905" s="4"/>
      <c r="AH905" s="4"/>
      <c r="AI905" s="4"/>
    </row>
    <row r="906">
      <c r="A906" s="57"/>
      <c r="B906" s="4"/>
      <c r="C906" s="4"/>
      <c r="D906" s="4"/>
      <c r="E906" s="4"/>
      <c r="F906" s="4"/>
      <c r="G906" s="4"/>
      <c r="H906" s="52"/>
      <c r="I906" s="4"/>
      <c r="J906" s="52"/>
      <c r="K906" s="52"/>
      <c r="L906" s="52"/>
      <c r="M906" s="52"/>
      <c r="N906" s="52"/>
      <c r="O906" s="52"/>
      <c r="P906" s="52"/>
      <c r="Q906" s="52"/>
      <c r="R906" s="4"/>
      <c r="S906" s="4"/>
      <c r="T906" s="4"/>
      <c r="U906" s="74"/>
      <c r="V906" s="3"/>
      <c r="W906" s="3"/>
      <c r="X906" s="3"/>
      <c r="Y906" s="3"/>
      <c r="Z906" s="58"/>
      <c r="AA906" s="3"/>
      <c r="AB906" s="3"/>
      <c r="AC906" s="4"/>
      <c r="AD906" s="4"/>
      <c r="AE906" s="4"/>
      <c r="AF906" s="4"/>
      <c r="AG906" s="4"/>
      <c r="AH906" s="4"/>
      <c r="AI906" s="4"/>
    </row>
    <row r="907">
      <c r="A907" s="57"/>
      <c r="B907" s="4"/>
      <c r="C907" s="4"/>
      <c r="D907" s="4"/>
      <c r="E907" s="4"/>
      <c r="F907" s="4"/>
      <c r="G907" s="4"/>
      <c r="H907" s="52"/>
      <c r="I907" s="4"/>
      <c r="J907" s="52"/>
      <c r="K907" s="52"/>
      <c r="L907" s="52"/>
      <c r="M907" s="52"/>
      <c r="N907" s="52"/>
      <c r="O907" s="52"/>
      <c r="P907" s="52"/>
      <c r="Q907" s="52"/>
      <c r="R907" s="4"/>
      <c r="S907" s="4"/>
      <c r="T907" s="4"/>
      <c r="U907" s="74"/>
      <c r="V907" s="3"/>
      <c r="W907" s="3"/>
      <c r="X907" s="3"/>
      <c r="Y907" s="3"/>
      <c r="Z907" s="58"/>
      <c r="AA907" s="3"/>
      <c r="AB907" s="3"/>
      <c r="AC907" s="4"/>
      <c r="AD907" s="4"/>
      <c r="AE907" s="4"/>
      <c r="AF907" s="4"/>
      <c r="AG907" s="4"/>
      <c r="AH907" s="4"/>
      <c r="AI907" s="4"/>
    </row>
    <row r="908">
      <c r="A908" s="57"/>
      <c r="B908" s="4"/>
      <c r="C908" s="4"/>
      <c r="D908" s="4"/>
      <c r="E908" s="4"/>
      <c r="F908" s="4"/>
      <c r="G908" s="4"/>
      <c r="H908" s="52"/>
      <c r="I908" s="4"/>
      <c r="J908" s="52"/>
      <c r="K908" s="52"/>
      <c r="L908" s="52"/>
      <c r="M908" s="52"/>
      <c r="N908" s="52"/>
      <c r="O908" s="52"/>
      <c r="P908" s="52"/>
      <c r="Q908" s="52"/>
      <c r="R908" s="4"/>
      <c r="S908" s="4"/>
      <c r="T908" s="4"/>
      <c r="U908" s="74"/>
      <c r="V908" s="3"/>
      <c r="W908" s="3"/>
      <c r="X908" s="3"/>
      <c r="Y908" s="3"/>
      <c r="Z908" s="58"/>
      <c r="AA908" s="3"/>
      <c r="AB908" s="3"/>
      <c r="AC908" s="4"/>
      <c r="AD908" s="4"/>
      <c r="AE908" s="4"/>
      <c r="AF908" s="4"/>
      <c r="AG908" s="4"/>
      <c r="AH908" s="4"/>
      <c r="AI908" s="4"/>
    </row>
    <row r="909">
      <c r="A909" s="57"/>
      <c r="B909" s="4"/>
      <c r="C909" s="4"/>
      <c r="D909" s="4"/>
      <c r="E909" s="4"/>
      <c r="F909" s="4"/>
      <c r="G909" s="4"/>
      <c r="H909" s="52"/>
      <c r="I909" s="4"/>
      <c r="J909" s="52"/>
      <c r="K909" s="52"/>
      <c r="L909" s="52"/>
      <c r="M909" s="52"/>
      <c r="N909" s="52"/>
      <c r="O909" s="52"/>
      <c r="P909" s="52"/>
      <c r="Q909" s="52"/>
      <c r="R909" s="4"/>
      <c r="S909" s="4"/>
      <c r="T909" s="4"/>
      <c r="U909" s="74"/>
      <c r="V909" s="3"/>
      <c r="W909" s="3"/>
      <c r="X909" s="3"/>
      <c r="Y909" s="3"/>
      <c r="Z909" s="58"/>
      <c r="AA909" s="3"/>
      <c r="AB909" s="3"/>
      <c r="AC909" s="4"/>
      <c r="AD909" s="4"/>
      <c r="AE909" s="4"/>
      <c r="AF909" s="4"/>
      <c r="AG909" s="4"/>
      <c r="AH909" s="4"/>
      <c r="AI909" s="4"/>
    </row>
    <row r="910">
      <c r="A910" s="57"/>
      <c r="B910" s="4"/>
      <c r="C910" s="4"/>
      <c r="D910" s="4"/>
      <c r="E910" s="4"/>
      <c r="F910" s="4"/>
      <c r="G910" s="4"/>
      <c r="H910" s="52"/>
      <c r="I910" s="4"/>
      <c r="J910" s="52"/>
      <c r="K910" s="52"/>
      <c r="L910" s="52"/>
      <c r="M910" s="52"/>
      <c r="N910" s="52"/>
      <c r="O910" s="52"/>
      <c r="P910" s="52"/>
      <c r="Q910" s="52"/>
      <c r="R910" s="4"/>
      <c r="S910" s="4"/>
      <c r="T910" s="4"/>
      <c r="U910" s="74"/>
      <c r="V910" s="3"/>
      <c r="W910" s="3"/>
      <c r="X910" s="3"/>
      <c r="Y910" s="3"/>
      <c r="Z910" s="58"/>
      <c r="AA910" s="3"/>
      <c r="AB910" s="3"/>
      <c r="AC910" s="4"/>
      <c r="AD910" s="4"/>
      <c r="AE910" s="4"/>
      <c r="AF910" s="4"/>
      <c r="AG910" s="4"/>
      <c r="AH910" s="4"/>
      <c r="AI910" s="4"/>
    </row>
    <row r="911">
      <c r="A911" s="57"/>
      <c r="B911" s="4"/>
      <c r="C911" s="4"/>
      <c r="D911" s="4"/>
      <c r="E911" s="4"/>
      <c r="F911" s="4"/>
      <c r="G911" s="4"/>
      <c r="H911" s="52"/>
      <c r="I911" s="4"/>
      <c r="J911" s="52"/>
      <c r="K911" s="52"/>
      <c r="L911" s="52"/>
      <c r="M911" s="52"/>
      <c r="N911" s="52"/>
      <c r="O911" s="52"/>
      <c r="P911" s="52"/>
      <c r="Q911" s="52"/>
      <c r="R911" s="4"/>
      <c r="S911" s="4"/>
      <c r="T911" s="4"/>
      <c r="U911" s="74"/>
      <c r="V911" s="3"/>
      <c r="W911" s="3"/>
      <c r="X911" s="3"/>
      <c r="Y911" s="3"/>
      <c r="Z911" s="58"/>
      <c r="AA911" s="3"/>
      <c r="AB911" s="3"/>
      <c r="AC911" s="4"/>
      <c r="AD911" s="4"/>
      <c r="AE911" s="4"/>
      <c r="AF911" s="4"/>
      <c r="AG911" s="4"/>
      <c r="AH911" s="4"/>
      <c r="AI911" s="4"/>
    </row>
    <row r="912">
      <c r="A912" s="57"/>
      <c r="B912" s="4"/>
      <c r="C912" s="4"/>
      <c r="D912" s="4"/>
      <c r="E912" s="4"/>
      <c r="F912" s="4"/>
      <c r="G912" s="4"/>
      <c r="H912" s="52"/>
      <c r="I912" s="4"/>
      <c r="J912" s="52"/>
      <c r="K912" s="52"/>
      <c r="L912" s="52"/>
      <c r="M912" s="52"/>
      <c r="N912" s="52"/>
      <c r="O912" s="52"/>
      <c r="P912" s="52"/>
      <c r="Q912" s="52"/>
      <c r="R912" s="4"/>
      <c r="S912" s="4"/>
      <c r="T912" s="4"/>
      <c r="U912" s="74"/>
      <c r="V912" s="3"/>
      <c r="W912" s="3"/>
      <c r="X912" s="3"/>
      <c r="Y912" s="3"/>
      <c r="Z912" s="58"/>
      <c r="AA912" s="3"/>
      <c r="AB912" s="3"/>
      <c r="AC912" s="4"/>
      <c r="AD912" s="4"/>
      <c r="AE912" s="4"/>
      <c r="AF912" s="4"/>
      <c r="AG912" s="4"/>
      <c r="AH912" s="4"/>
      <c r="AI912" s="4"/>
    </row>
    <row r="913">
      <c r="A913" s="57"/>
      <c r="B913" s="4"/>
      <c r="C913" s="4"/>
      <c r="D913" s="4"/>
      <c r="E913" s="4"/>
      <c r="F913" s="4"/>
      <c r="G913" s="4"/>
      <c r="H913" s="52"/>
      <c r="I913" s="4"/>
      <c r="J913" s="52"/>
      <c r="K913" s="52"/>
      <c r="L913" s="52"/>
      <c r="M913" s="52"/>
      <c r="N913" s="52"/>
      <c r="O913" s="52"/>
      <c r="P913" s="52"/>
      <c r="Q913" s="52"/>
      <c r="R913" s="4"/>
      <c r="S913" s="4"/>
      <c r="T913" s="4"/>
      <c r="U913" s="74"/>
      <c r="V913" s="3"/>
      <c r="W913" s="3"/>
      <c r="X913" s="3"/>
      <c r="Y913" s="3"/>
      <c r="Z913" s="58"/>
      <c r="AA913" s="3"/>
      <c r="AB913" s="3"/>
      <c r="AC913" s="4"/>
      <c r="AD913" s="4"/>
      <c r="AE913" s="4"/>
      <c r="AF913" s="4"/>
      <c r="AG913" s="4"/>
      <c r="AH913" s="4"/>
      <c r="AI913" s="4"/>
    </row>
    <row r="914">
      <c r="A914" s="57"/>
      <c r="B914" s="4"/>
      <c r="C914" s="4"/>
      <c r="D914" s="4"/>
      <c r="E914" s="4"/>
      <c r="F914" s="4"/>
      <c r="G914" s="4"/>
      <c r="H914" s="52"/>
      <c r="I914" s="4"/>
      <c r="J914" s="52"/>
      <c r="K914" s="52"/>
      <c r="L914" s="52"/>
      <c r="M914" s="52"/>
      <c r="N914" s="52"/>
      <c r="O914" s="52"/>
      <c r="P914" s="52"/>
      <c r="Q914" s="52"/>
      <c r="R914" s="4"/>
      <c r="S914" s="4"/>
      <c r="T914" s="4"/>
      <c r="U914" s="74"/>
      <c r="V914" s="3"/>
      <c r="W914" s="3"/>
      <c r="X914" s="3"/>
      <c r="Y914" s="3"/>
      <c r="Z914" s="58"/>
      <c r="AA914" s="3"/>
      <c r="AB914" s="3"/>
      <c r="AC914" s="4"/>
      <c r="AD914" s="4"/>
      <c r="AE914" s="4"/>
      <c r="AF914" s="4"/>
      <c r="AG914" s="4"/>
      <c r="AH914" s="4"/>
      <c r="AI914" s="4"/>
    </row>
    <row r="915">
      <c r="A915" s="57"/>
      <c r="B915" s="4"/>
      <c r="C915" s="4"/>
      <c r="D915" s="4"/>
      <c r="E915" s="4"/>
      <c r="F915" s="4"/>
      <c r="G915" s="4"/>
      <c r="H915" s="52"/>
      <c r="I915" s="4"/>
      <c r="J915" s="52"/>
      <c r="K915" s="52"/>
      <c r="L915" s="52"/>
      <c r="M915" s="52"/>
      <c r="N915" s="52"/>
      <c r="O915" s="52"/>
      <c r="P915" s="52"/>
      <c r="Q915" s="52"/>
      <c r="R915" s="4"/>
      <c r="S915" s="4"/>
      <c r="T915" s="4"/>
      <c r="U915" s="74"/>
      <c r="V915" s="3"/>
      <c r="W915" s="3"/>
      <c r="X915" s="3"/>
      <c r="Y915" s="3"/>
      <c r="Z915" s="58"/>
      <c r="AA915" s="3"/>
      <c r="AB915" s="3"/>
      <c r="AC915" s="4"/>
      <c r="AD915" s="4"/>
      <c r="AE915" s="4"/>
      <c r="AF915" s="4"/>
      <c r="AG915" s="4"/>
      <c r="AH915" s="4"/>
      <c r="AI915" s="4"/>
    </row>
    <row r="916">
      <c r="A916" s="57"/>
      <c r="B916" s="4"/>
      <c r="C916" s="4"/>
      <c r="D916" s="4"/>
      <c r="E916" s="4"/>
      <c r="F916" s="4"/>
      <c r="G916" s="4"/>
      <c r="H916" s="52"/>
      <c r="I916" s="4"/>
      <c r="J916" s="52"/>
      <c r="K916" s="52"/>
      <c r="L916" s="52"/>
      <c r="M916" s="52"/>
      <c r="N916" s="52"/>
      <c r="O916" s="52"/>
      <c r="P916" s="52"/>
      <c r="Q916" s="52"/>
      <c r="R916" s="4"/>
      <c r="S916" s="4"/>
      <c r="T916" s="4"/>
      <c r="U916" s="74"/>
      <c r="V916" s="3"/>
      <c r="W916" s="3"/>
      <c r="X916" s="3"/>
      <c r="Y916" s="3"/>
      <c r="Z916" s="58"/>
      <c r="AA916" s="3"/>
      <c r="AB916" s="3"/>
      <c r="AC916" s="4"/>
      <c r="AD916" s="4"/>
      <c r="AE916" s="4"/>
      <c r="AF916" s="4"/>
      <c r="AG916" s="4"/>
      <c r="AH916" s="4"/>
      <c r="AI916" s="4"/>
    </row>
    <row r="917">
      <c r="A917" s="57"/>
      <c r="B917" s="4"/>
      <c r="C917" s="4"/>
      <c r="D917" s="4"/>
      <c r="E917" s="4"/>
      <c r="F917" s="4"/>
      <c r="G917" s="4"/>
      <c r="H917" s="52"/>
      <c r="I917" s="4"/>
      <c r="J917" s="52"/>
      <c r="K917" s="52"/>
      <c r="L917" s="52"/>
      <c r="M917" s="52"/>
      <c r="N917" s="52"/>
      <c r="O917" s="52"/>
      <c r="P917" s="52"/>
      <c r="Q917" s="52"/>
      <c r="R917" s="4"/>
      <c r="S917" s="4"/>
      <c r="T917" s="4"/>
      <c r="U917" s="74"/>
      <c r="V917" s="3"/>
      <c r="W917" s="3"/>
      <c r="X917" s="3"/>
      <c r="Y917" s="3"/>
      <c r="Z917" s="58"/>
      <c r="AA917" s="3"/>
      <c r="AB917" s="3"/>
      <c r="AC917" s="4"/>
      <c r="AD917" s="4"/>
      <c r="AE917" s="4"/>
      <c r="AF917" s="4"/>
      <c r="AG917" s="4"/>
      <c r="AH917" s="4"/>
      <c r="AI917" s="4"/>
    </row>
    <row r="918">
      <c r="A918" s="57"/>
      <c r="B918" s="4"/>
      <c r="C918" s="4"/>
      <c r="D918" s="4"/>
      <c r="E918" s="4"/>
      <c r="F918" s="4"/>
      <c r="G918" s="4"/>
      <c r="H918" s="52"/>
      <c r="I918" s="4"/>
      <c r="J918" s="52"/>
      <c r="K918" s="52"/>
      <c r="L918" s="52"/>
      <c r="M918" s="52"/>
      <c r="N918" s="52"/>
      <c r="O918" s="52"/>
      <c r="P918" s="52"/>
      <c r="Q918" s="52"/>
      <c r="R918" s="4"/>
      <c r="S918" s="4"/>
      <c r="T918" s="4"/>
      <c r="U918" s="74"/>
      <c r="V918" s="3"/>
      <c r="W918" s="3"/>
      <c r="X918" s="3"/>
      <c r="Y918" s="3"/>
      <c r="Z918" s="58"/>
      <c r="AA918" s="3"/>
      <c r="AB918" s="3"/>
      <c r="AC918" s="4"/>
      <c r="AD918" s="4"/>
      <c r="AE918" s="4"/>
      <c r="AF918" s="4"/>
      <c r="AG918" s="4"/>
      <c r="AH918" s="4"/>
      <c r="AI918" s="4"/>
    </row>
    <row r="919">
      <c r="A919" s="57"/>
      <c r="B919" s="4"/>
      <c r="C919" s="4"/>
      <c r="D919" s="4"/>
      <c r="E919" s="4"/>
      <c r="F919" s="4"/>
      <c r="G919" s="4"/>
      <c r="H919" s="52"/>
      <c r="I919" s="4"/>
      <c r="J919" s="52"/>
      <c r="K919" s="52"/>
      <c r="L919" s="52"/>
      <c r="M919" s="52"/>
      <c r="N919" s="52"/>
      <c r="O919" s="52"/>
      <c r="P919" s="52"/>
      <c r="Q919" s="52"/>
      <c r="R919" s="4"/>
      <c r="S919" s="4"/>
      <c r="T919" s="4"/>
      <c r="U919" s="74"/>
      <c r="V919" s="3"/>
      <c r="W919" s="3"/>
      <c r="X919" s="3"/>
      <c r="Y919" s="3"/>
      <c r="Z919" s="58"/>
      <c r="AA919" s="3"/>
      <c r="AB919" s="3"/>
      <c r="AC919" s="4"/>
      <c r="AD919" s="4"/>
      <c r="AE919" s="4"/>
      <c r="AF919" s="4"/>
      <c r="AG919" s="4"/>
      <c r="AH919" s="4"/>
      <c r="AI919" s="4"/>
    </row>
    <row r="920">
      <c r="A920" s="57"/>
      <c r="B920" s="4"/>
      <c r="C920" s="4"/>
      <c r="D920" s="4"/>
      <c r="E920" s="4"/>
      <c r="F920" s="4"/>
      <c r="G920" s="4"/>
      <c r="H920" s="52"/>
      <c r="I920" s="4"/>
      <c r="J920" s="52"/>
      <c r="K920" s="52"/>
      <c r="L920" s="52"/>
      <c r="M920" s="52"/>
      <c r="N920" s="52"/>
      <c r="O920" s="52"/>
      <c r="P920" s="52"/>
      <c r="Q920" s="52"/>
      <c r="R920" s="4"/>
      <c r="S920" s="4"/>
      <c r="T920" s="4"/>
      <c r="U920" s="74"/>
      <c r="V920" s="3"/>
      <c r="W920" s="3"/>
      <c r="X920" s="3"/>
      <c r="Y920" s="3"/>
      <c r="Z920" s="58"/>
      <c r="AA920" s="3"/>
      <c r="AB920" s="3"/>
      <c r="AC920" s="4"/>
      <c r="AD920" s="4"/>
      <c r="AE920" s="4"/>
      <c r="AF920" s="4"/>
      <c r="AG920" s="4"/>
      <c r="AH920" s="4"/>
      <c r="AI920" s="4"/>
    </row>
    <row r="921">
      <c r="A921" s="57"/>
      <c r="B921" s="4"/>
      <c r="C921" s="4"/>
      <c r="D921" s="4"/>
      <c r="E921" s="4"/>
      <c r="F921" s="4"/>
      <c r="G921" s="4"/>
      <c r="H921" s="52"/>
      <c r="I921" s="4"/>
      <c r="J921" s="52"/>
      <c r="K921" s="52"/>
      <c r="L921" s="52"/>
      <c r="M921" s="52"/>
      <c r="N921" s="52"/>
      <c r="O921" s="52"/>
      <c r="P921" s="52"/>
      <c r="Q921" s="52"/>
      <c r="R921" s="4"/>
      <c r="S921" s="4"/>
      <c r="T921" s="4"/>
      <c r="U921" s="74"/>
      <c r="V921" s="3"/>
      <c r="W921" s="3"/>
      <c r="X921" s="3"/>
      <c r="Y921" s="3"/>
      <c r="Z921" s="58"/>
      <c r="AA921" s="3"/>
      <c r="AB921" s="3"/>
      <c r="AC921" s="4"/>
      <c r="AD921" s="4"/>
      <c r="AE921" s="4"/>
      <c r="AF921" s="4"/>
      <c r="AG921" s="4"/>
      <c r="AH921" s="4"/>
      <c r="AI921" s="4"/>
    </row>
    <row r="922">
      <c r="A922" s="57"/>
      <c r="B922" s="4"/>
      <c r="C922" s="4"/>
      <c r="D922" s="4"/>
      <c r="E922" s="4"/>
      <c r="F922" s="4"/>
      <c r="G922" s="4"/>
      <c r="H922" s="52"/>
      <c r="I922" s="4"/>
      <c r="J922" s="52"/>
      <c r="K922" s="52"/>
      <c r="L922" s="52"/>
      <c r="M922" s="52"/>
      <c r="N922" s="52"/>
      <c r="O922" s="52"/>
      <c r="P922" s="52"/>
      <c r="Q922" s="52"/>
      <c r="R922" s="4"/>
      <c r="S922" s="4"/>
      <c r="T922" s="4"/>
      <c r="U922" s="74"/>
      <c r="V922" s="3"/>
      <c r="W922" s="3"/>
      <c r="X922" s="3"/>
      <c r="Y922" s="3"/>
      <c r="Z922" s="58"/>
      <c r="AA922" s="3"/>
      <c r="AB922" s="3"/>
      <c r="AC922" s="4"/>
      <c r="AD922" s="4"/>
      <c r="AE922" s="4"/>
      <c r="AF922" s="4"/>
      <c r="AG922" s="4"/>
      <c r="AH922" s="4"/>
      <c r="AI922" s="4"/>
    </row>
    <row r="923">
      <c r="A923" s="57"/>
      <c r="B923" s="4"/>
      <c r="C923" s="4"/>
      <c r="D923" s="4"/>
      <c r="E923" s="4"/>
      <c r="F923" s="4"/>
      <c r="G923" s="4"/>
      <c r="H923" s="52"/>
      <c r="I923" s="4"/>
      <c r="J923" s="52"/>
      <c r="K923" s="52"/>
      <c r="L923" s="52"/>
      <c r="M923" s="52"/>
      <c r="N923" s="52"/>
      <c r="O923" s="52"/>
      <c r="P923" s="52"/>
      <c r="Q923" s="52"/>
      <c r="R923" s="4"/>
      <c r="S923" s="4"/>
      <c r="T923" s="4"/>
      <c r="U923" s="74"/>
      <c r="V923" s="3"/>
      <c r="W923" s="3"/>
      <c r="X923" s="3"/>
      <c r="Y923" s="3"/>
      <c r="Z923" s="58"/>
      <c r="AA923" s="3"/>
      <c r="AB923" s="3"/>
      <c r="AC923" s="4"/>
      <c r="AD923" s="4"/>
      <c r="AE923" s="4"/>
      <c r="AF923" s="4"/>
      <c r="AG923" s="4"/>
      <c r="AH923" s="4"/>
      <c r="AI923" s="4"/>
    </row>
    <row r="924">
      <c r="A924" s="57"/>
      <c r="B924" s="4"/>
      <c r="C924" s="4"/>
      <c r="D924" s="4"/>
      <c r="E924" s="4"/>
      <c r="F924" s="4"/>
      <c r="G924" s="4"/>
      <c r="H924" s="52"/>
      <c r="I924" s="4"/>
      <c r="J924" s="52"/>
      <c r="K924" s="52"/>
      <c r="L924" s="52"/>
      <c r="M924" s="52"/>
      <c r="N924" s="52"/>
      <c r="O924" s="52"/>
      <c r="P924" s="52"/>
      <c r="Q924" s="52"/>
      <c r="R924" s="4"/>
      <c r="S924" s="4"/>
      <c r="T924" s="4"/>
      <c r="U924" s="74"/>
      <c r="V924" s="3"/>
      <c r="W924" s="3"/>
      <c r="X924" s="3"/>
      <c r="Y924" s="3"/>
      <c r="Z924" s="58"/>
      <c r="AA924" s="3"/>
      <c r="AB924" s="3"/>
      <c r="AC924" s="4"/>
      <c r="AD924" s="4"/>
      <c r="AE924" s="4"/>
      <c r="AF924" s="4"/>
      <c r="AG924" s="4"/>
      <c r="AH924" s="4"/>
      <c r="AI924" s="4"/>
    </row>
    <row r="925">
      <c r="A925" s="57"/>
      <c r="B925" s="4"/>
      <c r="C925" s="4"/>
      <c r="D925" s="4"/>
      <c r="E925" s="4"/>
      <c r="F925" s="4"/>
      <c r="G925" s="4"/>
      <c r="H925" s="52"/>
      <c r="I925" s="4"/>
      <c r="J925" s="52"/>
      <c r="K925" s="52"/>
      <c r="L925" s="52"/>
      <c r="M925" s="52"/>
      <c r="N925" s="52"/>
      <c r="O925" s="52"/>
      <c r="P925" s="52"/>
      <c r="Q925" s="52"/>
      <c r="R925" s="4"/>
      <c r="S925" s="4"/>
      <c r="T925" s="4"/>
      <c r="U925" s="74"/>
      <c r="V925" s="3"/>
      <c r="W925" s="3"/>
      <c r="X925" s="3"/>
      <c r="Y925" s="3"/>
      <c r="Z925" s="58"/>
      <c r="AA925" s="3"/>
      <c r="AB925" s="3"/>
      <c r="AC925" s="4"/>
      <c r="AD925" s="4"/>
      <c r="AE925" s="4"/>
      <c r="AF925" s="4"/>
      <c r="AG925" s="4"/>
      <c r="AH925" s="4"/>
      <c r="AI925" s="4"/>
    </row>
    <row r="926">
      <c r="A926" s="57"/>
      <c r="B926" s="4"/>
      <c r="C926" s="4"/>
      <c r="D926" s="4"/>
      <c r="E926" s="4"/>
      <c r="F926" s="4"/>
      <c r="G926" s="4"/>
      <c r="H926" s="52"/>
      <c r="I926" s="4"/>
      <c r="J926" s="52"/>
      <c r="K926" s="52"/>
      <c r="L926" s="52"/>
      <c r="M926" s="52"/>
      <c r="N926" s="52"/>
      <c r="O926" s="52"/>
      <c r="P926" s="52"/>
      <c r="Q926" s="52"/>
      <c r="R926" s="4"/>
      <c r="S926" s="4"/>
      <c r="T926" s="4"/>
      <c r="U926" s="74"/>
      <c r="V926" s="3"/>
      <c r="W926" s="3"/>
      <c r="X926" s="3"/>
      <c r="Y926" s="3"/>
      <c r="Z926" s="58"/>
      <c r="AA926" s="3"/>
      <c r="AB926" s="3"/>
      <c r="AC926" s="4"/>
      <c r="AD926" s="4"/>
      <c r="AE926" s="4"/>
      <c r="AF926" s="4"/>
      <c r="AG926" s="4"/>
      <c r="AH926" s="4"/>
      <c r="AI926" s="4"/>
    </row>
    <row r="927">
      <c r="A927" s="57"/>
      <c r="B927" s="4"/>
      <c r="C927" s="4"/>
      <c r="D927" s="4"/>
      <c r="E927" s="4"/>
      <c r="F927" s="4"/>
      <c r="G927" s="4"/>
      <c r="H927" s="52"/>
      <c r="I927" s="4"/>
      <c r="J927" s="52"/>
      <c r="K927" s="52"/>
      <c r="L927" s="52"/>
      <c r="M927" s="52"/>
      <c r="N927" s="52"/>
      <c r="O927" s="52"/>
      <c r="P927" s="52"/>
      <c r="Q927" s="52"/>
      <c r="R927" s="4"/>
      <c r="S927" s="4"/>
      <c r="T927" s="4"/>
      <c r="U927" s="74"/>
      <c r="V927" s="3"/>
      <c r="W927" s="3"/>
      <c r="X927" s="3"/>
      <c r="Y927" s="3"/>
      <c r="Z927" s="58"/>
      <c r="AA927" s="3"/>
      <c r="AB927" s="3"/>
      <c r="AC927" s="4"/>
      <c r="AD927" s="4"/>
      <c r="AE927" s="4"/>
      <c r="AF927" s="4"/>
      <c r="AG927" s="4"/>
      <c r="AH927" s="4"/>
      <c r="AI927" s="4"/>
    </row>
    <row r="928">
      <c r="A928" s="57"/>
      <c r="B928" s="4"/>
      <c r="C928" s="4"/>
      <c r="D928" s="4"/>
      <c r="E928" s="4"/>
      <c r="F928" s="4"/>
      <c r="G928" s="4"/>
      <c r="H928" s="52"/>
      <c r="I928" s="4"/>
      <c r="J928" s="52"/>
      <c r="K928" s="52"/>
      <c r="L928" s="52"/>
      <c r="M928" s="52"/>
      <c r="N928" s="52"/>
      <c r="O928" s="52"/>
      <c r="P928" s="52"/>
      <c r="Q928" s="52"/>
      <c r="R928" s="4"/>
      <c r="S928" s="4"/>
      <c r="T928" s="4"/>
      <c r="U928" s="74"/>
      <c r="V928" s="3"/>
      <c r="W928" s="3"/>
      <c r="X928" s="3"/>
      <c r="Y928" s="3"/>
      <c r="Z928" s="58"/>
      <c r="AA928" s="3"/>
      <c r="AB928" s="3"/>
      <c r="AC928" s="4"/>
      <c r="AD928" s="4"/>
      <c r="AE928" s="4"/>
      <c r="AF928" s="4"/>
      <c r="AG928" s="4"/>
      <c r="AH928" s="4"/>
      <c r="AI928" s="4"/>
    </row>
    <row r="929">
      <c r="A929" s="57"/>
      <c r="B929" s="4"/>
      <c r="C929" s="4"/>
      <c r="D929" s="4"/>
      <c r="E929" s="4"/>
      <c r="F929" s="4"/>
      <c r="G929" s="4"/>
      <c r="H929" s="52"/>
      <c r="I929" s="4"/>
      <c r="J929" s="52"/>
      <c r="K929" s="52"/>
      <c r="L929" s="52"/>
      <c r="M929" s="52"/>
      <c r="N929" s="52"/>
      <c r="O929" s="52"/>
      <c r="P929" s="52"/>
      <c r="Q929" s="52"/>
      <c r="R929" s="4"/>
      <c r="S929" s="4"/>
      <c r="T929" s="4"/>
      <c r="U929" s="74"/>
      <c r="V929" s="3"/>
      <c r="W929" s="3"/>
      <c r="X929" s="3"/>
      <c r="Y929" s="3"/>
      <c r="Z929" s="58"/>
      <c r="AA929" s="3"/>
      <c r="AB929" s="3"/>
      <c r="AC929" s="4"/>
      <c r="AD929" s="4"/>
      <c r="AE929" s="4"/>
      <c r="AF929" s="4"/>
      <c r="AG929" s="4"/>
      <c r="AH929" s="4"/>
      <c r="AI929" s="4"/>
    </row>
    <row r="930">
      <c r="A930" s="57"/>
      <c r="B930" s="4"/>
      <c r="C930" s="4"/>
      <c r="D930" s="4"/>
      <c r="E930" s="4"/>
      <c r="F930" s="4"/>
      <c r="G930" s="4"/>
      <c r="H930" s="52"/>
      <c r="I930" s="4"/>
      <c r="J930" s="52"/>
      <c r="K930" s="52"/>
      <c r="L930" s="52"/>
      <c r="M930" s="52"/>
      <c r="N930" s="52"/>
      <c r="O930" s="52"/>
      <c r="P930" s="52"/>
      <c r="Q930" s="52"/>
      <c r="R930" s="4"/>
      <c r="S930" s="4"/>
      <c r="T930" s="4"/>
      <c r="U930" s="74"/>
      <c r="V930" s="3"/>
      <c r="W930" s="3"/>
      <c r="X930" s="3"/>
      <c r="Y930" s="3"/>
      <c r="Z930" s="58"/>
      <c r="AA930" s="3"/>
      <c r="AB930" s="3"/>
      <c r="AC930" s="4"/>
      <c r="AD930" s="4"/>
      <c r="AE930" s="4"/>
      <c r="AF930" s="4"/>
      <c r="AG930" s="4"/>
      <c r="AH930" s="4"/>
      <c r="AI930" s="4"/>
    </row>
    <row r="931">
      <c r="A931" s="57"/>
      <c r="B931" s="4"/>
      <c r="C931" s="4"/>
      <c r="D931" s="4"/>
      <c r="E931" s="4"/>
      <c r="F931" s="4"/>
      <c r="G931" s="4"/>
      <c r="H931" s="52"/>
      <c r="I931" s="4"/>
      <c r="J931" s="52"/>
      <c r="K931" s="52"/>
      <c r="L931" s="52"/>
      <c r="M931" s="52"/>
      <c r="N931" s="52"/>
      <c r="O931" s="52"/>
      <c r="P931" s="52"/>
      <c r="Q931" s="52"/>
      <c r="R931" s="4"/>
      <c r="S931" s="4"/>
      <c r="T931" s="4"/>
      <c r="U931" s="74"/>
      <c r="V931" s="3"/>
      <c r="W931" s="3"/>
      <c r="X931" s="3"/>
      <c r="Y931" s="3"/>
      <c r="Z931" s="58"/>
      <c r="AA931" s="3"/>
      <c r="AB931" s="3"/>
      <c r="AC931" s="4"/>
      <c r="AD931" s="4"/>
      <c r="AE931" s="4"/>
      <c r="AF931" s="4"/>
      <c r="AG931" s="4"/>
      <c r="AH931" s="4"/>
      <c r="AI931" s="4"/>
    </row>
    <row r="932">
      <c r="A932" s="57"/>
      <c r="B932" s="4"/>
      <c r="C932" s="4"/>
      <c r="D932" s="4"/>
      <c r="E932" s="4"/>
      <c r="F932" s="4"/>
      <c r="G932" s="4"/>
      <c r="H932" s="52"/>
      <c r="I932" s="4"/>
      <c r="J932" s="52"/>
      <c r="K932" s="52"/>
      <c r="L932" s="52"/>
      <c r="M932" s="52"/>
      <c r="N932" s="52"/>
      <c r="O932" s="52"/>
      <c r="P932" s="52"/>
      <c r="Q932" s="52"/>
      <c r="R932" s="4"/>
      <c r="S932" s="4"/>
      <c r="T932" s="4"/>
      <c r="U932" s="74"/>
      <c r="V932" s="3"/>
      <c r="W932" s="3"/>
      <c r="X932" s="3"/>
      <c r="Y932" s="3"/>
      <c r="Z932" s="58"/>
      <c r="AA932" s="3"/>
      <c r="AB932" s="3"/>
      <c r="AC932" s="4"/>
      <c r="AD932" s="4"/>
      <c r="AE932" s="4"/>
      <c r="AF932" s="4"/>
      <c r="AG932" s="4"/>
      <c r="AH932" s="4"/>
      <c r="AI932" s="4"/>
    </row>
    <row r="933">
      <c r="A933" s="57"/>
      <c r="B933" s="4"/>
      <c r="C933" s="4"/>
      <c r="D933" s="4"/>
      <c r="E933" s="4"/>
      <c r="F933" s="4"/>
      <c r="G933" s="4"/>
      <c r="H933" s="52"/>
      <c r="I933" s="4"/>
      <c r="J933" s="52"/>
      <c r="K933" s="52"/>
      <c r="L933" s="52"/>
      <c r="M933" s="52"/>
      <c r="N933" s="52"/>
      <c r="O933" s="52"/>
      <c r="P933" s="52"/>
      <c r="Q933" s="52"/>
      <c r="R933" s="4"/>
      <c r="S933" s="4"/>
      <c r="T933" s="4"/>
      <c r="U933" s="74"/>
      <c r="V933" s="3"/>
      <c r="W933" s="3"/>
      <c r="X933" s="3"/>
      <c r="Y933" s="3"/>
      <c r="Z933" s="58"/>
      <c r="AA933" s="3"/>
      <c r="AB933" s="3"/>
      <c r="AC933" s="4"/>
      <c r="AD933" s="4"/>
      <c r="AE933" s="4"/>
      <c r="AF933" s="4"/>
      <c r="AG933" s="4"/>
      <c r="AH933" s="4"/>
      <c r="AI933" s="4"/>
    </row>
    <row r="934">
      <c r="A934" s="57"/>
      <c r="B934" s="4"/>
      <c r="C934" s="4"/>
      <c r="D934" s="4"/>
      <c r="E934" s="4"/>
      <c r="F934" s="4"/>
      <c r="G934" s="4"/>
      <c r="H934" s="52"/>
      <c r="I934" s="4"/>
      <c r="J934" s="52"/>
      <c r="K934" s="52"/>
      <c r="L934" s="52"/>
      <c r="M934" s="52"/>
      <c r="N934" s="52"/>
      <c r="O934" s="52"/>
      <c r="P934" s="52"/>
      <c r="Q934" s="52"/>
      <c r="R934" s="4"/>
      <c r="S934" s="4"/>
      <c r="T934" s="4"/>
      <c r="U934" s="74"/>
      <c r="V934" s="3"/>
      <c r="W934" s="3"/>
      <c r="X934" s="3"/>
      <c r="Y934" s="3"/>
      <c r="Z934" s="58"/>
      <c r="AA934" s="3"/>
      <c r="AB934" s="3"/>
      <c r="AC934" s="4"/>
      <c r="AD934" s="4"/>
      <c r="AE934" s="4"/>
      <c r="AF934" s="4"/>
      <c r="AG934" s="4"/>
      <c r="AH934" s="4"/>
      <c r="AI934" s="4"/>
    </row>
    <row r="935">
      <c r="A935" s="57"/>
      <c r="B935" s="4"/>
      <c r="C935" s="4"/>
      <c r="D935" s="4"/>
      <c r="E935" s="4"/>
      <c r="F935" s="4"/>
      <c r="G935" s="4"/>
      <c r="H935" s="52"/>
      <c r="I935" s="4"/>
      <c r="J935" s="52"/>
      <c r="K935" s="52"/>
      <c r="L935" s="52"/>
      <c r="M935" s="52"/>
      <c r="N935" s="52"/>
      <c r="O935" s="52"/>
      <c r="P935" s="52"/>
      <c r="Q935" s="52"/>
      <c r="R935" s="4"/>
      <c r="S935" s="4"/>
      <c r="T935" s="4"/>
      <c r="U935" s="74"/>
      <c r="V935" s="3"/>
      <c r="W935" s="3"/>
      <c r="X935" s="3"/>
      <c r="Y935" s="3"/>
      <c r="Z935" s="58"/>
      <c r="AA935" s="3"/>
      <c r="AB935" s="3"/>
      <c r="AC935" s="4"/>
      <c r="AD935" s="4"/>
      <c r="AE935" s="4"/>
      <c r="AF935" s="4"/>
      <c r="AG935" s="4"/>
      <c r="AH935" s="4"/>
      <c r="AI935" s="4"/>
    </row>
    <row r="936">
      <c r="A936" s="57"/>
      <c r="B936" s="4"/>
      <c r="C936" s="4"/>
      <c r="D936" s="4"/>
      <c r="E936" s="4"/>
      <c r="F936" s="4"/>
      <c r="G936" s="4"/>
      <c r="H936" s="52"/>
      <c r="I936" s="4"/>
      <c r="J936" s="52"/>
      <c r="K936" s="52"/>
      <c r="L936" s="52"/>
      <c r="M936" s="52"/>
      <c r="N936" s="52"/>
      <c r="O936" s="52"/>
      <c r="P936" s="52"/>
      <c r="Q936" s="52"/>
      <c r="R936" s="4"/>
      <c r="S936" s="4"/>
      <c r="T936" s="4"/>
      <c r="U936" s="74"/>
      <c r="V936" s="3"/>
      <c r="W936" s="3"/>
      <c r="X936" s="3"/>
      <c r="Y936" s="3"/>
      <c r="Z936" s="58"/>
      <c r="AA936" s="3"/>
      <c r="AB936" s="3"/>
      <c r="AC936" s="4"/>
      <c r="AD936" s="4"/>
      <c r="AE936" s="4"/>
      <c r="AF936" s="4"/>
      <c r="AG936" s="4"/>
      <c r="AH936" s="4"/>
      <c r="AI936" s="4"/>
    </row>
    <row r="937">
      <c r="A937" s="57"/>
      <c r="B937" s="4"/>
      <c r="C937" s="4"/>
      <c r="D937" s="4"/>
      <c r="E937" s="4"/>
      <c r="F937" s="4"/>
      <c r="G937" s="4"/>
      <c r="H937" s="52"/>
      <c r="I937" s="4"/>
      <c r="J937" s="52"/>
      <c r="K937" s="52"/>
      <c r="L937" s="52"/>
      <c r="M937" s="52"/>
      <c r="N937" s="52"/>
      <c r="O937" s="52"/>
      <c r="P937" s="52"/>
      <c r="Q937" s="52"/>
      <c r="R937" s="4"/>
      <c r="S937" s="4"/>
      <c r="T937" s="4"/>
      <c r="U937" s="74"/>
      <c r="V937" s="3"/>
      <c r="W937" s="3"/>
      <c r="X937" s="3"/>
      <c r="Y937" s="3"/>
      <c r="Z937" s="58"/>
      <c r="AA937" s="3"/>
      <c r="AB937" s="3"/>
      <c r="AC937" s="4"/>
      <c r="AD937" s="4"/>
      <c r="AE937" s="4"/>
      <c r="AF937" s="4"/>
      <c r="AG937" s="4"/>
      <c r="AH937" s="4"/>
      <c r="AI937" s="4"/>
    </row>
    <row r="938">
      <c r="A938" s="57"/>
      <c r="B938" s="4"/>
      <c r="C938" s="4"/>
      <c r="D938" s="4"/>
      <c r="E938" s="4"/>
      <c r="F938" s="4"/>
      <c r="G938" s="4"/>
      <c r="H938" s="52"/>
      <c r="I938" s="4"/>
      <c r="J938" s="52"/>
      <c r="K938" s="52"/>
      <c r="L938" s="52"/>
      <c r="M938" s="52"/>
      <c r="N938" s="52"/>
      <c r="O938" s="52"/>
      <c r="P938" s="52"/>
      <c r="Q938" s="52"/>
      <c r="R938" s="4"/>
      <c r="S938" s="4"/>
      <c r="T938" s="4"/>
      <c r="U938" s="74"/>
      <c r="V938" s="3"/>
      <c r="W938" s="3"/>
      <c r="X938" s="3"/>
      <c r="Y938" s="3"/>
      <c r="Z938" s="58"/>
      <c r="AA938" s="3"/>
      <c r="AB938" s="3"/>
      <c r="AC938" s="4"/>
      <c r="AD938" s="4"/>
      <c r="AE938" s="4"/>
      <c r="AF938" s="4"/>
      <c r="AG938" s="4"/>
      <c r="AH938" s="4"/>
      <c r="AI938" s="4"/>
    </row>
    <row r="939">
      <c r="A939" s="57"/>
      <c r="B939" s="4"/>
      <c r="C939" s="4"/>
      <c r="D939" s="4"/>
      <c r="E939" s="4"/>
      <c r="F939" s="4"/>
      <c r="G939" s="4"/>
      <c r="H939" s="52"/>
      <c r="I939" s="4"/>
      <c r="J939" s="52"/>
      <c r="K939" s="52"/>
      <c r="L939" s="52"/>
      <c r="M939" s="52"/>
      <c r="N939" s="52"/>
      <c r="O939" s="52"/>
      <c r="P939" s="52"/>
      <c r="Q939" s="52"/>
      <c r="R939" s="4"/>
      <c r="S939" s="4"/>
      <c r="T939" s="4"/>
      <c r="U939" s="74"/>
      <c r="V939" s="3"/>
      <c r="W939" s="3"/>
      <c r="X939" s="3"/>
      <c r="Y939" s="3"/>
      <c r="Z939" s="58"/>
      <c r="AA939" s="3"/>
      <c r="AB939" s="3"/>
      <c r="AC939" s="4"/>
      <c r="AD939" s="4"/>
      <c r="AE939" s="4"/>
      <c r="AF939" s="4"/>
      <c r="AG939" s="4"/>
      <c r="AH939" s="4"/>
      <c r="AI939" s="4"/>
    </row>
    <row r="940">
      <c r="A940" s="57"/>
      <c r="B940" s="4"/>
      <c r="C940" s="4"/>
      <c r="D940" s="4"/>
      <c r="E940" s="4"/>
      <c r="F940" s="4"/>
      <c r="G940" s="4"/>
      <c r="H940" s="52"/>
      <c r="I940" s="4"/>
      <c r="J940" s="52"/>
      <c r="K940" s="52"/>
      <c r="L940" s="52"/>
      <c r="M940" s="52"/>
      <c r="N940" s="52"/>
      <c r="O940" s="52"/>
      <c r="P940" s="52"/>
      <c r="Q940" s="52"/>
      <c r="R940" s="4"/>
      <c r="S940" s="4"/>
      <c r="T940" s="4"/>
      <c r="U940" s="74"/>
      <c r="V940" s="3"/>
      <c r="W940" s="3"/>
      <c r="X940" s="3"/>
      <c r="Y940" s="3"/>
      <c r="Z940" s="58"/>
      <c r="AA940" s="3"/>
      <c r="AB940" s="3"/>
      <c r="AC940" s="4"/>
      <c r="AD940" s="4"/>
      <c r="AE940" s="4"/>
      <c r="AF940" s="4"/>
      <c r="AG940" s="4"/>
      <c r="AH940" s="4"/>
      <c r="AI940" s="4"/>
    </row>
    <row r="941">
      <c r="A941" s="57"/>
      <c r="B941" s="4"/>
      <c r="C941" s="4"/>
      <c r="D941" s="4"/>
      <c r="E941" s="4"/>
      <c r="F941" s="4"/>
      <c r="G941" s="4"/>
      <c r="H941" s="52"/>
      <c r="I941" s="4"/>
      <c r="J941" s="52"/>
      <c r="K941" s="52"/>
      <c r="L941" s="52"/>
      <c r="M941" s="52"/>
      <c r="N941" s="52"/>
      <c r="O941" s="52"/>
      <c r="P941" s="52"/>
      <c r="Q941" s="52"/>
      <c r="R941" s="4"/>
      <c r="S941" s="4"/>
      <c r="T941" s="4"/>
      <c r="U941" s="74"/>
      <c r="V941" s="3"/>
      <c r="W941" s="3"/>
      <c r="X941" s="3"/>
      <c r="Y941" s="3"/>
      <c r="Z941" s="58"/>
      <c r="AA941" s="3"/>
      <c r="AB941" s="3"/>
      <c r="AC941" s="4"/>
      <c r="AD941" s="4"/>
      <c r="AE941" s="4"/>
      <c r="AF941" s="4"/>
      <c r="AG941" s="4"/>
      <c r="AH941" s="4"/>
      <c r="AI941" s="4"/>
    </row>
    <row r="942">
      <c r="A942" s="57"/>
      <c r="B942" s="4"/>
      <c r="C942" s="4"/>
      <c r="D942" s="4"/>
      <c r="E942" s="4"/>
      <c r="F942" s="4"/>
      <c r="G942" s="4"/>
      <c r="H942" s="52"/>
      <c r="I942" s="4"/>
      <c r="J942" s="52"/>
      <c r="K942" s="52"/>
      <c r="L942" s="52"/>
      <c r="M942" s="52"/>
      <c r="N942" s="52"/>
      <c r="O942" s="52"/>
      <c r="P942" s="52"/>
      <c r="Q942" s="52"/>
      <c r="R942" s="4"/>
      <c r="S942" s="4"/>
      <c r="T942" s="4"/>
      <c r="U942" s="74"/>
      <c r="V942" s="3"/>
      <c r="W942" s="3"/>
      <c r="X942" s="3"/>
      <c r="Y942" s="3"/>
      <c r="Z942" s="58"/>
      <c r="AA942" s="3"/>
      <c r="AB942" s="3"/>
      <c r="AC942" s="4"/>
      <c r="AD942" s="4"/>
      <c r="AE942" s="4"/>
      <c r="AF942" s="4"/>
      <c r="AG942" s="4"/>
      <c r="AH942" s="4"/>
      <c r="AI942" s="4"/>
    </row>
    <row r="943">
      <c r="A943" s="57"/>
      <c r="B943" s="4"/>
      <c r="C943" s="4"/>
      <c r="D943" s="4"/>
      <c r="E943" s="4"/>
      <c r="F943" s="4"/>
      <c r="G943" s="4"/>
      <c r="H943" s="52"/>
      <c r="I943" s="4"/>
      <c r="J943" s="52"/>
      <c r="K943" s="52"/>
      <c r="L943" s="52"/>
      <c r="M943" s="52"/>
      <c r="N943" s="52"/>
      <c r="O943" s="52"/>
      <c r="P943" s="52"/>
      <c r="Q943" s="52"/>
      <c r="R943" s="4"/>
      <c r="S943" s="4"/>
      <c r="T943" s="4"/>
      <c r="U943" s="74"/>
      <c r="V943" s="3"/>
      <c r="W943" s="3"/>
      <c r="X943" s="3"/>
      <c r="Y943" s="3"/>
      <c r="Z943" s="58"/>
      <c r="AA943" s="3"/>
      <c r="AB943" s="3"/>
      <c r="AC943" s="4"/>
      <c r="AD943" s="4"/>
      <c r="AE943" s="4"/>
      <c r="AF943" s="4"/>
      <c r="AG943" s="4"/>
      <c r="AH943" s="4"/>
      <c r="AI943" s="4"/>
    </row>
    <row r="944">
      <c r="A944" s="57"/>
      <c r="B944" s="4"/>
      <c r="C944" s="4"/>
      <c r="D944" s="4"/>
      <c r="E944" s="4"/>
      <c r="F944" s="4"/>
      <c r="G944" s="4"/>
      <c r="H944" s="52"/>
      <c r="I944" s="4"/>
      <c r="J944" s="52"/>
      <c r="K944" s="52"/>
      <c r="L944" s="52"/>
      <c r="M944" s="52"/>
      <c r="N944" s="52"/>
      <c r="O944" s="52"/>
      <c r="P944" s="52"/>
      <c r="Q944" s="52"/>
      <c r="R944" s="4"/>
      <c r="S944" s="4"/>
      <c r="T944" s="4"/>
      <c r="U944" s="74"/>
      <c r="V944" s="3"/>
      <c r="W944" s="3"/>
      <c r="X944" s="3"/>
      <c r="Y944" s="3"/>
      <c r="Z944" s="58"/>
      <c r="AA944" s="3"/>
      <c r="AB944" s="3"/>
      <c r="AC944" s="4"/>
      <c r="AD944" s="4"/>
      <c r="AE944" s="4"/>
      <c r="AF944" s="4"/>
      <c r="AG944" s="4"/>
      <c r="AH944" s="4"/>
      <c r="AI944" s="4"/>
    </row>
    <row r="945">
      <c r="A945" s="57"/>
      <c r="B945" s="4"/>
      <c r="C945" s="4"/>
      <c r="D945" s="4"/>
      <c r="E945" s="4"/>
      <c r="F945" s="4"/>
      <c r="G945" s="4"/>
      <c r="H945" s="52"/>
      <c r="I945" s="4"/>
      <c r="J945" s="52"/>
      <c r="K945" s="52"/>
      <c r="L945" s="52"/>
      <c r="M945" s="52"/>
      <c r="N945" s="52"/>
      <c r="O945" s="52"/>
      <c r="P945" s="52"/>
      <c r="Q945" s="52"/>
      <c r="R945" s="4"/>
      <c r="S945" s="4"/>
      <c r="T945" s="4"/>
      <c r="U945" s="74"/>
      <c r="V945" s="3"/>
      <c r="W945" s="3"/>
      <c r="X945" s="3"/>
      <c r="Y945" s="3"/>
      <c r="Z945" s="58"/>
      <c r="AA945" s="3"/>
      <c r="AB945" s="3"/>
      <c r="AC945" s="4"/>
      <c r="AD945" s="4"/>
      <c r="AE945" s="4"/>
      <c r="AF945" s="4"/>
      <c r="AG945" s="4"/>
      <c r="AH945" s="4"/>
      <c r="AI945" s="4"/>
    </row>
    <row r="946">
      <c r="A946" s="57"/>
      <c r="B946" s="4"/>
      <c r="C946" s="4"/>
      <c r="D946" s="4"/>
      <c r="E946" s="4"/>
      <c r="F946" s="4"/>
      <c r="G946" s="4"/>
      <c r="H946" s="52"/>
      <c r="I946" s="4"/>
      <c r="J946" s="52"/>
      <c r="K946" s="52"/>
      <c r="L946" s="52"/>
      <c r="M946" s="52"/>
      <c r="N946" s="52"/>
      <c r="O946" s="52"/>
      <c r="P946" s="52"/>
      <c r="Q946" s="52"/>
      <c r="R946" s="4"/>
      <c r="S946" s="4"/>
      <c r="T946" s="4"/>
      <c r="U946" s="74"/>
      <c r="V946" s="3"/>
      <c r="W946" s="3"/>
      <c r="X946" s="3"/>
      <c r="Y946" s="3"/>
      <c r="Z946" s="58"/>
      <c r="AA946" s="3"/>
      <c r="AB946" s="3"/>
      <c r="AC946" s="4"/>
      <c r="AD946" s="4"/>
      <c r="AE946" s="4"/>
      <c r="AF946" s="4"/>
      <c r="AG946" s="4"/>
      <c r="AH946" s="4"/>
      <c r="AI946" s="4"/>
    </row>
    <row r="947">
      <c r="A947" s="57"/>
      <c r="B947" s="4"/>
      <c r="C947" s="4"/>
      <c r="D947" s="4"/>
      <c r="E947" s="4"/>
      <c r="F947" s="4"/>
      <c r="G947" s="4"/>
      <c r="H947" s="52"/>
      <c r="I947" s="4"/>
      <c r="J947" s="52"/>
      <c r="K947" s="52"/>
      <c r="L947" s="52"/>
      <c r="M947" s="52"/>
      <c r="N947" s="52"/>
      <c r="O947" s="52"/>
      <c r="P947" s="52"/>
      <c r="Q947" s="52"/>
      <c r="R947" s="4"/>
      <c r="S947" s="4"/>
      <c r="T947" s="4"/>
      <c r="U947" s="74"/>
      <c r="V947" s="3"/>
      <c r="W947" s="3"/>
      <c r="X947" s="3"/>
      <c r="Y947" s="3"/>
      <c r="Z947" s="58"/>
      <c r="AA947" s="3"/>
      <c r="AB947" s="3"/>
      <c r="AC947" s="4"/>
      <c r="AD947" s="4"/>
      <c r="AE947" s="4"/>
      <c r="AF947" s="4"/>
      <c r="AG947" s="4"/>
      <c r="AH947" s="4"/>
      <c r="AI947" s="4"/>
    </row>
    <row r="948">
      <c r="A948" s="57"/>
      <c r="B948" s="4"/>
      <c r="C948" s="4"/>
      <c r="D948" s="4"/>
      <c r="E948" s="4"/>
      <c r="F948" s="4"/>
      <c r="G948" s="4"/>
      <c r="H948" s="52"/>
      <c r="I948" s="4"/>
      <c r="J948" s="52"/>
      <c r="K948" s="52"/>
      <c r="L948" s="52"/>
      <c r="M948" s="52"/>
      <c r="N948" s="52"/>
      <c r="O948" s="52"/>
      <c r="P948" s="52"/>
      <c r="Q948" s="52"/>
      <c r="R948" s="4"/>
      <c r="S948" s="4"/>
      <c r="T948" s="4"/>
      <c r="U948" s="74"/>
      <c r="V948" s="3"/>
      <c r="W948" s="3"/>
      <c r="X948" s="3"/>
      <c r="Y948" s="3"/>
      <c r="Z948" s="58"/>
      <c r="AA948" s="3"/>
      <c r="AB948" s="3"/>
      <c r="AC948" s="4"/>
      <c r="AD948" s="4"/>
      <c r="AE948" s="4"/>
      <c r="AF948" s="4"/>
      <c r="AG948" s="4"/>
      <c r="AH948" s="4"/>
      <c r="AI948" s="4"/>
    </row>
    <row r="949">
      <c r="A949" s="57"/>
      <c r="B949" s="4"/>
      <c r="C949" s="4"/>
      <c r="D949" s="4"/>
      <c r="E949" s="4"/>
      <c r="F949" s="4"/>
      <c r="G949" s="4"/>
      <c r="H949" s="52"/>
      <c r="I949" s="4"/>
      <c r="J949" s="52"/>
      <c r="K949" s="52"/>
      <c r="L949" s="52"/>
      <c r="M949" s="52"/>
      <c r="N949" s="52"/>
      <c r="O949" s="52"/>
      <c r="P949" s="52"/>
      <c r="Q949" s="52"/>
      <c r="R949" s="4"/>
      <c r="S949" s="4"/>
      <c r="T949" s="4"/>
      <c r="U949" s="74"/>
      <c r="V949" s="3"/>
      <c r="W949" s="3"/>
      <c r="X949" s="3"/>
      <c r="Y949" s="3"/>
      <c r="Z949" s="58"/>
      <c r="AA949" s="3"/>
      <c r="AB949" s="3"/>
      <c r="AC949" s="4"/>
      <c r="AD949" s="4"/>
      <c r="AE949" s="4"/>
      <c r="AF949" s="4"/>
      <c r="AG949" s="4"/>
      <c r="AH949" s="4"/>
      <c r="AI949" s="4"/>
    </row>
    <row r="950">
      <c r="A950" s="57"/>
      <c r="B950" s="4"/>
      <c r="C950" s="4"/>
      <c r="D950" s="4"/>
      <c r="E950" s="4"/>
      <c r="F950" s="4"/>
      <c r="G950" s="4"/>
      <c r="H950" s="52"/>
      <c r="I950" s="4"/>
      <c r="J950" s="52"/>
      <c r="K950" s="52"/>
      <c r="L950" s="52"/>
      <c r="M950" s="52"/>
      <c r="N950" s="52"/>
      <c r="O950" s="52"/>
      <c r="P950" s="52"/>
      <c r="Q950" s="52"/>
      <c r="R950" s="4"/>
      <c r="S950" s="4"/>
      <c r="T950" s="4"/>
      <c r="U950" s="74"/>
      <c r="V950" s="3"/>
      <c r="W950" s="3"/>
      <c r="X950" s="3"/>
      <c r="Y950" s="3"/>
      <c r="Z950" s="58"/>
      <c r="AA950" s="3"/>
      <c r="AB950" s="3"/>
      <c r="AC950" s="4"/>
      <c r="AD950" s="4"/>
      <c r="AE950" s="4"/>
      <c r="AF950" s="4"/>
      <c r="AG950" s="4"/>
      <c r="AH950" s="4"/>
      <c r="AI950" s="4"/>
    </row>
    <row r="951">
      <c r="A951" s="57"/>
      <c r="B951" s="4"/>
      <c r="C951" s="4"/>
      <c r="D951" s="4"/>
      <c r="E951" s="4"/>
      <c r="F951" s="4"/>
      <c r="G951" s="4"/>
      <c r="H951" s="52"/>
      <c r="I951" s="4"/>
      <c r="J951" s="52"/>
      <c r="K951" s="52"/>
      <c r="L951" s="52"/>
      <c r="M951" s="52"/>
      <c r="N951" s="52"/>
      <c r="O951" s="52"/>
      <c r="P951" s="52"/>
      <c r="Q951" s="52"/>
      <c r="R951" s="4"/>
      <c r="S951" s="4"/>
      <c r="T951" s="4"/>
      <c r="U951" s="74"/>
      <c r="V951" s="3"/>
      <c r="W951" s="3"/>
      <c r="X951" s="3"/>
      <c r="Y951" s="3"/>
      <c r="Z951" s="58"/>
      <c r="AA951" s="3"/>
      <c r="AB951" s="3"/>
      <c r="AC951" s="4"/>
      <c r="AD951" s="4"/>
      <c r="AE951" s="4"/>
      <c r="AF951" s="4"/>
      <c r="AG951" s="4"/>
      <c r="AH951" s="4"/>
      <c r="AI951" s="4"/>
    </row>
    <row r="952">
      <c r="A952" s="57"/>
      <c r="B952" s="4"/>
      <c r="C952" s="4"/>
      <c r="D952" s="4"/>
      <c r="E952" s="4"/>
      <c r="F952" s="4"/>
      <c r="G952" s="4"/>
      <c r="H952" s="52"/>
      <c r="I952" s="4"/>
      <c r="J952" s="52"/>
      <c r="K952" s="52"/>
      <c r="L952" s="52"/>
      <c r="M952" s="52"/>
      <c r="N952" s="52"/>
      <c r="O952" s="52"/>
      <c r="P952" s="52"/>
      <c r="Q952" s="52"/>
      <c r="R952" s="4"/>
      <c r="S952" s="4"/>
      <c r="T952" s="4"/>
      <c r="U952" s="74"/>
      <c r="V952" s="3"/>
      <c r="W952" s="3"/>
      <c r="X952" s="3"/>
      <c r="Y952" s="3"/>
      <c r="Z952" s="58"/>
      <c r="AA952" s="3"/>
      <c r="AB952" s="3"/>
      <c r="AC952" s="4"/>
      <c r="AD952" s="4"/>
      <c r="AE952" s="4"/>
      <c r="AF952" s="4"/>
      <c r="AG952" s="4"/>
      <c r="AH952" s="4"/>
      <c r="AI952" s="4"/>
    </row>
    <row r="953">
      <c r="A953" s="57"/>
      <c r="B953" s="4"/>
      <c r="C953" s="4"/>
      <c r="D953" s="4"/>
      <c r="E953" s="4"/>
      <c r="F953" s="4"/>
      <c r="G953" s="4"/>
      <c r="H953" s="52"/>
      <c r="I953" s="4"/>
      <c r="J953" s="52"/>
      <c r="K953" s="52"/>
      <c r="L953" s="52"/>
      <c r="M953" s="52"/>
      <c r="N953" s="52"/>
      <c r="O953" s="52"/>
      <c r="P953" s="52"/>
      <c r="Q953" s="52"/>
      <c r="R953" s="4"/>
      <c r="S953" s="4"/>
      <c r="T953" s="4"/>
      <c r="U953" s="74"/>
      <c r="V953" s="3"/>
      <c r="W953" s="3"/>
      <c r="X953" s="3"/>
      <c r="Y953" s="3"/>
      <c r="Z953" s="58"/>
      <c r="AA953" s="3"/>
      <c r="AB953" s="3"/>
      <c r="AC953" s="4"/>
      <c r="AD953" s="4"/>
      <c r="AE953" s="4"/>
      <c r="AF953" s="4"/>
      <c r="AG953" s="4"/>
      <c r="AH953" s="4"/>
      <c r="AI953" s="4"/>
    </row>
    <row r="954">
      <c r="A954" s="57"/>
      <c r="B954" s="4"/>
      <c r="C954" s="4"/>
      <c r="D954" s="4"/>
      <c r="E954" s="4"/>
      <c r="F954" s="4"/>
      <c r="G954" s="4"/>
      <c r="H954" s="52"/>
      <c r="I954" s="4"/>
      <c r="J954" s="52"/>
      <c r="K954" s="52"/>
      <c r="L954" s="52"/>
      <c r="M954" s="52"/>
      <c r="N954" s="52"/>
      <c r="O954" s="52"/>
      <c r="P954" s="52"/>
      <c r="Q954" s="52"/>
      <c r="R954" s="4"/>
      <c r="S954" s="4"/>
      <c r="T954" s="4"/>
      <c r="U954" s="74"/>
      <c r="V954" s="3"/>
      <c r="W954" s="3"/>
      <c r="X954" s="3"/>
      <c r="Y954" s="3"/>
      <c r="Z954" s="58"/>
      <c r="AA954" s="3"/>
      <c r="AB954" s="3"/>
      <c r="AC954" s="4"/>
      <c r="AD954" s="4"/>
      <c r="AE954" s="4"/>
      <c r="AF954" s="4"/>
      <c r="AG954" s="4"/>
      <c r="AH954" s="4"/>
      <c r="AI954" s="4"/>
    </row>
    <row r="955">
      <c r="A955" s="57"/>
      <c r="B955" s="4"/>
      <c r="C955" s="4"/>
      <c r="D955" s="4"/>
      <c r="E955" s="4"/>
      <c r="F955" s="4"/>
      <c r="G955" s="4"/>
      <c r="H955" s="52"/>
      <c r="I955" s="4"/>
      <c r="J955" s="52"/>
      <c r="K955" s="52"/>
      <c r="L955" s="52"/>
      <c r="M955" s="52"/>
      <c r="N955" s="52"/>
      <c r="O955" s="52"/>
      <c r="P955" s="52"/>
      <c r="Q955" s="52"/>
      <c r="R955" s="4"/>
      <c r="S955" s="4"/>
      <c r="T955" s="4"/>
      <c r="U955" s="74"/>
      <c r="V955" s="3"/>
      <c r="W955" s="3"/>
      <c r="X955" s="3"/>
      <c r="Y955" s="3"/>
      <c r="Z955" s="58"/>
      <c r="AA955" s="3"/>
      <c r="AB955" s="3"/>
      <c r="AC955" s="4"/>
      <c r="AD955" s="4"/>
      <c r="AE955" s="4"/>
      <c r="AF955" s="4"/>
      <c r="AG955" s="4"/>
      <c r="AH955" s="4"/>
      <c r="AI955" s="4"/>
    </row>
    <row r="956">
      <c r="A956" s="57"/>
      <c r="B956" s="4"/>
      <c r="C956" s="4"/>
      <c r="D956" s="4"/>
      <c r="E956" s="4"/>
      <c r="F956" s="4"/>
      <c r="G956" s="4"/>
      <c r="H956" s="52"/>
      <c r="I956" s="4"/>
      <c r="J956" s="52"/>
      <c r="K956" s="52"/>
      <c r="L956" s="52"/>
      <c r="M956" s="52"/>
      <c r="N956" s="52"/>
      <c r="O956" s="52"/>
      <c r="P956" s="52"/>
      <c r="Q956" s="52"/>
      <c r="R956" s="4"/>
      <c r="S956" s="4"/>
      <c r="T956" s="4"/>
      <c r="U956" s="74"/>
      <c r="V956" s="3"/>
      <c r="W956" s="3"/>
      <c r="X956" s="3"/>
      <c r="Y956" s="3"/>
      <c r="Z956" s="58"/>
      <c r="AA956" s="3"/>
      <c r="AB956" s="3"/>
      <c r="AC956" s="4"/>
      <c r="AD956" s="4"/>
      <c r="AE956" s="4"/>
      <c r="AF956" s="4"/>
      <c r="AG956" s="4"/>
      <c r="AH956" s="4"/>
      <c r="AI956" s="4"/>
    </row>
    <row r="957">
      <c r="A957" s="57"/>
      <c r="B957" s="4"/>
      <c r="C957" s="4"/>
      <c r="D957" s="4"/>
      <c r="E957" s="4"/>
      <c r="F957" s="4"/>
      <c r="G957" s="4"/>
      <c r="H957" s="52"/>
      <c r="I957" s="4"/>
      <c r="J957" s="52"/>
      <c r="K957" s="52"/>
      <c r="L957" s="52"/>
      <c r="M957" s="52"/>
      <c r="N957" s="52"/>
      <c r="O957" s="52"/>
      <c r="P957" s="52"/>
      <c r="Q957" s="52"/>
      <c r="R957" s="4"/>
      <c r="S957" s="4"/>
      <c r="T957" s="4"/>
      <c r="U957" s="74"/>
      <c r="V957" s="3"/>
      <c r="W957" s="3"/>
      <c r="X957" s="3"/>
      <c r="Y957" s="3"/>
      <c r="Z957" s="58"/>
      <c r="AA957" s="3"/>
      <c r="AB957" s="3"/>
      <c r="AC957" s="4"/>
      <c r="AD957" s="4"/>
      <c r="AE957" s="4"/>
      <c r="AF957" s="4"/>
      <c r="AG957" s="4"/>
      <c r="AH957" s="4"/>
      <c r="AI957" s="4"/>
    </row>
    <row r="958">
      <c r="A958" s="57"/>
      <c r="B958" s="4"/>
      <c r="C958" s="4"/>
      <c r="D958" s="4"/>
      <c r="E958" s="4"/>
      <c r="F958" s="4"/>
      <c r="G958" s="4"/>
      <c r="H958" s="52"/>
      <c r="I958" s="4"/>
      <c r="J958" s="52"/>
      <c r="K958" s="52"/>
      <c r="L958" s="52"/>
      <c r="M958" s="52"/>
      <c r="N958" s="52"/>
      <c r="O958" s="52"/>
      <c r="P958" s="52"/>
      <c r="Q958" s="52"/>
      <c r="R958" s="4"/>
      <c r="S958" s="4"/>
      <c r="T958" s="4"/>
      <c r="U958" s="74"/>
      <c r="V958" s="3"/>
      <c r="W958" s="3"/>
      <c r="X958" s="3"/>
      <c r="Y958" s="3"/>
      <c r="Z958" s="58"/>
      <c r="AA958" s="3"/>
      <c r="AB958" s="3"/>
      <c r="AC958" s="4"/>
      <c r="AD958" s="4"/>
      <c r="AE958" s="4"/>
      <c r="AF958" s="4"/>
      <c r="AG958" s="4"/>
      <c r="AH958" s="4"/>
      <c r="AI958" s="4"/>
    </row>
    <row r="959">
      <c r="A959" s="57"/>
      <c r="B959" s="4"/>
      <c r="C959" s="4"/>
      <c r="D959" s="4"/>
      <c r="E959" s="4"/>
      <c r="F959" s="4"/>
      <c r="G959" s="4"/>
      <c r="H959" s="52"/>
      <c r="I959" s="4"/>
      <c r="J959" s="52"/>
      <c r="K959" s="52"/>
      <c r="L959" s="52"/>
      <c r="M959" s="52"/>
      <c r="N959" s="52"/>
      <c r="O959" s="52"/>
      <c r="P959" s="52"/>
      <c r="Q959" s="52"/>
      <c r="R959" s="4"/>
      <c r="S959" s="4"/>
      <c r="T959" s="4"/>
      <c r="U959" s="74"/>
      <c r="V959" s="3"/>
      <c r="W959" s="3"/>
      <c r="X959" s="3"/>
      <c r="Y959" s="3"/>
      <c r="Z959" s="58"/>
      <c r="AA959" s="3"/>
      <c r="AB959" s="3"/>
      <c r="AC959" s="4"/>
      <c r="AD959" s="4"/>
      <c r="AE959" s="4"/>
      <c r="AF959" s="4"/>
      <c r="AG959" s="4"/>
      <c r="AH959" s="4"/>
      <c r="AI959" s="4"/>
    </row>
    <row r="960">
      <c r="A960" s="57"/>
      <c r="B960" s="4"/>
      <c r="C960" s="4"/>
      <c r="D960" s="4"/>
      <c r="E960" s="4"/>
      <c r="F960" s="4"/>
      <c r="G960" s="4"/>
      <c r="H960" s="52"/>
      <c r="I960" s="4"/>
      <c r="J960" s="52"/>
      <c r="K960" s="52"/>
      <c r="L960" s="52"/>
      <c r="M960" s="52"/>
      <c r="N960" s="52"/>
      <c r="O960" s="52"/>
      <c r="P960" s="52"/>
      <c r="Q960" s="52"/>
      <c r="R960" s="4"/>
      <c r="S960" s="4"/>
      <c r="T960" s="4"/>
      <c r="U960" s="74"/>
      <c r="V960" s="3"/>
      <c r="W960" s="3"/>
      <c r="X960" s="3"/>
      <c r="Y960" s="3"/>
      <c r="Z960" s="58"/>
      <c r="AA960" s="3"/>
      <c r="AB960" s="3"/>
      <c r="AC960" s="4"/>
      <c r="AD960" s="4"/>
      <c r="AE960" s="4"/>
      <c r="AF960" s="4"/>
      <c r="AG960" s="4"/>
      <c r="AH960" s="4"/>
      <c r="AI960" s="4"/>
    </row>
    <row r="961">
      <c r="A961" s="57"/>
      <c r="B961" s="4"/>
      <c r="C961" s="4"/>
      <c r="D961" s="4"/>
      <c r="E961" s="4"/>
      <c r="F961" s="4"/>
      <c r="G961" s="4"/>
      <c r="H961" s="52"/>
      <c r="I961" s="4"/>
      <c r="J961" s="52"/>
      <c r="K961" s="52"/>
      <c r="L961" s="52"/>
      <c r="M961" s="52"/>
      <c r="N961" s="52"/>
      <c r="O961" s="52"/>
      <c r="P961" s="52"/>
      <c r="Q961" s="52"/>
      <c r="R961" s="4"/>
      <c r="S961" s="4"/>
      <c r="T961" s="4"/>
      <c r="U961" s="74"/>
      <c r="V961" s="3"/>
      <c r="W961" s="3"/>
      <c r="X961" s="3"/>
      <c r="Y961" s="3"/>
      <c r="Z961" s="58"/>
      <c r="AA961" s="3"/>
      <c r="AB961" s="3"/>
      <c r="AC961" s="4"/>
      <c r="AD961" s="4"/>
      <c r="AE961" s="4"/>
      <c r="AF961" s="4"/>
      <c r="AG961" s="4"/>
      <c r="AH961" s="4"/>
      <c r="AI961" s="4"/>
    </row>
    <row r="962">
      <c r="A962" s="57"/>
      <c r="B962" s="4"/>
      <c r="C962" s="4"/>
      <c r="D962" s="4"/>
      <c r="E962" s="4"/>
      <c r="F962" s="4"/>
      <c r="G962" s="4"/>
      <c r="H962" s="52"/>
      <c r="I962" s="4"/>
      <c r="J962" s="52"/>
      <c r="K962" s="52"/>
      <c r="L962" s="52"/>
      <c r="M962" s="52"/>
      <c r="N962" s="52"/>
      <c r="O962" s="52"/>
      <c r="P962" s="52"/>
      <c r="Q962" s="52"/>
      <c r="R962" s="4"/>
      <c r="S962" s="4"/>
      <c r="T962" s="4"/>
      <c r="U962" s="74"/>
      <c r="V962" s="3"/>
      <c r="W962" s="3"/>
      <c r="X962" s="3"/>
      <c r="Y962" s="3"/>
      <c r="Z962" s="58"/>
      <c r="AA962" s="3"/>
      <c r="AB962" s="3"/>
      <c r="AC962" s="4"/>
      <c r="AD962" s="4"/>
      <c r="AE962" s="4"/>
      <c r="AF962" s="4"/>
      <c r="AG962" s="4"/>
      <c r="AH962" s="4"/>
      <c r="AI962" s="4"/>
    </row>
    <row r="963">
      <c r="A963" s="57"/>
      <c r="B963" s="4"/>
      <c r="C963" s="4"/>
      <c r="D963" s="4"/>
      <c r="E963" s="4"/>
      <c r="F963" s="4"/>
      <c r="G963" s="4"/>
      <c r="H963" s="52"/>
      <c r="I963" s="4"/>
      <c r="J963" s="52"/>
      <c r="K963" s="52"/>
      <c r="L963" s="52"/>
      <c r="M963" s="52"/>
      <c r="N963" s="52"/>
      <c r="O963" s="52"/>
      <c r="P963" s="52"/>
      <c r="Q963" s="52"/>
      <c r="R963" s="4"/>
      <c r="S963" s="4"/>
      <c r="T963" s="4"/>
      <c r="U963" s="74"/>
      <c r="V963" s="3"/>
      <c r="W963" s="3"/>
      <c r="X963" s="3"/>
      <c r="Y963" s="3"/>
      <c r="Z963" s="58"/>
      <c r="AA963" s="3"/>
      <c r="AB963" s="3"/>
      <c r="AC963" s="4"/>
      <c r="AD963" s="4"/>
      <c r="AE963" s="4"/>
      <c r="AF963" s="4"/>
      <c r="AG963" s="4"/>
      <c r="AH963" s="4"/>
      <c r="AI963" s="4"/>
    </row>
    <row r="964">
      <c r="A964" s="57"/>
      <c r="B964" s="4"/>
      <c r="C964" s="4"/>
      <c r="D964" s="4"/>
      <c r="E964" s="4"/>
      <c r="F964" s="4"/>
      <c r="G964" s="4"/>
      <c r="H964" s="52"/>
      <c r="I964" s="4"/>
      <c r="J964" s="52"/>
      <c r="K964" s="52"/>
      <c r="L964" s="52"/>
      <c r="M964" s="52"/>
      <c r="N964" s="52"/>
      <c r="O964" s="52"/>
      <c r="P964" s="52"/>
      <c r="Q964" s="52"/>
      <c r="R964" s="4"/>
      <c r="S964" s="4"/>
      <c r="T964" s="4"/>
      <c r="U964" s="74"/>
      <c r="V964" s="3"/>
      <c r="W964" s="3"/>
      <c r="X964" s="3"/>
      <c r="Y964" s="3"/>
      <c r="Z964" s="58"/>
      <c r="AA964" s="3"/>
      <c r="AB964" s="3"/>
      <c r="AC964" s="4"/>
      <c r="AD964" s="4"/>
      <c r="AE964" s="4"/>
      <c r="AF964" s="4"/>
      <c r="AG964" s="4"/>
      <c r="AH964" s="4"/>
      <c r="AI964" s="4"/>
    </row>
    <row r="965">
      <c r="A965" s="57"/>
      <c r="B965" s="4"/>
      <c r="C965" s="4"/>
      <c r="D965" s="4"/>
      <c r="E965" s="4"/>
      <c r="F965" s="4"/>
      <c r="G965" s="4"/>
      <c r="H965" s="52"/>
      <c r="I965" s="4"/>
      <c r="J965" s="52"/>
      <c r="K965" s="52"/>
      <c r="L965" s="52"/>
      <c r="M965" s="52"/>
      <c r="N965" s="52"/>
      <c r="O965" s="52"/>
      <c r="P965" s="52"/>
      <c r="Q965" s="52"/>
      <c r="R965" s="4"/>
      <c r="S965" s="4"/>
      <c r="T965" s="4"/>
      <c r="U965" s="74"/>
      <c r="V965" s="3"/>
      <c r="W965" s="3"/>
      <c r="X965" s="3"/>
      <c r="Y965" s="3"/>
      <c r="Z965" s="58"/>
      <c r="AA965" s="3"/>
      <c r="AB965" s="3"/>
      <c r="AC965" s="4"/>
      <c r="AD965" s="4"/>
      <c r="AE965" s="4"/>
      <c r="AF965" s="4"/>
      <c r="AG965" s="4"/>
      <c r="AH965" s="4"/>
      <c r="AI965" s="4"/>
    </row>
    <row r="966">
      <c r="A966" s="57"/>
      <c r="B966" s="4"/>
      <c r="C966" s="4"/>
      <c r="D966" s="4"/>
      <c r="E966" s="4"/>
      <c r="F966" s="4"/>
      <c r="G966" s="4"/>
      <c r="H966" s="52"/>
      <c r="I966" s="4"/>
      <c r="J966" s="52"/>
      <c r="K966" s="52"/>
      <c r="L966" s="52"/>
      <c r="M966" s="52"/>
      <c r="N966" s="52"/>
      <c r="O966" s="52"/>
      <c r="P966" s="52"/>
      <c r="Q966" s="52"/>
      <c r="R966" s="4"/>
      <c r="S966" s="4"/>
      <c r="T966" s="4"/>
      <c r="U966" s="74"/>
      <c r="V966" s="3"/>
      <c r="W966" s="3"/>
      <c r="X966" s="3"/>
      <c r="Y966" s="3"/>
      <c r="Z966" s="58"/>
      <c r="AA966" s="3"/>
      <c r="AB966" s="3"/>
      <c r="AC966" s="4"/>
      <c r="AD966" s="4"/>
      <c r="AE966" s="4"/>
      <c r="AF966" s="4"/>
      <c r="AG966" s="4"/>
      <c r="AH966" s="4"/>
      <c r="AI966" s="4"/>
    </row>
    <row r="967">
      <c r="A967" s="57"/>
      <c r="B967" s="4"/>
      <c r="C967" s="4"/>
      <c r="D967" s="4"/>
      <c r="E967" s="4"/>
      <c r="F967" s="4"/>
      <c r="G967" s="4"/>
      <c r="H967" s="52"/>
      <c r="I967" s="4"/>
      <c r="J967" s="52"/>
      <c r="K967" s="52"/>
      <c r="L967" s="52"/>
      <c r="M967" s="52"/>
      <c r="N967" s="52"/>
      <c r="O967" s="52"/>
      <c r="P967" s="52"/>
      <c r="Q967" s="52"/>
      <c r="R967" s="4"/>
      <c r="S967" s="4"/>
      <c r="T967" s="4"/>
      <c r="U967" s="74"/>
      <c r="V967" s="3"/>
      <c r="W967" s="3"/>
      <c r="X967" s="3"/>
      <c r="Y967" s="3"/>
      <c r="Z967" s="58"/>
      <c r="AA967" s="3"/>
      <c r="AB967" s="3"/>
      <c r="AC967" s="4"/>
      <c r="AD967" s="4"/>
      <c r="AE967" s="4"/>
      <c r="AF967" s="4"/>
      <c r="AG967" s="4"/>
      <c r="AH967" s="4"/>
      <c r="AI967" s="4"/>
    </row>
    <row r="968">
      <c r="A968" s="57"/>
      <c r="B968" s="4"/>
      <c r="C968" s="4"/>
      <c r="D968" s="4"/>
      <c r="E968" s="4"/>
      <c r="F968" s="4"/>
      <c r="G968" s="4"/>
      <c r="H968" s="52"/>
      <c r="I968" s="4"/>
      <c r="J968" s="52"/>
      <c r="K968" s="52"/>
      <c r="L968" s="52"/>
      <c r="M968" s="52"/>
      <c r="N968" s="52"/>
      <c r="O968" s="52"/>
      <c r="P968" s="52"/>
      <c r="Q968" s="52"/>
      <c r="R968" s="4"/>
      <c r="S968" s="4"/>
      <c r="T968" s="4"/>
      <c r="U968" s="74"/>
      <c r="V968" s="3"/>
      <c r="W968" s="3"/>
      <c r="X968" s="3"/>
      <c r="Y968" s="3"/>
      <c r="Z968" s="58"/>
      <c r="AA968" s="3"/>
      <c r="AB968" s="3"/>
      <c r="AC968" s="4"/>
      <c r="AD968" s="4"/>
      <c r="AE968" s="4"/>
      <c r="AF968" s="4"/>
      <c r="AG968" s="4"/>
      <c r="AH968" s="4"/>
      <c r="AI968" s="4"/>
    </row>
    <row r="969">
      <c r="A969" s="57"/>
      <c r="B969" s="4"/>
      <c r="C969" s="4"/>
      <c r="D969" s="4"/>
      <c r="E969" s="4"/>
      <c r="F969" s="4"/>
      <c r="G969" s="4"/>
      <c r="H969" s="52"/>
      <c r="I969" s="4"/>
      <c r="J969" s="52"/>
      <c r="K969" s="52"/>
      <c r="L969" s="52"/>
      <c r="M969" s="52"/>
      <c r="N969" s="52"/>
      <c r="O969" s="52"/>
      <c r="P969" s="52"/>
      <c r="Q969" s="52"/>
      <c r="R969" s="4"/>
      <c r="S969" s="4"/>
      <c r="T969" s="4"/>
      <c r="U969" s="74"/>
      <c r="V969" s="3"/>
      <c r="W969" s="3"/>
      <c r="X969" s="3"/>
      <c r="Y969" s="3"/>
      <c r="Z969" s="58"/>
      <c r="AA969" s="3"/>
      <c r="AB969" s="3"/>
      <c r="AC969" s="4"/>
      <c r="AD969" s="4"/>
      <c r="AE969" s="4"/>
      <c r="AF969" s="4"/>
      <c r="AG969" s="4"/>
      <c r="AH969" s="4"/>
      <c r="AI969" s="4"/>
    </row>
    <row r="970">
      <c r="A970" s="57"/>
      <c r="B970" s="4"/>
      <c r="C970" s="4"/>
      <c r="D970" s="4"/>
      <c r="E970" s="4"/>
      <c r="F970" s="4"/>
      <c r="G970" s="4"/>
      <c r="H970" s="52"/>
      <c r="I970" s="4"/>
      <c r="J970" s="52"/>
      <c r="K970" s="52"/>
      <c r="L970" s="52"/>
      <c r="M970" s="52"/>
      <c r="N970" s="52"/>
      <c r="O970" s="52"/>
      <c r="P970" s="52"/>
      <c r="Q970" s="52"/>
      <c r="R970" s="4"/>
      <c r="S970" s="4"/>
      <c r="T970" s="4"/>
      <c r="U970" s="74"/>
      <c r="V970" s="3"/>
      <c r="W970" s="3"/>
      <c r="X970" s="3"/>
      <c r="Y970" s="3"/>
      <c r="Z970" s="58"/>
      <c r="AA970" s="3"/>
      <c r="AB970" s="3"/>
      <c r="AC970" s="4"/>
      <c r="AD970" s="4"/>
      <c r="AE970" s="4"/>
      <c r="AF970" s="4"/>
      <c r="AG970" s="4"/>
      <c r="AH970" s="4"/>
      <c r="AI970" s="4"/>
    </row>
    <row r="971">
      <c r="A971" s="57"/>
      <c r="B971" s="4"/>
      <c r="C971" s="4"/>
      <c r="D971" s="4"/>
      <c r="E971" s="4"/>
      <c r="F971" s="4"/>
      <c r="G971" s="4"/>
      <c r="H971" s="52"/>
      <c r="I971" s="4"/>
      <c r="J971" s="52"/>
      <c r="K971" s="52"/>
      <c r="L971" s="52"/>
      <c r="M971" s="52"/>
      <c r="N971" s="52"/>
      <c r="O971" s="52"/>
      <c r="P971" s="52"/>
      <c r="Q971" s="52"/>
      <c r="R971" s="4"/>
      <c r="S971" s="4"/>
      <c r="T971" s="4"/>
      <c r="U971" s="74"/>
      <c r="V971" s="3"/>
      <c r="W971" s="3"/>
      <c r="X971" s="3"/>
      <c r="Y971" s="3"/>
      <c r="Z971" s="58"/>
      <c r="AA971" s="3"/>
      <c r="AB971" s="3"/>
      <c r="AC971" s="4"/>
      <c r="AD971" s="4"/>
      <c r="AE971" s="4"/>
      <c r="AF971" s="4"/>
      <c r="AG971" s="4"/>
      <c r="AH971" s="4"/>
      <c r="AI971" s="4"/>
    </row>
    <row r="972">
      <c r="A972" s="57"/>
      <c r="B972" s="4"/>
      <c r="C972" s="4"/>
      <c r="D972" s="4"/>
      <c r="E972" s="4"/>
      <c r="F972" s="4"/>
      <c r="G972" s="4"/>
      <c r="H972" s="52"/>
      <c r="I972" s="4"/>
      <c r="J972" s="52"/>
      <c r="K972" s="52"/>
      <c r="L972" s="52"/>
      <c r="M972" s="52"/>
      <c r="N972" s="52"/>
      <c r="O972" s="52"/>
      <c r="P972" s="52"/>
      <c r="Q972" s="52"/>
      <c r="R972" s="4"/>
      <c r="S972" s="4"/>
      <c r="T972" s="4"/>
      <c r="U972" s="74"/>
      <c r="V972" s="3"/>
      <c r="W972" s="3"/>
      <c r="X972" s="3"/>
      <c r="Y972" s="3"/>
      <c r="Z972" s="58"/>
      <c r="AA972" s="3"/>
      <c r="AB972" s="3"/>
      <c r="AC972" s="4"/>
      <c r="AD972" s="4"/>
      <c r="AE972" s="4"/>
      <c r="AF972" s="4"/>
      <c r="AG972" s="4"/>
      <c r="AH972" s="4"/>
      <c r="AI972" s="4"/>
    </row>
    <row r="973">
      <c r="A973" s="57"/>
      <c r="B973" s="4"/>
      <c r="C973" s="4"/>
      <c r="D973" s="4"/>
      <c r="E973" s="4"/>
      <c r="F973" s="4"/>
      <c r="G973" s="4"/>
      <c r="H973" s="52"/>
      <c r="I973" s="4"/>
      <c r="J973" s="52"/>
      <c r="K973" s="52"/>
      <c r="L973" s="52"/>
      <c r="M973" s="52"/>
      <c r="N973" s="52"/>
      <c r="O973" s="52"/>
      <c r="P973" s="52"/>
      <c r="Q973" s="52"/>
      <c r="R973" s="4"/>
      <c r="S973" s="4"/>
      <c r="T973" s="4"/>
      <c r="U973" s="74"/>
      <c r="V973" s="3"/>
      <c r="W973" s="3"/>
      <c r="X973" s="3"/>
      <c r="Y973" s="3"/>
      <c r="Z973" s="58"/>
      <c r="AA973" s="3"/>
      <c r="AB973" s="3"/>
      <c r="AC973" s="4"/>
      <c r="AD973" s="4"/>
      <c r="AE973" s="4"/>
      <c r="AF973" s="4"/>
      <c r="AG973" s="4"/>
      <c r="AH973" s="4"/>
      <c r="AI973" s="4"/>
    </row>
    <row r="974">
      <c r="A974" s="57"/>
      <c r="B974" s="4"/>
      <c r="C974" s="4"/>
      <c r="D974" s="4"/>
      <c r="E974" s="4"/>
      <c r="F974" s="4"/>
      <c r="G974" s="4"/>
      <c r="H974" s="52"/>
      <c r="I974" s="4"/>
      <c r="J974" s="52"/>
      <c r="K974" s="52"/>
      <c r="L974" s="52"/>
      <c r="M974" s="52"/>
      <c r="N974" s="52"/>
      <c r="O974" s="52"/>
      <c r="P974" s="52"/>
      <c r="Q974" s="52"/>
      <c r="R974" s="4"/>
      <c r="S974" s="4"/>
      <c r="T974" s="4"/>
      <c r="U974" s="74"/>
      <c r="V974" s="3"/>
      <c r="W974" s="3"/>
      <c r="X974" s="3"/>
      <c r="Y974" s="3"/>
      <c r="Z974" s="58"/>
      <c r="AA974" s="3"/>
      <c r="AB974" s="3"/>
      <c r="AC974" s="4"/>
      <c r="AD974" s="4"/>
      <c r="AE974" s="4"/>
      <c r="AF974" s="4"/>
      <c r="AG974" s="4"/>
      <c r="AH974" s="4"/>
      <c r="AI974" s="4"/>
    </row>
    <row r="975">
      <c r="A975" s="57"/>
      <c r="B975" s="4"/>
      <c r="C975" s="4"/>
      <c r="D975" s="4"/>
      <c r="E975" s="4"/>
      <c r="F975" s="4"/>
      <c r="G975" s="4"/>
      <c r="H975" s="52"/>
      <c r="I975" s="4"/>
      <c r="J975" s="52"/>
      <c r="K975" s="52"/>
      <c r="L975" s="52"/>
      <c r="M975" s="52"/>
      <c r="N975" s="52"/>
      <c r="O975" s="52"/>
      <c r="P975" s="52"/>
      <c r="Q975" s="52"/>
      <c r="R975" s="4"/>
      <c r="S975" s="4"/>
      <c r="T975" s="4"/>
      <c r="U975" s="74"/>
      <c r="V975" s="3"/>
      <c r="W975" s="3"/>
      <c r="X975" s="3"/>
      <c r="Y975" s="3"/>
      <c r="Z975" s="58"/>
      <c r="AA975" s="3"/>
      <c r="AB975" s="3"/>
      <c r="AC975" s="4"/>
      <c r="AD975" s="4"/>
      <c r="AE975" s="4"/>
      <c r="AF975" s="4"/>
      <c r="AG975" s="4"/>
      <c r="AH975" s="4"/>
      <c r="AI975" s="4"/>
    </row>
    <row r="976">
      <c r="A976" s="57"/>
      <c r="B976" s="4"/>
      <c r="C976" s="4"/>
      <c r="D976" s="4"/>
      <c r="E976" s="4"/>
      <c r="F976" s="4"/>
      <c r="G976" s="4"/>
      <c r="H976" s="52"/>
      <c r="I976" s="4"/>
      <c r="J976" s="52"/>
      <c r="K976" s="52"/>
      <c r="L976" s="52"/>
      <c r="M976" s="52"/>
      <c r="N976" s="52"/>
      <c r="O976" s="52"/>
      <c r="P976" s="52"/>
      <c r="Q976" s="52"/>
      <c r="R976" s="4"/>
      <c r="S976" s="4"/>
      <c r="T976" s="4"/>
      <c r="U976" s="74"/>
      <c r="V976" s="3"/>
      <c r="W976" s="3"/>
      <c r="X976" s="3"/>
      <c r="Y976" s="3"/>
      <c r="Z976" s="58"/>
      <c r="AA976" s="3"/>
      <c r="AB976" s="3"/>
      <c r="AC976" s="4"/>
      <c r="AD976" s="4"/>
      <c r="AE976" s="4"/>
      <c r="AF976" s="4"/>
      <c r="AG976" s="4"/>
      <c r="AH976" s="4"/>
      <c r="AI976" s="4"/>
    </row>
    <row r="977">
      <c r="A977" s="57"/>
      <c r="B977" s="4"/>
      <c r="C977" s="4"/>
      <c r="D977" s="4"/>
      <c r="E977" s="4"/>
      <c r="F977" s="4"/>
      <c r="G977" s="4"/>
      <c r="H977" s="52"/>
      <c r="I977" s="4"/>
      <c r="J977" s="52"/>
      <c r="K977" s="52"/>
      <c r="L977" s="52"/>
      <c r="M977" s="52"/>
      <c r="N977" s="52"/>
      <c r="O977" s="52"/>
      <c r="P977" s="52"/>
      <c r="Q977" s="52"/>
      <c r="R977" s="4"/>
      <c r="S977" s="4"/>
      <c r="T977" s="4"/>
      <c r="U977" s="74"/>
      <c r="V977" s="3"/>
      <c r="W977" s="3"/>
      <c r="X977" s="3"/>
      <c r="Y977" s="3"/>
      <c r="Z977" s="58"/>
      <c r="AA977" s="3"/>
      <c r="AB977" s="3"/>
      <c r="AC977" s="4"/>
      <c r="AD977" s="4"/>
      <c r="AE977" s="4"/>
      <c r="AF977" s="4"/>
      <c r="AG977" s="4"/>
      <c r="AH977" s="4"/>
      <c r="AI977" s="4"/>
    </row>
    <row r="978">
      <c r="A978" s="57"/>
      <c r="B978" s="4"/>
      <c r="C978" s="4"/>
      <c r="D978" s="4"/>
      <c r="E978" s="4"/>
      <c r="F978" s="4"/>
      <c r="G978" s="4"/>
      <c r="H978" s="52"/>
      <c r="I978" s="4"/>
      <c r="J978" s="52"/>
      <c r="K978" s="52"/>
      <c r="L978" s="52"/>
      <c r="M978" s="52"/>
      <c r="N978" s="52"/>
      <c r="O978" s="52"/>
      <c r="P978" s="52"/>
      <c r="Q978" s="52"/>
      <c r="R978" s="4"/>
      <c r="S978" s="4"/>
      <c r="T978" s="4"/>
      <c r="U978" s="74"/>
      <c r="V978" s="3"/>
      <c r="W978" s="3"/>
      <c r="X978" s="3"/>
      <c r="Y978" s="3"/>
      <c r="Z978" s="58"/>
      <c r="AA978" s="3"/>
      <c r="AB978" s="3"/>
      <c r="AC978" s="4"/>
      <c r="AD978" s="4"/>
      <c r="AE978" s="4"/>
      <c r="AF978" s="4"/>
      <c r="AG978" s="4"/>
      <c r="AH978" s="4"/>
      <c r="AI978" s="4"/>
    </row>
    <row r="979">
      <c r="A979" s="57"/>
      <c r="B979" s="4"/>
      <c r="C979" s="4"/>
      <c r="D979" s="4"/>
      <c r="E979" s="4"/>
      <c r="F979" s="4"/>
      <c r="G979" s="4"/>
      <c r="H979" s="52"/>
      <c r="I979" s="4"/>
      <c r="J979" s="52"/>
      <c r="K979" s="52"/>
      <c r="L979" s="52"/>
      <c r="M979" s="52"/>
      <c r="N979" s="52"/>
      <c r="O979" s="52"/>
      <c r="P979" s="52"/>
      <c r="Q979" s="52"/>
      <c r="R979" s="4"/>
      <c r="S979" s="4"/>
      <c r="T979" s="4"/>
      <c r="U979" s="74"/>
      <c r="V979" s="3"/>
      <c r="W979" s="3"/>
      <c r="X979" s="3"/>
      <c r="Y979" s="3"/>
      <c r="Z979" s="58"/>
      <c r="AA979" s="3"/>
      <c r="AB979" s="3"/>
      <c r="AC979" s="4"/>
      <c r="AD979" s="4"/>
      <c r="AE979" s="4"/>
      <c r="AF979" s="4"/>
      <c r="AG979" s="4"/>
      <c r="AH979" s="4"/>
      <c r="AI979" s="4"/>
    </row>
    <row r="980">
      <c r="A980" s="57"/>
      <c r="B980" s="4"/>
      <c r="C980" s="4"/>
      <c r="D980" s="4"/>
      <c r="E980" s="4"/>
      <c r="F980" s="4"/>
      <c r="G980" s="4"/>
      <c r="H980" s="52"/>
      <c r="I980" s="4"/>
      <c r="J980" s="52"/>
      <c r="K980" s="52"/>
      <c r="L980" s="52"/>
      <c r="M980" s="52"/>
      <c r="N980" s="52"/>
      <c r="O980" s="52"/>
      <c r="P980" s="52"/>
      <c r="Q980" s="52"/>
      <c r="R980" s="4"/>
      <c r="S980" s="4"/>
      <c r="T980" s="4"/>
      <c r="U980" s="74"/>
      <c r="V980" s="3"/>
      <c r="W980" s="3"/>
      <c r="X980" s="3"/>
      <c r="Y980" s="3"/>
      <c r="Z980" s="58"/>
      <c r="AA980" s="3"/>
      <c r="AB980" s="3"/>
      <c r="AC980" s="4"/>
      <c r="AD980" s="4"/>
      <c r="AE980" s="4"/>
      <c r="AF980" s="4"/>
      <c r="AG980" s="4"/>
      <c r="AH980" s="4"/>
      <c r="AI980" s="4"/>
    </row>
    <row r="981">
      <c r="A981" s="57"/>
      <c r="B981" s="4"/>
      <c r="C981" s="4"/>
      <c r="D981" s="4"/>
      <c r="E981" s="4"/>
      <c r="F981" s="4"/>
      <c r="G981" s="4"/>
      <c r="H981" s="52"/>
      <c r="I981" s="4"/>
      <c r="J981" s="52"/>
      <c r="K981" s="52"/>
      <c r="L981" s="52"/>
      <c r="M981" s="52"/>
      <c r="N981" s="52"/>
      <c r="O981" s="52"/>
      <c r="P981" s="52"/>
      <c r="Q981" s="52"/>
      <c r="R981" s="4"/>
      <c r="S981" s="4"/>
      <c r="T981" s="4"/>
      <c r="U981" s="74"/>
      <c r="V981" s="3"/>
      <c r="W981" s="3"/>
      <c r="X981" s="3"/>
      <c r="Y981" s="3"/>
      <c r="Z981" s="58"/>
      <c r="AA981" s="3"/>
      <c r="AB981" s="3"/>
      <c r="AC981" s="4"/>
      <c r="AD981" s="4"/>
      <c r="AE981" s="4"/>
      <c r="AF981" s="4"/>
      <c r="AG981" s="4"/>
      <c r="AH981" s="4"/>
      <c r="AI981" s="4"/>
    </row>
    <row r="982">
      <c r="A982" s="57"/>
      <c r="B982" s="4"/>
      <c r="C982" s="4"/>
      <c r="D982" s="4"/>
      <c r="E982" s="4"/>
      <c r="F982" s="4"/>
      <c r="G982" s="4"/>
      <c r="H982" s="52"/>
      <c r="I982" s="4"/>
      <c r="J982" s="52"/>
      <c r="K982" s="52"/>
      <c r="L982" s="52"/>
      <c r="M982" s="52"/>
      <c r="N982" s="52"/>
      <c r="O982" s="52"/>
      <c r="P982" s="52"/>
      <c r="Q982" s="52"/>
      <c r="R982" s="4"/>
      <c r="S982" s="4"/>
      <c r="T982" s="4"/>
      <c r="U982" s="74"/>
      <c r="V982" s="3"/>
      <c r="W982" s="3"/>
      <c r="X982" s="3"/>
      <c r="Y982" s="3"/>
      <c r="Z982" s="58"/>
      <c r="AA982" s="3"/>
      <c r="AB982" s="3"/>
      <c r="AC982" s="4"/>
      <c r="AD982" s="4"/>
      <c r="AE982" s="4"/>
      <c r="AF982" s="4"/>
      <c r="AG982" s="4"/>
      <c r="AH982" s="4"/>
      <c r="AI982" s="4"/>
    </row>
    <row r="983">
      <c r="A983" s="57"/>
      <c r="B983" s="4"/>
      <c r="C983" s="4"/>
      <c r="D983" s="4"/>
      <c r="E983" s="4"/>
      <c r="F983" s="4"/>
      <c r="G983" s="4"/>
      <c r="H983" s="52"/>
      <c r="I983" s="4"/>
      <c r="J983" s="52"/>
      <c r="K983" s="52"/>
      <c r="L983" s="52"/>
      <c r="M983" s="52"/>
      <c r="N983" s="52"/>
      <c r="O983" s="52"/>
      <c r="P983" s="52"/>
      <c r="Q983" s="52"/>
      <c r="R983" s="4"/>
      <c r="S983" s="4"/>
      <c r="T983" s="4"/>
      <c r="U983" s="74"/>
      <c r="V983" s="3"/>
      <c r="W983" s="3"/>
      <c r="X983" s="3"/>
      <c r="Y983" s="3"/>
      <c r="Z983" s="58"/>
      <c r="AA983" s="3"/>
      <c r="AB983" s="3"/>
      <c r="AC983" s="4"/>
      <c r="AD983" s="4"/>
      <c r="AE983" s="4"/>
      <c r="AF983" s="4"/>
      <c r="AG983" s="4"/>
      <c r="AH983" s="4"/>
      <c r="AI983" s="4"/>
    </row>
    <row r="984">
      <c r="A984" s="57"/>
      <c r="B984" s="4"/>
      <c r="C984" s="4"/>
      <c r="D984" s="4"/>
      <c r="E984" s="4"/>
      <c r="F984" s="4"/>
      <c r="G984" s="4"/>
      <c r="H984" s="52"/>
      <c r="I984" s="4"/>
      <c r="J984" s="52"/>
      <c r="K984" s="52"/>
      <c r="L984" s="52"/>
      <c r="M984" s="52"/>
      <c r="N984" s="52"/>
      <c r="O984" s="52"/>
      <c r="P984" s="52"/>
      <c r="Q984" s="52"/>
      <c r="R984" s="4"/>
      <c r="S984" s="4"/>
      <c r="T984" s="4"/>
      <c r="U984" s="74"/>
      <c r="V984" s="3"/>
      <c r="W984" s="3"/>
      <c r="X984" s="3"/>
      <c r="Y984" s="3"/>
      <c r="Z984" s="58"/>
      <c r="AA984" s="3"/>
      <c r="AB984" s="3"/>
      <c r="AC984" s="4"/>
      <c r="AD984" s="4"/>
      <c r="AE984" s="4"/>
      <c r="AF984" s="4"/>
      <c r="AG984" s="4"/>
      <c r="AH984" s="4"/>
      <c r="AI984" s="4"/>
    </row>
    <row r="985">
      <c r="A985" s="57"/>
      <c r="B985" s="4"/>
      <c r="C985" s="4"/>
      <c r="D985" s="4"/>
      <c r="E985" s="4"/>
      <c r="F985" s="4"/>
      <c r="G985" s="4"/>
      <c r="H985" s="52"/>
      <c r="I985" s="4"/>
      <c r="J985" s="52"/>
      <c r="K985" s="52"/>
      <c r="L985" s="52"/>
      <c r="M985" s="52"/>
      <c r="N985" s="52"/>
      <c r="O985" s="52"/>
      <c r="P985" s="52"/>
      <c r="Q985" s="52"/>
      <c r="R985" s="4"/>
      <c r="S985" s="4"/>
      <c r="T985" s="4"/>
      <c r="U985" s="74"/>
      <c r="V985" s="3"/>
      <c r="W985" s="3"/>
      <c r="X985" s="3"/>
      <c r="Y985" s="3"/>
      <c r="Z985" s="58"/>
      <c r="AA985" s="3"/>
      <c r="AB985" s="3"/>
      <c r="AC985" s="4"/>
      <c r="AD985" s="4"/>
      <c r="AE985" s="4"/>
      <c r="AF985" s="4"/>
      <c r="AG985" s="4"/>
      <c r="AH985" s="4"/>
      <c r="AI985" s="4"/>
    </row>
    <row r="986">
      <c r="A986" s="57"/>
      <c r="B986" s="4"/>
      <c r="C986" s="4"/>
      <c r="D986" s="4"/>
      <c r="E986" s="4"/>
      <c r="F986" s="4"/>
      <c r="G986" s="4"/>
      <c r="H986" s="52"/>
      <c r="I986" s="4"/>
      <c r="J986" s="52"/>
      <c r="K986" s="52"/>
      <c r="L986" s="52"/>
      <c r="M986" s="52"/>
      <c r="N986" s="52"/>
      <c r="O986" s="52"/>
      <c r="P986" s="52"/>
      <c r="Q986" s="52"/>
      <c r="R986" s="4"/>
      <c r="S986" s="4"/>
      <c r="T986" s="4"/>
      <c r="U986" s="74"/>
      <c r="V986" s="3"/>
      <c r="W986" s="3"/>
      <c r="X986" s="3"/>
      <c r="Y986" s="3"/>
      <c r="Z986" s="58"/>
      <c r="AA986" s="3"/>
      <c r="AB986" s="3"/>
      <c r="AC986" s="4"/>
      <c r="AD986" s="4"/>
      <c r="AE986" s="4"/>
      <c r="AF986" s="4"/>
      <c r="AG986" s="4"/>
      <c r="AH986" s="4"/>
      <c r="AI986" s="4"/>
    </row>
    <row r="987">
      <c r="A987" s="57"/>
      <c r="B987" s="4"/>
      <c r="C987" s="4"/>
      <c r="D987" s="4"/>
      <c r="E987" s="4"/>
      <c r="F987" s="4"/>
      <c r="G987" s="4"/>
      <c r="H987" s="52"/>
      <c r="I987" s="4"/>
      <c r="J987" s="52"/>
      <c r="K987" s="52"/>
      <c r="L987" s="52"/>
      <c r="M987" s="52"/>
      <c r="N987" s="52"/>
      <c r="O987" s="52"/>
      <c r="P987" s="52"/>
      <c r="Q987" s="52"/>
      <c r="R987" s="4"/>
      <c r="S987" s="4"/>
      <c r="T987" s="4"/>
      <c r="U987" s="74"/>
      <c r="V987" s="3"/>
      <c r="W987" s="3"/>
      <c r="X987" s="3"/>
      <c r="Y987" s="3"/>
      <c r="Z987" s="58"/>
      <c r="AA987" s="3"/>
      <c r="AB987" s="3"/>
      <c r="AC987" s="4"/>
      <c r="AD987" s="4"/>
      <c r="AE987" s="4"/>
      <c r="AF987" s="4"/>
      <c r="AG987" s="4"/>
      <c r="AH987" s="4"/>
      <c r="AI987" s="4"/>
    </row>
    <row r="988">
      <c r="A988" s="57"/>
      <c r="B988" s="4"/>
      <c r="C988" s="4"/>
      <c r="D988" s="4"/>
      <c r="E988" s="4"/>
      <c r="F988" s="4"/>
      <c r="G988" s="4"/>
      <c r="H988" s="52"/>
      <c r="I988" s="4"/>
      <c r="J988" s="52"/>
      <c r="K988" s="52"/>
      <c r="L988" s="52"/>
      <c r="M988" s="52"/>
      <c r="N988" s="52"/>
      <c r="O988" s="52"/>
      <c r="P988" s="52"/>
      <c r="Q988" s="52"/>
      <c r="R988" s="4"/>
      <c r="S988" s="4"/>
      <c r="T988" s="4"/>
      <c r="U988" s="74"/>
      <c r="V988" s="3"/>
      <c r="W988" s="3"/>
      <c r="X988" s="3"/>
      <c r="Y988" s="3"/>
      <c r="Z988" s="58"/>
      <c r="AA988" s="3"/>
      <c r="AB988" s="3"/>
      <c r="AC988" s="4"/>
      <c r="AD988" s="4"/>
      <c r="AE988" s="4"/>
      <c r="AF988" s="4"/>
      <c r="AG988" s="4"/>
      <c r="AH988" s="4"/>
      <c r="AI988" s="4"/>
    </row>
    <row r="989">
      <c r="A989" s="57"/>
      <c r="B989" s="4"/>
      <c r="C989" s="4"/>
      <c r="D989" s="4"/>
      <c r="E989" s="4"/>
      <c r="F989" s="4"/>
      <c r="G989" s="4"/>
      <c r="H989" s="52"/>
      <c r="I989" s="4"/>
      <c r="J989" s="52"/>
      <c r="K989" s="52"/>
      <c r="L989" s="52"/>
      <c r="M989" s="52"/>
      <c r="N989" s="52"/>
      <c r="O989" s="52"/>
      <c r="P989" s="52"/>
      <c r="Q989" s="52"/>
      <c r="R989" s="4"/>
      <c r="S989" s="4"/>
      <c r="T989" s="4"/>
      <c r="U989" s="74"/>
      <c r="V989" s="3"/>
      <c r="W989" s="3"/>
      <c r="X989" s="3"/>
      <c r="Y989" s="3"/>
      <c r="Z989" s="58"/>
      <c r="AA989" s="3"/>
      <c r="AB989" s="3"/>
      <c r="AC989" s="4"/>
      <c r="AD989" s="4"/>
      <c r="AE989" s="4"/>
      <c r="AF989" s="4"/>
      <c r="AG989" s="4"/>
      <c r="AH989" s="4"/>
      <c r="AI989" s="4"/>
    </row>
    <row r="990">
      <c r="A990" s="57"/>
      <c r="B990" s="4"/>
      <c r="C990" s="4"/>
      <c r="D990" s="4"/>
      <c r="E990" s="4"/>
      <c r="F990" s="4"/>
      <c r="G990" s="4"/>
      <c r="H990" s="52"/>
      <c r="I990" s="4"/>
      <c r="J990" s="52"/>
      <c r="K990" s="52"/>
      <c r="L990" s="52"/>
      <c r="M990" s="52"/>
      <c r="N990" s="52"/>
      <c r="O990" s="52"/>
      <c r="P990" s="52"/>
      <c r="Q990" s="52"/>
      <c r="R990" s="4"/>
      <c r="S990" s="4"/>
      <c r="T990" s="4"/>
      <c r="U990" s="74"/>
      <c r="V990" s="3"/>
      <c r="W990" s="3"/>
      <c r="X990" s="3"/>
      <c r="Y990" s="3"/>
      <c r="Z990" s="58"/>
      <c r="AA990" s="3"/>
      <c r="AB990" s="3"/>
      <c r="AC990" s="4"/>
      <c r="AD990" s="4"/>
      <c r="AE990" s="4"/>
      <c r="AF990" s="4"/>
      <c r="AG990" s="4"/>
      <c r="AH990" s="4"/>
      <c r="AI990" s="4"/>
    </row>
    <row r="991">
      <c r="A991" s="57"/>
      <c r="B991" s="4"/>
      <c r="C991" s="4"/>
      <c r="D991" s="4"/>
      <c r="E991" s="4"/>
      <c r="F991" s="4"/>
      <c r="G991" s="4"/>
      <c r="H991" s="52"/>
      <c r="I991" s="4"/>
      <c r="J991" s="52"/>
      <c r="K991" s="52"/>
      <c r="L991" s="52"/>
      <c r="M991" s="52"/>
      <c r="N991" s="52"/>
      <c r="O991" s="52"/>
      <c r="P991" s="52"/>
      <c r="Q991" s="52"/>
      <c r="R991" s="4"/>
      <c r="S991" s="4"/>
      <c r="T991" s="4"/>
      <c r="U991" s="74"/>
      <c r="V991" s="3"/>
      <c r="W991" s="3"/>
      <c r="X991" s="3"/>
      <c r="Y991" s="3"/>
      <c r="Z991" s="58"/>
      <c r="AA991" s="3"/>
      <c r="AB991" s="3"/>
      <c r="AC991" s="4"/>
      <c r="AD991" s="4"/>
      <c r="AE991" s="4"/>
      <c r="AF991" s="4"/>
      <c r="AG991" s="4"/>
      <c r="AH991" s="4"/>
      <c r="AI991" s="4"/>
    </row>
    <row r="992">
      <c r="A992" s="57"/>
      <c r="B992" s="4"/>
      <c r="C992" s="4"/>
      <c r="D992" s="4"/>
      <c r="E992" s="4"/>
      <c r="F992" s="4"/>
      <c r="G992" s="4"/>
      <c r="H992" s="52"/>
      <c r="I992" s="4"/>
      <c r="J992" s="52"/>
      <c r="K992" s="52"/>
      <c r="L992" s="52"/>
      <c r="M992" s="52"/>
      <c r="N992" s="52"/>
      <c r="O992" s="52"/>
      <c r="P992" s="52"/>
      <c r="Q992" s="52"/>
      <c r="R992" s="4"/>
      <c r="S992" s="4"/>
      <c r="T992" s="4"/>
      <c r="U992" s="74"/>
      <c r="V992" s="3"/>
      <c r="W992" s="3"/>
      <c r="X992" s="3"/>
      <c r="Y992" s="3"/>
      <c r="Z992" s="58"/>
      <c r="AA992" s="3"/>
      <c r="AB992" s="3"/>
      <c r="AC992" s="4"/>
      <c r="AD992" s="4"/>
      <c r="AE992" s="4"/>
      <c r="AF992" s="4"/>
      <c r="AG992" s="4"/>
      <c r="AH992" s="4"/>
      <c r="AI992" s="4"/>
    </row>
    <row r="993">
      <c r="A993" s="57"/>
      <c r="B993" s="4"/>
      <c r="C993" s="4"/>
      <c r="D993" s="4"/>
      <c r="E993" s="4"/>
      <c r="F993" s="4"/>
      <c r="G993" s="4"/>
      <c r="H993" s="52"/>
      <c r="I993" s="4"/>
      <c r="J993" s="52"/>
      <c r="K993" s="52"/>
      <c r="L993" s="52"/>
      <c r="M993" s="52"/>
      <c r="N993" s="52"/>
      <c r="O993" s="52"/>
      <c r="P993" s="52"/>
      <c r="Q993" s="52"/>
      <c r="R993" s="4"/>
      <c r="S993" s="4"/>
      <c r="T993" s="4"/>
      <c r="U993" s="74"/>
      <c r="V993" s="3"/>
      <c r="W993" s="3"/>
      <c r="X993" s="3"/>
      <c r="Y993" s="3"/>
      <c r="Z993" s="58"/>
      <c r="AA993" s="3"/>
      <c r="AB993" s="3"/>
      <c r="AC993" s="4"/>
      <c r="AD993" s="4"/>
      <c r="AE993" s="4"/>
      <c r="AF993" s="4"/>
      <c r="AG993" s="4"/>
      <c r="AH993" s="4"/>
      <c r="AI993" s="4"/>
    </row>
    <row r="994">
      <c r="A994" s="47"/>
      <c r="U994" s="74"/>
      <c r="V994" s="3"/>
      <c r="W994" s="3"/>
      <c r="X994" s="3"/>
      <c r="Y994" s="3"/>
      <c r="Z994" s="58"/>
      <c r="AA994" s="3"/>
      <c r="AB994" s="3"/>
      <c r="AC994" s="4"/>
      <c r="AD994" s="4"/>
      <c r="AE994" s="4"/>
      <c r="AF994" s="4"/>
      <c r="AG994" s="4"/>
      <c r="AH994" s="4"/>
      <c r="AI994" s="4"/>
    </row>
    <row r="995">
      <c r="A995" s="47"/>
      <c r="U995" s="74"/>
      <c r="V995" s="3"/>
      <c r="W995" s="3"/>
      <c r="X995" s="3"/>
      <c r="Y995" s="3"/>
      <c r="Z995" s="58"/>
      <c r="AA995" s="3"/>
      <c r="AB995" s="3"/>
      <c r="AC995" s="4"/>
      <c r="AD995" s="4"/>
      <c r="AE995" s="4"/>
      <c r="AF995" s="4"/>
      <c r="AG995" s="4"/>
      <c r="AH995" s="4"/>
      <c r="AI995" s="4"/>
    </row>
  </sheetData>
  <mergeCells count="2">
    <mergeCell ref="Z2:AF2"/>
    <mergeCell ref="Z97:AF97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8.38"/>
    <col customWidth="1" min="3" max="4" width="17.63"/>
    <col customWidth="1" min="5" max="6" width="16.25"/>
    <col customWidth="1" min="7" max="8" width="14.88"/>
    <col customWidth="1" min="9" max="9" width="17.63"/>
    <col customWidth="1" min="10" max="10" width="15.75"/>
    <col customWidth="1" min="11" max="11" width="16.25"/>
  </cols>
  <sheetData>
    <row r="1">
      <c r="A1" s="98"/>
      <c r="B1" s="99" t="s">
        <v>103</v>
      </c>
      <c r="I1" s="99"/>
      <c r="J1" s="100"/>
      <c r="K1" s="100"/>
      <c r="L1" s="100"/>
      <c r="M1" s="98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>
      <c r="A2" s="98"/>
      <c r="B2" s="99" t="s">
        <v>104</v>
      </c>
      <c r="C2" s="99" t="s">
        <v>105</v>
      </c>
      <c r="D2" s="99" t="s">
        <v>106</v>
      </c>
      <c r="E2" s="99" t="s">
        <v>105</v>
      </c>
      <c r="F2" s="99" t="s">
        <v>107</v>
      </c>
      <c r="G2" s="99" t="s">
        <v>105</v>
      </c>
      <c r="H2" s="99" t="s">
        <v>108</v>
      </c>
      <c r="I2" s="99" t="s">
        <v>105</v>
      </c>
      <c r="J2" s="98" t="s">
        <v>109</v>
      </c>
      <c r="K2" s="98"/>
      <c r="L2" s="98"/>
      <c r="M2" s="98"/>
      <c r="N2" s="98"/>
      <c r="O2" s="98"/>
      <c r="P2" s="98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3">
      <c r="A3" s="99">
        <v>1.0</v>
      </c>
      <c r="B3" s="22" t="s">
        <v>110</v>
      </c>
      <c r="C3" s="22" t="s">
        <v>111</v>
      </c>
      <c r="D3" s="22" t="s">
        <v>112</v>
      </c>
      <c r="E3" s="22" t="s">
        <v>111</v>
      </c>
      <c r="F3" s="22" t="s">
        <v>113</v>
      </c>
      <c r="G3" s="22" t="s">
        <v>114</v>
      </c>
      <c r="H3" s="22" t="s">
        <v>40</v>
      </c>
      <c r="I3" s="22" t="s">
        <v>111</v>
      </c>
      <c r="J3" s="43" t="s">
        <v>115</v>
      </c>
    </row>
    <row r="4">
      <c r="A4" s="99">
        <v>2.0</v>
      </c>
      <c r="B4" s="22" t="s">
        <v>116</v>
      </c>
      <c r="C4" s="22" t="s">
        <v>111</v>
      </c>
      <c r="D4" s="22" t="s">
        <v>117</v>
      </c>
      <c r="E4" s="22" t="s">
        <v>111</v>
      </c>
      <c r="F4" s="22" t="s">
        <v>118</v>
      </c>
      <c r="G4" s="22" t="s">
        <v>119</v>
      </c>
      <c r="H4" s="22" t="s">
        <v>120</v>
      </c>
      <c r="I4" s="22" t="s">
        <v>114</v>
      </c>
      <c r="J4" s="43" t="s">
        <v>121</v>
      </c>
    </row>
    <row r="5">
      <c r="A5" s="99">
        <v>3.0</v>
      </c>
      <c r="B5" s="22" t="s">
        <v>122</v>
      </c>
      <c r="C5" s="47"/>
      <c r="D5" s="22" t="s">
        <v>123</v>
      </c>
      <c r="E5" s="22" t="s">
        <v>111</v>
      </c>
      <c r="F5" s="22" t="s">
        <v>20</v>
      </c>
      <c r="G5" s="22" t="s">
        <v>111</v>
      </c>
      <c r="H5" s="22" t="s">
        <v>69</v>
      </c>
      <c r="I5" s="22" t="s">
        <v>119</v>
      </c>
      <c r="J5" s="43" t="s">
        <v>124</v>
      </c>
    </row>
    <row r="6">
      <c r="A6" s="99">
        <v>4.0</v>
      </c>
      <c r="B6" s="22" t="s">
        <v>125</v>
      </c>
      <c r="C6" s="22" t="s">
        <v>119</v>
      </c>
      <c r="D6" s="22" t="s">
        <v>53</v>
      </c>
      <c r="E6" s="22" t="s">
        <v>111</v>
      </c>
      <c r="F6" s="22" t="s">
        <v>126</v>
      </c>
      <c r="G6" s="22" t="s">
        <v>119</v>
      </c>
      <c r="H6" s="22" t="s">
        <v>96</v>
      </c>
      <c r="I6" s="22" t="s">
        <v>111</v>
      </c>
      <c r="J6" s="98" t="s">
        <v>127</v>
      </c>
    </row>
    <row r="7">
      <c r="A7" s="99">
        <v>5.0</v>
      </c>
      <c r="B7" s="22" t="s">
        <v>128</v>
      </c>
      <c r="C7" s="22" t="s">
        <v>111</v>
      </c>
      <c r="D7" s="22" t="s">
        <v>129</v>
      </c>
      <c r="E7" s="22" t="s">
        <v>111</v>
      </c>
      <c r="F7" s="22" t="s">
        <v>51</v>
      </c>
      <c r="G7" s="22" t="s">
        <v>114</v>
      </c>
      <c r="H7" s="22" t="s">
        <v>130</v>
      </c>
      <c r="I7" s="22" t="s">
        <v>111</v>
      </c>
      <c r="J7" s="43" t="s">
        <v>131</v>
      </c>
    </row>
    <row r="8">
      <c r="A8" s="99">
        <v>6.0</v>
      </c>
      <c r="B8" s="22" t="s">
        <v>132</v>
      </c>
      <c r="C8" s="22" t="s">
        <v>119</v>
      </c>
      <c r="D8" s="22" t="s">
        <v>57</v>
      </c>
      <c r="E8" s="22" t="s">
        <v>111</v>
      </c>
      <c r="F8" s="22" t="s">
        <v>133</v>
      </c>
      <c r="G8" s="22" t="s">
        <v>114</v>
      </c>
      <c r="H8" s="22" t="s">
        <v>134</v>
      </c>
      <c r="I8" s="22" t="s">
        <v>111</v>
      </c>
      <c r="J8" s="43" t="s">
        <v>135</v>
      </c>
    </row>
    <row r="9">
      <c r="A9" s="99">
        <v>7.0</v>
      </c>
      <c r="B9" s="22" t="s">
        <v>136</v>
      </c>
      <c r="C9" s="47"/>
      <c r="D9" s="22" t="s">
        <v>137</v>
      </c>
      <c r="E9" s="22" t="s">
        <v>114</v>
      </c>
      <c r="F9" s="22" t="s">
        <v>16</v>
      </c>
      <c r="G9" s="22" t="s">
        <v>119</v>
      </c>
      <c r="H9" s="47"/>
      <c r="J9" s="43" t="s">
        <v>138</v>
      </c>
    </row>
    <row r="10">
      <c r="A10" s="99">
        <v>8.0</v>
      </c>
      <c r="B10" s="22" t="s">
        <v>139</v>
      </c>
      <c r="C10" s="22" t="s">
        <v>111</v>
      </c>
      <c r="D10" s="22" t="s">
        <v>140</v>
      </c>
      <c r="E10" s="22" t="s">
        <v>111</v>
      </c>
      <c r="F10" s="22" t="s">
        <v>141</v>
      </c>
      <c r="G10" s="22" t="s">
        <v>119</v>
      </c>
      <c r="H10" s="47"/>
      <c r="J10" s="43" t="s">
        <v>142</v>
      </c>
    </row>
    <row r="11">
      <c r="A11" s="99">
        <v>9.0</v>
      </c>
      <c r="B11" s="22" t="s">
        <v>2</v>
      </c>
      <c r="C11" s="22" t="s">
        <v>119</v>
      </c>
      <c r="D11" s="22" t="s">
        <v>143</v>
      </c>
      <c r="E11" s="22" t="s">
        <v>119</v>
      </c>
      <c r="F11" s="47"/>
      <c r="G11" s="47"/>
      <c r="H11" s="47"/>
      <c r="J11" s="43" t="s">
        <v>144</v>
      </c>
    </row>
    <row r="12">
      <c r="A12" s="99">
        <v>10.0</v>
      </c>
      <c r="B12" s="22" t="s">
        <v>23</v>
      </c>
      <c r="C12" s="22" t="s">
        <v>119</v>
      </c>
      <c r="D12" s="22" t="s">
        <v>145</v>
      </c>
      <c r="E12" s="22" t="s">
        <v>111</v>
      </c>
      <c r="F12" s="47"/>
      <c r="G12" s="47"/>
      <c r="H12" s="47"/>
      <c r="J12" s="43" t="s">
        <v>146</v>
      </c>
    </row>
    <row r="13">
      <c r="A13" s="99">
        <v>11.0</v>
      </c>
      <c r="B13" s="22" t="s">
        <v>147</v>
      </c>
      <c r="C13" s="22" t="s">
        <v>111</v>
      </c>
      <c r="D13" s="22" t="s">
        <v>148</v>
      </c>
      <c r="E13" s="22" t="s">
        <v>111</v>
      </c>
      <c r="F13" s="47"/>
      <c r="G13" s="47"/>
      <c r="H13" s="47"/>
      <c r="J13" s="43" t="s">
        <v>149</v>
      </c>
    </row>
    <row r="14">
      <c r="A14" s="99">
        <v>12.0</v>
      </c>
      <c r="B14" s="22" t="s">
        <v>150</v>
      </c>
      <c r="C14" s="22" t="s">
        <v>111</v>
      </c>
      <c r="D14" s="22" t="s">
        <v>151</v>
      </c>
      <c r="E14" s="22" t="s">
        <v>111</v>
      </c>
      <c r="F14" s="47"/>
      <c r="G14" s="47"/>
      <c r="H14" s="47"/>
      <c r="J14" s="43" t="s">
        <v>152</v>
      </c>
    </row>
    <row r="15">
      <c r="A15" s="99">
        <v>13.0</v>
      </c>
      <c r="B15" s="47"/>
      <c r="C15" s="22"/>
      <c r="D15" s="22" t="s">
        <v>153</v>
      </c>
      <c r="E15" s="22" t="s">
        <v>111</v>
      </c>
      <c r="F15" s="47"/>
      <c r="G15" s="47"/>
      <c r="H15" s="47"/>
      <c r="J15" s="43" t="s">
        <v>154</v>
      </c>
    </row>
    <row r="16">
      <c r="A16" s="99">
        <v>14.0</v>
      </c>
      <c r="B16" s="47"/>
      <c r="C16" s="22"/>
      <c r="D16" s="22" t="s">
        <v>155</v>
      </c>
      <c r="E16" s="22" t="s">
        <v>111</v>
      </c>
      <c r="F16" s="47"/>
      <c r="G16" s="47"/>
      <c r="H16" s="47"/>
      <c r="J16" s="43" t="s">
        <v>156</v>
      </c>
    </row>
    <row r="17">
      <c r="A17" s="99">
        <v>15.0</v>
      </c>
      <c r="B17" s="47"/>
      <c r="C17" s="22"/>
      <c r="D17" s="22" t="s">
        <v>157</v>
      </c>
      <c r="E17" s="22" t="s">
        <v>114</v>
      </c>
      <c r="F17" s="47"/>
      <c r="G17" s="47"/>
      <c r="H17" s="47"/>
      <c r="J17" s="43" t="s">
        <v>158</v>
      </c>
    </row>
    <row r="18">
      <c r="A18" s="99">
        <v>16.0</v>
      </c>
      <c r="B18" s="47"/>
      <c r="C18" s="22"/>
      <c r="D18" s="22" t="s">
        <v>159</v>
      </c>
      <c r="E18" s="22" t="s">
        <v>111</v>
      </c>
      <c r="F18" s="47"/>
      <c r="G18" s="47"/>
      <c r="H18" s="47"/>
    </row>
    <row r="19">
      <c r="A19" s="99">
        <v>17.0</v>
      </c>
      <c r="B19" s="47"/>
      <c r="C19" s="22"/>
      <c r="D19" s="22" t="s">
        <v>68</v>
      </c>
      <c r="E19" s="22" t="s">
        <v>119</v>
      </c>
      <c r="F19" s="47"/>
      <c r="G19" s="47"/>
      <c r="H19" s="47"/>
    </row>
    <row r="20">
      <c r="A20" s="99">
        <v>18.0</v>
      </c>
      <c r="B20" s="47"/>
      <c r="C20" s="22"/>
      <c r="D20" s="22" t="s">
        <v>160</v>
      </c>
      <c r="E20" s="22" t="s">
        <v>114</v>
      </c>
      <c r="F20" s="47"/>
      <c r="G20" s="47"/>
      <c r="H20" s="47"/>
    </row>
    <row r="21">
      <c r="A21" s="99">
        <v>19.0</v>
      </c>
      <c r="B21" s="47"/>
      <c r="C21" s="22"/>
      <c r="D21" s="22" t="s">
        <v>161</v>
      </c>
      <c r="E21" s="22" t="s">
        <v>111</v>
      </c>
      <c r="F21" s="47"/>
      <c r="G21" s="47"/>
      <c r="H21" s="47"/>
    </row>
    <row r="22">
      <c r="A22" s="99"/>
      <c r="B22" s="99" t="s">
        <v>162</v>
      </c>
      <c r="I22" s="47"/>
    </row>
    <row r="23">
      <c r="B23" s="99" t="s">
        <v>104</v>
      </c>
      <c r="C23" s="99" t="s">
        <v>105</v>
      </c>
      <c r="D23" s="99" t="s">
        <v>106</v>
      </c>
      <c r="E23" s="99" t="s">
        <v>105</v>
      </c>
      <c r="F23" s="99" t="s">
        <v>107</v>
      </c>
      <c r="G23" s="99" t="s">
        <v>105</v>
      </c>
      <c r="H23" s="99" t="s">
        <v>108</v>
      </c>
      <c r="I23" s="99" t="s">
        <v>105</v>
      </c>
    </row>
    <row r="24">
      <c r="A24" s="99">
        <v>1.0</v>
      </c>
      <c r="B24" s="22" t="s">
        <v>163</v>
      </c>
      <c r="C24" s="22" t="s">
        <v>111</v>
      </c>
      <c r="D24" s="22" t="s">
        <v>164</v>
      </c>
      <c r="E24" s="22" t="s">
        <v>111</v>
      </c>
      <c r="F24" s="22" t="s">
        <v>165</v>
      </c>
      <c r="G24" s="22" t="s">
        <v>114</v>
      </c>
      <c r="H24" s="22" t="s">
        <v>70</v>
      </c>
      <c r="I24" s="22" t="s">
        <v>111</v>
      </c>
    </row>
    <row r="25">
      <c r="A25" s="99">
        <v>2.0</v>
      </c>
      <c r="B25" s="22" t="s">
        <v>166</v>
      </c>
      <c r="C25" s="22" t="s">
        <v>111</v>
      </c>
      <c r="D25" s="22" t="s">
        <v>167</v>
      </c>
      <c r="E25" s="22" t="s">
        <v>111</v>
      </c>
      <c r="F25" s="22" t="s">
        <v>168</v>
      </c>
      <c r="G25" s="22" t="s">
        <v>111</v>
      </c>
      <c r="H25" s="22" t="s">
        <v>169</v>
      </c>
      <c r="I25" s="22" t="s">
        <v>111</v>
      </c>
    </row>
    <row r="26">
      <c r="A26" s="99">
        <v>3.0</v>
      </c>
      <c r="B26" s="22" t="s">
        <v>170</v>
      </c>
      <c r="C26" s="22" t="s">
        <v>114</v>
      </c>
      <c r="D26" s="22" t="s">
        <v>171</v>
      </c>
      <c r="E26" s="22" t="s">
        <v>114</v>
      </c>
      <c r="F26" s="22" t="s">
        <v>93</v>
      </c>
      <c r="G26" s="22" t="s">
        <v>119</v>
      </c>
      <c r="H26" s="47"/>
    </row>
    <row r="27">
      <c r="A27" s="99">
        <v>4.0</v>
      </c>
      <c r="B27" s="22" t="s">
        <v>172</v>
      </c>
      <c r="C27" s="22" t="s">
        <v>111</v>
      </c>
      <c r="D27" s="22" t="s">
        <v>173</v>
      </c>
      <c r="E27" s="22" t="s">
        <v>111</v>
      </c>
      <c r="F27" s="22" t="s">
        <v>174</v>
      </c>
      <c r="G27" s="22" t="s">
        <v>111</v>
      </c>
      <c r="H27" s="47"/>
    </row>
    <row r="28">
      <c r="A28" s="99">
        <v>5.0</v>
      </c>
      <c r="B28" s="22" t="s">
        <v>175</v>
      </c>
      <c r="C28" s="22" t="s">
        <v>111</v>
      </c>
      <c r="D28" s="22" t="s">
        <v>176</v>
      </c>
      <c r="E28" s="22" t="s">
        <v>111</v>
      </c>
      <c r="F28" s="22" t="s">
        <v>91</v>
      </c>
      <c r="G28" s="22" t="s">
        <v>111</v>
      </c>
      <c r="H28" s="47"/>
    </row>
    <row r="29">
      <c r="A29" s="99">
        <v>6.0</v>
      </c>
      <c r="B29" s="22" t="s">
        <v>177</v>
      </c>
      <c r="C29" s="22" t="s">
        <v>114</v>
      </c>
      <c r="D29" s="22" t="s">
        <v>178</v>
      </c>
      <c r="E29" s="22" t="s">
        <v>111</v>
      </c>
      <c r="F29" s="22" t="s">
        <v>179</v>
      </c>
      <c r="G29" s="22" t="s">
        <v>111</v>
      </c>
      <c r="H29" s="47"/>
    </row>
    <row r="30">
      <c r="A30" s="99">
        <v>7.0</v>
      </c>
      <c r="B30" s="22" t="s">
        <v>180</v>
      </c>
      <c r="C30" s="22" t="s">
        <v>111</v>
      </c>
      <c r="D30" s="22" t="s">
        <v>181</v>
      </c>
      <c r="E30" s="22" t="s">
        <v>111</v>
      </c>
      <c r="F30" s="22" t="s">
        <v>182</v>
      </c>
      <c r="G30" s="22" t="s">
        <v>111</v>
      </c>
      <c r="H30" s="47"/>
    </row>
    <row r="31">
      <c r="A31" s="99">
        <v>8.0</v>
      </c>
      <c r="B31" s="22" t="s">
        <v>183</v>
      </c>
      <c r="C31" s="22" t="s">
        <v>111</v>
      </c>
      <c r="D31" s="22" t="s">
        <v>78</v>
      </c>
      <c r="E31" s="22" t="s">
        <v>111</v>
      </c>
      <c r="F31" s="22" t="s">
        <v>184</v>
      </c>
      <c r="G31" s="22" t="s">
        <v>111</v>
      </c>
      <c r="H31" s="47"/>
    </row>
    <row r="32">
      <c r="A32" s="99">
        <v>9.0</v>
      </c>
      <c r="B32" s="22" t="s">
        <v>185</v>
      </c>
      <c r="C32" s="22" t="s">
        <v>111</v>
      </c>
      <c r="D32" s="22" t="s">
        <v>186</v>
      </c>
      <c r="E32" s="22" t="s">
        <v>111</v>
      </c>
      <c r="F32" s="47"/>
      <c r="G32" s="47"/>
      <c r="H32" s="47"/>
    </row>
    <row r="33">
      <c r="A33" s="99">
        <v>10.0</v>
      </c>
      <c r="B33" s="22" t="s">
        <v>187</v>
      </c>
      <c r="C33" s="22" t="s">
        <v>111</v>
      </c>
      <c r="D33" s="22" t="s">
        <v>17</v>
      </c>
      <c r="E33" s="22" t="s">
        <v>111</v>
      </c>
      <c r="F33" s="47"/>
      <c r="G33" s="47"/>
      <c r="H33" s="47"/>
    </row>
    <row r="34">
      <c r="A34" s="99">
        <v>11.0</v>
      </c>
      <c r="B34" s="22" t="s">
        <v>188</v>
      </c>
      <c r="C34" s="22" t="s">
        <v>119</v>
      </c>
      <c r="D34" s="22" t="s">
        <v>189</v>
      </c>
      <c r="E34" s="22" t="s">
        <v>111</v>
      </c>
      <c r="F34" s="47"/>
      <c r="G34" s="47"/>
      <c r="H34" s="47"/>
    </row>
    <row r="35">
      <c r="A35" s="99">
        <v>12.0</v>
      </c>
      <c r="B35" s="22" t="s">
        <v>190</v>
      </c>
      <c r="C35" s="22" t="s">
        <v>111</v>
      </c>
      <c r="D35" s="22" t="s">
        <v>191</v>
      </c>
      <c r="E35" s="22" t="s">
        <v>111</v>
      </c>
      <c r="F35" s="47"/>
      <c r="G35" s="47"/>
      <c r="H35" s="47"/>
    </row>
    <row r="36">
      <c r="A36" s="99">
        <v>13.0</v>
      </c>
      <c r="B36" s="22" t="s">
        <v>192</v>
      </c>
      <c r="C36" s="22" t="s">
        <v>111</v>
      </c>
      <c r="D36" s="22" t="s">
        <v>193</v>
      </c>
      <c r="E36" s="22" t="s">
        <v>111</v>
      </c>
      <c r="F36" s="47"/>
      <c r="G36" s="47"/>
      <c r="H36" s="47"/>
    </row>
    <row r="37">
      <c r="A37" s="99">
        <v>14.0</v>
      </c>
      <c r="B37" s="47"/>
      <c r="C37" s="22"/>
      <c r="D37" s="22" t="s">
        <v>194</v>
      </c>
      <c r="E37" s="22" t="s">
        <v>111</v>
      </c>
      <c r="F37" s="47"/>
      <c r="G37" s="47"/>
      <c r="H37" s="47"/>
    </row>
    <row r="38">
      <c r="A38" s="99">
        <v>15.0</v>
      </c>
      <c r="B38" s="47"/>
      <c r="C38" s="22"/>
      <c r="D38" s="22" t="s">
        <v>195</v>
      </c>
      <c r="E38" s="22" t="s">
        <v>111</v>
      </c>
      <c r="F38" s="47"/>
      <c r="G38" s="47"/>
      <c r="H38" s="47"/>
    </row>
    <row r="39">
      <c r="A39" s="99">
        <v>16.0</v>
      </c>
      <c r="B39" s="47"/>
      <c r="C39" s="22"/>
      <c r="D39" s="22" t="s">
        <v>196</v>
      </c>
      <c r="E39" s="22" t="s">
        <v>111</v>
      </c>
      <c r="F39" s="47"/>
      <c r="G39" s="47"/>
      <c r="H39" s="47"/>
    </row>
    <row r="40">
      <c r="A40" s="99">
        <v>17.0</v>
      </c>
      <c r="B40" s="47"/>
      <c r="C40" s="22"/>
      <c r="D40" s="22" t="s">
        <v>197</v>
      </c>
      <c r="E40" s="22" t="s">
        <v>111</v>
      </c>
      <c r="F40" s="47"/>
      <c r="G40" s="47"/>
      <c r="H40" s="47"/>
    </row>
    <row r="41">
      <c r="A41" s="99">
        <v>18.0</v>
      </c>
      <c r="B41" s="99" t="s">
        <v>198</v>
      </c>
      <c r="I41" s="47"/>
    </row>
    <row r="42">
      <c r="A42" s="99"/>
      <c r="B42" s="99" t="s">
        <v>104</v>
      </c>
      <c r="C42" s="99" t="s">
        <v>105</v>
      </c>
      <c r="D42" s="99" t="s">
        <v>106</v>
      </c>
      <c r="E42" s="99" t="s">
        <v>105</v>
      </c>
      <c r="F42" s="99" t="s">
        <v>107</v>
      </c>
      <c r="G42" s="99" t="s">
        <v>105</v>
      </c>
      <c r="H42" s="99"/>
      <c r="I42" s="47"/>
    </row>
    <row r="43">
      <c r="A43" s="99">
        <v>1.0</v>
      </c>
      <c r="B43" s="22" t="s">
        <v>199</v>
      </c>
      <c r="C43" s="22" t="s">
        <v>111</v>
      </c>
      <c r="D43" s="22" t="s">
        <v>200</v>
      </c>
      <c r="E43" s="22" t="s">
        <v>111</v>
      </c>
      <c r="F43" s="22" t="s">
        <v>201</v>
      </c>
      <c r="G43" s="22" t="s">
        <v>111</v>
      </c>
      <c r="H43" s="47"/>
    </row>
    <row r="44">
      <c r="A44" s="99">
        <v>2.0</v>
      </c>
      <c r="B44" s="47"/>
      <c r="C44" s="47"/>
      <c r="D44" s="47"/>
      <c r="E44" s="22"/>
      <c r="F44" s="22" t="s">
        <v>94</v>
      </c>
      <c r="G44" s="22" t="s">
        <v>119</v>
      </c>
      <c r="H44" s="47"/>
    </row>
    <row r="45">
      <c r="B45" s="47"/>
      <c r="C45" s="47"/>
      <c r="D45" s="47"/>
      <c r="E45" s="47"/>
      <c r="F45" s="47"/>
      <c r="G45" s="47"/>
      <c r="H45" s="47"/>
      <c r="I45" s="47"/>
    </row>
    <row r="46">
      <c r="B46" s="47"/>
      <c r="C46" s="47"/>
      <c r="D46" s="47"/>
      <c r="E46" s="47"/>
      <c r="F46" s="47"/>
      <c r="G46" s="47"/>
      <c r="H46" s="47"/>
      <c r="I46" s="47"/>
    </row>
    <row r="47">
      <c r="B47" s="47"/>
      <c r="C47" s="47"/>
      <c r="D47" s="47"/>
      <c r="E47" s="47"/>
      <c r="F47" s="47"/>
      <c r="G47" s="47"/>
      <c r="H47" s="47"/>
      <c r="I47" s="47"/>
    </row>
    <row r="48">
      <c r="B48" s="47"/>
      <c r="C48" s="47"/>
      <c r="D48" s="47"/>
      <c r="E48" s="47"/>
      <c r="F48" s="47"/>
      <c r="G48" s="47"/>
      <c r="H48" s="47"/>
      <c r="I48" s="47"/>
    </row>
    <row r="49">
      <c r="B49" s="47"/>
      <c r="C49" s="47"/>
      <c r="D49" s="47"/>
      <c r="E49" s="47"/>
      <c r="F49" s="47"/>
      <c r="G49" s="47"/>
      <c r="H49" s="47"/>
      <c r="I49" s="47"/>
    </row>
    <row r="50">
      <c r="B50" s="47"/>
      <c r="C50" s="47"/>
      <c r="D50" s="47"/>
      <c r="E50" s="47"/>
      <c r="F50" s="47"/>
      <c r="G50" s="47"/>
      <c r="H50" s="47"/>
      <c r="I50" s="47"/>
    </row>
    <row r="51">
      <c r="B51" s="47"/>
      <c r="C51" s="47"/>
      <c r="D51" s="47"/>
      <c r="E51" s="47"/>
      <c r="F51" s="47"/>
      <c r="G51" s="47"/>
      <c r="H51" s="47"/>
      <c r="I51" s="47"/>
    </row>
    <row r="52">
      <c r="B52" s="47"/>
      <c r="C52" s="47"/>
      <c r="D52" s="47"/>
      <c r="E52" s="47"/>
      <c r="F52" s="47"/>
      <c r="G52" s="47"/>
      <c r="H52" s="47"/>
      <c r="I52" s="47"/>
    </row>
    <row r="53">
      <c r="B53" s="47"/>
      <c r="C53" s="47"/>
      <c r="D53" s="47"/>
      <c r="E53" s="47"/>
      <c r="F53" s="47"/>
      <c r="G53" s="47"/>
      <c r="H53" s="47"/>
      <c r="I53" s="47"/>
    </row>
    <row r="54">
      <c r="B54" s="47"/>
      <c r="C54" s="47"/>
      <c r="D54" s="47"/>
      <c r="E54" s="47"/>
      <c r="F54" s="47"/>
      <c r="G54" s="47"/>
      <c r="H54" s="47"/>
      <c r="I54" s="47"/>
    </row>
    <row r="55">
      <c r="B55" s="47"/>
      <c r="C55" s="47"/>
      <c r="D55" s="47"/>
      <c r="E55" s="47"/>
      <c r="F55" s="47"/>
      <c r="G55" s="47"/>
      <c r="H55" s="47"/>
      <c r="I55" s="47"/>
    </row>
    <row r="56">
      <c r="B56" s="47"/>
      <c r="C56" s="47"/>
      <c r="D56" s="47"/>
      <c r="E56" s="47"/>
      <c r="F56" s="47"/>
      <c r="G56" s="47"/>
      <c r="H56" s="47"/>
      <c r="I56" s="47"/>
    </row>
    <row r="57">
      <c r="B57" s="47"/>
      <c r="C57" s="47"/>
      <c r="D57" s="47"/>
      <c r="E57" s="47"/>
      <c r="F57" s="47"/>
      <c r="G57" s="47"/>
      <c r="H57" s="47"/>
      <c r="I57" s="47"/>
    </row>
    <row r="58">
      <c r="B58" s="47"/>
      <c r="C58" s="47"/>
      <c r="D58" s="47"/>
      <c r="E58" s="47"/>
      <c r="F58" s="47"/>
      <c r="G58" s="47"/>
      <c r="H58" s="47"/>
      <c r="I58" s="47"/>
    </row>
    <row r="59">
      <c r="B59" s="47"/>
      <c r="C59" s="47"/>
      <c r="D59" s="47"/>
      <c r="E59" s="47"/>
      <c r="F59" s="47"/>
      <c r="G59" s="47"/>
      <c r="H59" s="47"/>
      <c r="I59" s="47"/>
    </row>
    <row r="60">
      <c r="B60" s="47"/>
      <c r="C60" s="47"/>
      <c r="D60" s="47"/>
      <c r="E60" s="47"/>
      <c r="F60" s="47"/>
      <c r="G60" s="47"/>
      <c r="H60" s="47"/>
      <c r="I60" s="47"/>
    </row>
    <row r="61">
      <c r="B61" s="47"/>
      <c r="C61" s="47"/>
      <c r="D61" s="47"/>
      <c r="E61" s="47"/>
      <c r="F61" s="47"/>
      <c r="G61" s="47"/>
      <c r="H61" s="47"/>
      <c r="I61" s="47"/>
    </row>
    <row r="62">
      <c r="B62" s="47"/>
      <c r="C62" s="47"/>
      <c r="D62" s="47"/>
      <c r="E62" s="47"/>
      <c r="F62" s="47"/>
      <c r="G62" s="47"/>
      <c r="H62" s="47"/>
      <c r="I62" s="47"/>
    </row>
    <row r="63">
      <c r="B63" s="47"/>
      <c r="C63" s="47"/>
      <c r="D63" s="47"/>
      <c r="E63" s="47"/>
      <c r="F63" s="47"/>
      <c r="G63" s="47"/>
      <c r="H63" s="47"/>
      <c r="I63" s="47"/>
    </row>
    <row r="64">
      <c r="B64" s="47"/>
      <c r="C64" s="47"/>
      <c r="D64" s="47"/>
      <c r="E64" s="47"/>
      <c r="F64" s="47"/>
      <c r="G64" s="47"/>
      <c r="H64" s="47"/>
      <c r="I64" s="47"/>
    </row>
    <row r="65">
      <c r="B65" s="47"/>
      <c r="C65" s="47"/>
      <c r="D65" s="47"/>
      <c r="E65" s="47"/>
      <c r="F65" s="47"/>
      <c r="G65" s="47"/>
      <c r="H65" s="47"/>
      <c r="I65" s="47"/>
    </row>
    <row r="66">
      <c r="B66" s="47"/>
      <c r="C66" s="47"/>
      <c r="D66" s="47"/>
      <c r="E66" s="47"/>
      <c r="F66" s="47"/>
      <c r="G66" s="47"/>
      <c r="H66" s="47"/>
      <c r="I66" s="47"/>
    </row>
    <row r="67">
      <c r="B67" s="47"/>
      <c r="C67" s="47"/>
      <c r="D67" s="47"/>
      <c r="E67" s="47"/>
      <c r="F67" s="47"/>
      <c r="G67" s="47"/>
      <c r="H67" s="47"/>
      <c r="I67" s="47"/>
    </row>
    <row r="68">
      <c r="B68" s="47"/>
      <c r="C68" s="47"/>
      <c r="D68" s="47"/>
      <c r="E68" s="47"/>
      <c r="F68" s="47"/>
      <c r="G68" s="47"/>
      <c r="H68" s="47"/>
      <c r="I68" s="47"/>
    </row>
    <row r="69">
      <c r="B69" s="47"/>
      <c r="C69" s="47"/>
      <c r="D69" s="47"/>
      <c r="E69" s="47"/>
      <c r="F69" s="47"/>
      <c r="G69" s="47"/>
      <c r="H69" s="47"/>
      <c r="I69" s="47"/>
    </row>
    <row r="70">
      <c r="B70" s="47"/>
      <c r="C70" s="47"/>
      <c r="D70" s="47"/>
      <c r="E70" s="47"/>
      <c r="F70" s="47"/>
      <c r="G70" s="47"/>
      <c r="H70" s="47"/>
      <c r="I70" s="47"/>
    </row>
    <row r="71">
      <c r="B71" s="47"/>
      <c r="C71" s="47"/>
      <c r="D71" s="47"/>
      <c r="E71" s="47"/>
      <c r="F71" s="47"/>
      <c r="G71" s="47"/>
      <c r="H71" s="47"/>
      <c r="I71" s="47"/>
    </row>
    <row r="72">
      <c r="B72" s="47"/>
      <c r="C72" s="47"/>
      <c r="D72" s="47"/>
      <c r="E72" s="47"/>
      <c r="F72" s="47"/>
      <c r="G72" s="47"/>
      <c r="H72" s="47"/>
      <c r="I72" s="47"/>
    </row>
    <row r="73">
      <c r="B73" s="47"/>
      <c r="C73" s="47"/>
      <c r="D73" s="47"/>
      <c r="E73" s="47"/>
      <c r="F73" s="47"/>
      <c r="G73" s="47"/>
      <c r="H73" s="47"/>
      <c r="I73" s="47"/>
    </row>
    <row r="74">
      <c r="B74" s="47"/>
      <c r="C74" s="47"/>
      <c r="D74" s="47"/>
      <c r="E74" s="47"/>
      <c r="F74" s="47"/>
      <c r="G74" s="47"/>
      <c r="H74" s="47"/>
      <c r="I74" s="47"/>
    </row>
    <row r="75">
      <c r="B75" s="47"/>
      <c r="C75" s="47"/>
      <c r="D75" s="47"/>
      <c r="E75" s="47"/>
      <c r="F75" s="47"/>
      <c r="G75" s="47"/>
      <c r="H75" s="47"/>
      <c r="I75" s="47"/>
    </row>
    <row r="76">
      <c r="B76" s="47"/>
      <c r="C76" s="47"/>
      <c r="D76" s="47"/>
      <c r="E76" s="47"/>
      <c r="F76" s="47"/>
      <c r="G76" s="47"/>
      <c r="H76" s="47"/>
      <c r="I76" s="47"/>
    </row>
    <row r="77">
      <c r="B77" s="47"/>
      <c r="C77" s="47"/>
      <c r="D77" s="47"/>
      <c r="E77" s="47"/>
      <c r="F77" s="47"/>
      <c r="G77" s="47"/>
      <c r="H77" s="47"/>
      <c r="I77" s="47"/>
    </row>
    <row r="78">
      <c r="B78" s="47"/>
      <c r="C78" s="47"/>
      <c r="D78" s="47"/>
      <c r="E78" s="47"/>
      <c r="F78" s="47"/>
      <c r="G78" s="47"/>
      <c r="H78" s="47"/>
      <c r="I78" s="47"/>
    </row>
    <row r="79">
      <c r="B79" s="47"/>
      <c r="C79" s="47"/>
      <c r="D79" s="47"/>
      <c r="E79" s="47"/>
      <c r="F79" s="47"/>
      <c r="G79" s="47"/>
      <c r="H79" s="47"/>
      <c r="I79" s="47"/>
    </row>
    <row r="80">
      <c r="B80" s="47"/>
      <c r="C80" s="47"/>
      <c r="D80" s="47"/>
      <c r="E80" s="47"/>
      <c r="F80" s="47"/>
      <c r="G80" s="47"/>
      <c r="H80" s="47"/>
      <c r="I80" s="47"/>
    </row>
    <row r="81">
      <c r="B81" s="47"/>
      <c r="C81" s="47"/>
      <c r="D81" s="47"/>
      <c r="E81" s="47"/>
      <c r="F81" s="47"/>
      <c r="G81" s="47"/>
      <c r="H81" s="47"/>
      <c r="I81" s="47"/>
    </row>
    <row r="82">
      <c r="B82" s="47"/>
      <c r="C82" s="47"/>
      <c r="D82" s="47"/>
      <c r="E82" s="47"/>
      <c r="F82" s="47"/>
      <c r="G82" s="47"/>
      <c r="H82" s="47"/>
      <c r="I82" s="47"/>
    </row>
    <row r="83">
      <c r="B83" s="47"/>
      <c r="C83" s="47"/>
      <c r="D83" s="47"/>
      <c r="E83" s="47"/>
      <c r="F83" s="47"/>
      <c r="G83" s="47"/>
      <c r="H83" s="47"/>
      <c r="I83" s="47"/>
    </row>
    <row r="84">
      <c r="B84" s="47"/>
      <c r="C84" s="47"/>
      <c r="D84" s="47"/>
      <c r="E84" s="47"/>
      <c r="F84" s="47"/>
      <c r="G84" s="47"/>
      <c r="H84" s="47"/>
      <c r="I84" s="47"/>
    </row>
    <row r="85">
      <c r="B85" s="47"/>
      <c r="C85" s="47"/>
      <c r="D85" s="47"/>
      <c r="E85" s="47"/>
      <c r="F85" s="47"/>
      <c r="G85" s="47"/>
      <c r="H85" s="47"/>
      <c r="I85" s="47"/>
    </row>
    <row r="86">
      <c r="B86" s="47"/>
      <c r="C86" s="47"/>
      <c r="D86" s="47"/>
      <c r="E86" s="47"/>
      <c r="F86" s="47"/>
      <c r="G86" s="47"/>
      <c r="H86" s="47"/>
      <c r="I86" s="47"/>
    </row>
    <row r="87">
      <c r="B87" s="47"/>
      <c r="C87" s="47"/>
      <c r="D87" s="47"/>
      <c r="E87" s="47"/>
      <c r="F87" s="47"/>
      <c r="G87" s="47"/>
      <c r="H87" s="47"/>
      <c r="I87" s="47"/>
    </row>
    <row r="88">
      <c r="B88" s="47"/>
      <c r="C88" s="47"/>
      <c r="D88" s="47"/>
      <c r="E88" s="47"/>
      <c r="F88" s="47"/>
      <c r="G88" s="47"/>
      <c r="H88" s="47"/>
      <c r="I88" s="47"/>
    </row>
    <row r="89">
      <c r="B89" s="47"/>
      <c r="C89" s="47"/>
      <c r="D89" s="47"/>
      <c r="E89" s="47"/>
      <c r="F89" s="47"/>
      <c r="G89" s="47"/>
      <c r="H89" s="47"/>
      <c r="I89" s="47"/>
    </row>
    <row r="90">
      <c r="B90" s="47"/>
      <c r="C90" s="47"/>
      <c r="D90" s="47"/>
      <c r="E90" s="47"/>
      <c r="F90" s="47"/>
      <c r="G90" s="47"/>
      <c r="H90" s="47"/>
      <c r="I90" s="47"/>
    </row>
    <row r="91">
      <c r="B91" s="47"/>
      <c r="C91" s="47"/>
      <c r="D91" s="47"/>
      <c r="E91" s="47"/>
      <c r="F91" s="47"/>
      <c r="G91" s="47"/>
      <c r="H91" s="47"/>
      <c r="I91" s="47"/>
    </row>
    <row r="92">
      <c r="B92" s="47"/>
      <c r="C92" s="47"/>
      <c r="D92" s="47"/>
      <c r="E92" s="47"/>
      <c r="F92" s="47"/>
      <c r="G92" s="47"/>
      <c r="H92" s="47"/>
      <c r="I92" s="47"/>
    </row>
    <row r="93">
      <c r="B93" s="47"/>
      <c r="C93" s="47"/>
      <c r="D93" s="47"/>
      <c r="E93" s="47"/>
      <c r="F93" s="47"/>
      <c r="G93" s="47"/>
      <c r="H93" s="47"/>
      <c r="I93" s="47"/>
    </row>
    <row r="94">
      <c r="B94" s="47"/>
      <c r="C94" s="47"/>
      <c r="D94" s="47"/>
      <c r="E94" s="47"/>
      <c r="F94" s="47"/>
      <c r="G94" s="47"/>
      <c r="H94" s="47"/>
      <c r="I94" s="47"/>
    </row>
    <row r="95">
      <c r="B95" s="47"/>
      <c r="C95" s="47"/>
      <c r="D95" s="47"/>
      <c r="E95" s="47"/>
      <c r="F95" s="47"/>
      <c r="G95" s="47"/>
      <c r="H95" s="47"/>
      <c r="I95" s="47"/>
    </row>
    <row r="96">
      <c r="B96" s="47"/>
      <c r="C96" s="47"/>
      <c r="D96" s="47"/>
      <c r="E96" s="47"/>
      <c r="F96" s="47"/>
      <c r="G96" s="47"/>
      <c r="H96" s="47"/>
      <c r="I96" s="47"/>
    </row>
    <row r="97">
      <c r="B97" s="47"/>
      <c r="C97" s="47"/>
      <c r="D97" s="47"/>
      <c r="E97" s="47"/>
      <c r="F97" s="47"/>
      <c r="G97" s="47"/>
      <c r="H97" s="47"/>
      <c r="I97" s="47"/>
    </row>
    <row r="98">
      <c r="B98" s="47"/>
      <c r="C98" s="47"/>
      <c r="D98" s="47"/>
      <c r="E98" s="47"/>
      <c r="F98" s="47"/>
      <c r="G98" s="47"/>
      <c r="H98" s="47"/>
      <c r="I98" s="47"/>
    </row>
    <row r="99">
      <c r="B99" s="47"/>
      <c r="C99" s="47"/>
      <c r="D99" s="47"/>
      <c r="E99" s="47"/>
      <c r="F99" s="47"/>
      <c r="G99" s="47"/>
      <c r="H99" s="47"/>
      <c r="I99" s="47"/>
    </row>
    <row r="100">
      <c r="B100" s="47"/>
      <c r="C100" s="47"/>
      <c r="D100" s="47"/>
      <c r="E100" s="47"/>
      <c r="F100" s="47"/>
      <c r="G100" s="47"/>
      <c r="H100" s="47"/>
      <c r="I100" s="47"/>
    </row>
    <row r="101">
      <c r="B101" s="47"/>
      <c r="C101" s="47"/>
      <c r="D101" s="47"/>
      <c r="E101" s="47"/>
      <c r="F101" s="47"/>
      <c r="G101" s="47"/>
      <c r="H101" s="47"/>
      <c r="I101" s="47"/>
    </row>
    <row r="102">
      <c r="B102" s="47"/>
      <c r="C102" s="47"/>
      <c r="D102" s="47"/>
      <c r="E102" s="47"/>
      <c r="F102" s="47"/>
      <c r="G102" s="47"/>
      <c r="H102" s="47"/>
      <c r="I102" s="47"/>
    </row>
    <row r="103">
      <c r="B103" s="47"/>
      <c r="C103" s="47"/>
      <c r="D103" s="47"/>
      <c r="E103" s="47"/>
      <c r="F103" s="47"/>
      <c r="G103" s="47"/>
      <c r="H103" s="47"/>
      <c r="I103" s="47"/>
    </row>
    <row r="104">
      <c r="B104" s="47"/>
      <c r="C104" s="47"/>
      <c r="D104" s="47"/>
      <c r="E104" s="47"/>
      <c r="F104" s="47"/>
      <c r="G104" s="47"/>
      <c r="H104" s="47"/>
      <c r="I104" s="47"/>
    </row>
    <row r="105">
      <c r="B105" s="47"/>
      <c r="C105" s="47"/>
      <c r="D105" s="47"/>
      <c r="E105" s="47"/>
      <c r="F105" s="47"/>
      <c r="G105" s="47"/>
      <c r="H105" s="47"/>
      <c r="I105" s="47"/>
    </row>
    <row r="106">
      <c r="B106" s="47"/>
      <c r="C106" s="47"/>
      <c r="D106" s="47"/>
      <c r="E106" s="47"/>
      <c r="F106" s="47"/>
      <c r="G106" s="47"/>
      <c r="H106" s="47"/>
      <c r="I106" s="47"/>
    </row>
    <row r="107">
      <c r="B107" s="47"/>
      <c r="C107" s="47"/>
      <c r="D107" s="47"/>
      <c r="E107" s="47"/>
      <c r="F107" s="47"/>
      <c r="G107" s="47"/>
      <c r="H107" s="47"/>
      <c r="I107" s="47"/>
    </row>
    <row r="108">
      <c r="B108" s="47"/>
      <c r="C108" s="47"/>
      <c r="D108" s="47"/>
      <c r="E108" s="47"/>
      <c r="F108" s="47"/>
      <c r="G108" s="47"/>
      <c r="H108" s="47"/>
      <c r="I108" s="47"/>
    </row>
    <row r="109">
      <c r="B109" s="47"/>
      <c r="C109" s="47"/>
      <c r="D109" s="47"/>
      <c r="E109" s="47"/>
      <c r="F109" s="47"/>
      <c r="G109" s="47"/>
      <c r="H109" s="47"/>
      <c r="I109" s="47"/>
    </row>
    <row r="110">
      <c r="B110" s="47"/>
      <c r="C110" s="47"/>
      <c r="D110" s="47"/>
      <c r="E110" s="47"/>
      <c r="F110" s="47"/>
      <c r="G110" s="47"/>
      <c r="H110" s="47"/>
      <c r="I110" s="47"/>
    </row>
    <row r="111">
      <c r="B111" s="47"/>
      <c r="C111" s="47"/>
      <c r="D111" s="47"/>
      <c r="E111" s="47"/>
      <c r="F111" s="47"/>
      <c r="G111" s="47"/>
      <c r="H111" s="47"/>
      <c r="I111" s="47"/>
    </row>
    <row r="112">
      <c r="B112" s="47"/>
      <c r="C112" s="47"/>
      <c r="D112" s="47"/>
      <c r="E112" s="47"/>
      <c r="F112" s="47"/>
      <c r="G112" s="47"/>
      <c r="H112" s="47"/>
      <c r="I112" s="47"/>
    </row>
    <row r="113">
      <c r="B113" s="47"/>
      <c r="C113" s="47"/>
      <c r="D113" s="47"/>
      <c r="E113" s="47"/>
      <c r="F113" s="47"/>
      <c r="G113" s="47"/>
      <c r="H113" s="47"/>
      <c r="I113" s="47"/>
    </row>
    <row r="114">
      <c r="B114" s="47"/>
      <c r="C114" s="47"/>
      <c r="D114" s="47"/>
      <c r="E114" s="47"/>
      <c r="F114" s="47"/>
      <c r="G114" s="47"/>
      <c r="H114" s="47"/>
      <c r="I114" s="47"/>
    </row>
    <row r="115">
      <c r="B115" s="47"/>
      <c r="C115" s="47"/>
      <c r="D115" s="47"/>
      <c r="E115" s="47"/>
      <c r="F115" s="47"/>
      <c r="G115" s="47"/>
      <c r="H115" s="47"/>
      <c r="I115" s="47"/>
    </row>
    <row r="116">
      <c r="B116" s="47"/>
      <c r="C116" s="47"/>
      <c r="D116" s="47"/>
      <c r="E116" s="47"/>
      <c r="F116" s="47"/>
      <c r="G116" s="47"/>
      <c r="H116" s="47"/>
      <c r="I116" s="47"/>
    </row>
    <row r="117">
      <c r="B117" s="47"/>
      <c r="C117" s="47"/>
      <c r="D117" s="47"/>
      <c r="E117" s="47"/>
      <c r="F117" s="47"/>
      <c r="G117" s="47"/>
      <c r="H117" s="47"/>
      <c r="I117" s="47"/>
    </row>
    <row r="118">
      <c r="B118" s="47"/>
      <c r="C118" s="47"/>
      <c r="D118" s="47"/>
      <c r="E118" s="47"/>
      <c r="F118" s="47"/>
      <c r="G118" s="47"/>
      <c r="H118" s="47"/>
      <c r="I118" s="47"/>
    </row>
    <row r="119">
      <c r="B119" s="47"/>
      <c r="C119" s="47"/>
      <c r="D119" s="47"/>
      <c r="E119" s="47"/>
      <c r="F119" s="47"/>
      <c r="G119" s="47"/>
      <c r="H119" s="47"/>
      <c r="I119" s="47"/>
    </row>
    <row r="120">
      <c r="B120" s="47"/>
      <c r="C120" s="47"/>
      <c r="D120" s="47"/>
      <c r="E120" s="47"/>
      <c r="F120" s="47"/>
      <c r="G120" s="47"/>
      <c r="H120" s="47"/>
      <c r="I120" s="47"/>
    </row>
    <row r="121">
      <c r="B121" s="47"/>
      <c r="C121" s="47"/>
      <c r="D121" s="47"/>
      <c r="E121" s="47"/>
      <c r="F121" s="47"/>
      <c r="G121" s="47"/>
      <c r="H121" s="47"/>
      <c r="I121" s="47"/>
    </row>
    <row r="122">
      <c r="B122" s="47"/>
      <c r="C122" s="47"/>
      <c r="D122" s="47"/>
      <c r="E122" s="47"/>
      <c r="F122" s="47"/>
      <c r="G122" s="47"/>
      <c r="H122" s="47"/>
      <c r="I122" s="47"/>
    </row>
    <row r="123">
      <c r="B123" s="47"/>
      <c r="C123" s="47"/>
      <c r="D123" s="47"/>
      <c r="E123" s="47"/>
      <c r="F123" s="47"/>
      <c r="G123" s="47"/>
      <c r="H123" s="47"/>
      <c r="I123" s="47"/>
    </row>
    <row r="124">
      <c r="B124" s="47"/>
      <c r="C124" s="47"/>
      <c r="D124" s="47"/>
      <c r="E124" s="47"/>
      <c r="F124" s="47"/>
      <c r="G124" s="47"/>
      <c r="H124" s="47"/>
      <c r="I124" s="47"/>
    </row>
    <row r="125">
      <c r="B125" s="47"/>
      <c r="C125" s="47"/>
      <c r="D125" s="47"/>
      <c r="E125" s="47"/>
      <c r="F125" s="47"/>
      <c r="G125" s="47"/>
      <c r="H125" s="47"/>
      <c r="I125" s="47"/>
    </row>
    <row r="126">
      <c r="B126" s="47"/>
      <c r="C126" s="47"/>
      <c r="D126" s="47"/>
      <c r="E126" s="47"/>
      <c r="F126" s="47"/>
      <c r="G126" s="47"/>
      <c r="H126" s="47"/>
      <c r="I126" s="47"/>
    </row>
    <row r="127">
      <c r="B127" s="47"/>
      <c r="C127" s="47"/>
      <c r="D127" s="47"/>
      <c r="E127" s="47"/>
      <c r="F127" s="47"/>
      <c r="G127" s="47"/>
      <c r="H127" s="47"/>
      <c r="I127" s="47"/>
    </row>
    <row r="128">
      <c r="B128" s="47"/>
      <c r="C128" s="47"/>
      <c r="D128" s="47"/>
      <c r="E128" s="47"/>
      <c r="F128" s="47"/>
      <c r="G128" s="47"/>
      <c r="H128" s="47"/>
      <c r="I128" s="47"/>
    </row>
    <row r="129">
      <c r="B129" s="47"/>
      <c r="C129" s="47"/>
      <c r="D129" s="47"/>
      <c r="E129" s="47"/>
      <c r="F129" s="47"/>
      <c r="G129" s="47"/>
      <c r="H129" s="47"/>
      <c r="I129" s="47"/>
    </row>
    <row r="130">
      <c r="B130" s="47"/>
      <c r="C130" s="47"/>
      <c r="D130" s="47"/>
      <c r="E130" s="47"/>
      <c r="F130" s="47"/>
      <c r="G130" s="47"/>
      <c r="H130" s="47"/>
      <c r="I130" s="47"/>
    </row>
    <row r="131">
      <c r="B131" s="47"/>
      <c r="C131" s="47"/>
      <c r="D131" s="47"/>
      <c r="E131" s="47"/>
      <c r="F131" s="47"/>
      <c r="G131" s="47"/>
      <c r="H131" s="47"/>
      <c r="I131" s="47"/>
    </row>
    <row r="132">
      <c r="B132" s="47"/>
      <c r="C132" s="47"/>
      <c r="D132" s="47"/>
      <c r="E132" s="47"/>
      <c r="F132" s="47"/>
      <c r="G132" s="47"/>
      <c r="H132" s="47"/>
      <c r="I132" s="47"/>
    </row>
    <row r="133">
      <c r="B133" s="47"/>
      <c r="C133" s="47"/>
      <c r="D133" s="47"/>
      <c r="E133" s="47"/>
      <c r="F133" s="47"/>
      <c r="G133" s="47"/>
      <c r="H133" s="47"/>
      <c r="I133" s="47"/>
    </row>
    <row r="134">
      <c r="B134" s="47"/>
      <c r="C134" s="47"/>
      <c r="D134" s="47"/>
      <c r="E134" s="47"/>
      <c r="F134" s="47"/>
      <c r="G134" s="47"/>
      <c r="H134" s="47"/>
      <c r="I134" s="47"/>
    </row>
    <row r="135">
      <c r="B135" s="47"/>
      <c r="C135" s="47"/>
      <c r="D135" s="47"/>
      <c r="E135" s="47"/>
      <c r="F135" s="47"/>
      <c r="G135" s="47"/>
      <c r="H135" s="47"/>
      <c r="I135" s="47"/>
    </row>
    <row r="136">
      <c r="B136" s="47"/>
      <c r="C136" s="47"/>
      <c r="D136" s="47"/>
      <c r="E136" s="47"/>
      <c r="F136" s="47"/>
      <c r="G136" s="47"/>
      <c r="H136" s="47"/>
      <c r="I136" s="47"/>
    </row>
    <row r="137">
      <c r="B137" s="47"/>
      <c r="C137" s="47"/>
      <c r="D137" s="47"/>
      <c r="E137" s="47"/>
      <c r="F137" s="47"/>
      <c r="G137" s="47"/>
      <c r="H137" s="47"/>
      <c r="I137" s="47"/>
    </row>
    <row r="138">
      <c r="B138" s="47"/>
      <c r="C138" s="47"/>
      <c r="D138" s="47"/>
      <c r="E138" s="47"/>
      <c r="F138" s="47"/>
      <c r="G138" s="47"/>
      <c r="H138" s="47"/>
      <c r="I138" s="47"/>
    </row>
    <row r="139">
      <c r="B139" s="47"/>
      <c r="C139" s="47"/>
      <c r="D139" s="47"/>
      <c r="E139" s="47"/>
      <c r="F139" s="47"/>
      <c r="G139" s="47"/>
      <c r="H139" s="47"/>
      <c r="I139" s="47"/>
    </row>
    <row r="140">
      <c r="B140" s="47"/>
      <c r="C140" s="47"/>
      <c r="D140" s="47"/>
      <c r="E140" s="47"/>
      <c r="F140" s="47"/>
      <c r="G140" s="47"/>
      <c r="H140" s="47"/>
      <c r="I140" s="47"/>
    </row>
    <row r="141">
      <c r="B141" s="47"/>
      <c r="C141" s="47"/>
      <c r="D141" s="47"/>
      <c r="E141" s="47"/>
      <c r="F141" s="47"/>
      <c r="G141" s="47"/>
      <c r="H141" s="47"/>
      <c r="I141" s="47"/>
    </row>
    <row r="142">
      <c r="B142" s="47"/>
      <c r="C142" s="47"/>
      <c r="D142" s="47"/>
      <c r="E142" s="47"/>
      <c r="F142" s="47"/>
      <c r="G142" s="47"/>
      <c r="H142" s="47"/>
      <c r="I142" s="47"/>
    </row>
    <row r="143">
      <c r="B143" s="47"/>
      <c r="C143" s="47"/>
      <c r="D143" s="47"/>
      <c r="E143" s="47"/>
      <c r="F143" s="47"/>
      <c r="G143" s="47"/>
      <c r="H143" s="47"/>
      <c r="I143" s="47"/>
    </row>
    <row r="144">
      <c r="B144" s="47"/>
      <c r="C144" s="47"/>
      <c r="D144" s="47"/>
      <c r="E144" s="47"/>
      <c r="F144" s="47"/>
      <c r="G144" s="47"/>
      <c r="H144" s="47"/>
      <c r="I144" s="47"/>
    </row>
    <row r="145">
      <c r="B145" s="47"/>
      <c r="C145" s="47"/>
      <c r="D145" s="47"/>
      <c r="E145" s="47"/>
      <c r="F145" s="47"/>
      <c r="G145" s="47"/>
      <c r="H145" s="47"/>
      <c r="I145" s="47"/>
    </row>
    <row r="146">
      <c r="B146" s="47"/>
      <c r="C146" s="47"/>
      <c r="D146" s="47"/>
      <c r="E146" s="47"/>
      <c r="F146" s="47"/>
      <c r="G146" s="47"/>
      <c r="H146" s="47"/>
      <c r="I146" s="47"/>
    </row>
    <row r="147">
      <c r="B147" s="47"/>
      <c r="C147" s="47"/>
      <c r="D147" s="47"/>
      <c r="E147" s="47"/>
      <c r="F147" s="47"/>
      <c r="G147" s="47"/>
      <c r="H147" s="47"/>
      <c r="I147" s="47"/>
    </row>
    <row r="148">
      <c r="B148" s="47"/>
      <c r="C148" s="47"/>
      <c r="D148" s="47"/>
      <c r="E148" s="47"/>
      <c r="F148" s="47"/>
      <c r="G148" s="47"/>
      <c r="H148" s="47"/>
      <c r="I148" s="47"/>
    </row>
    <row r="149">
      <c r="B149" s="47"/>
      <c r="C149" s="47"/>
      <c r="D149" s="47"/>
      <c r="E149" s="47"/>
      <c r="F149" s="47"/>
      <c r="G149" s="47"/>
      <c r="H149" s="47"/>
      <c r="I149" s="47"/>
    </row>
    <row r="150">
      <c r="B150" s="47"/>
      <c r="C150" s="47"/>
      <c r="D150" s="47"/>
      <c r="E150" s="47"/>
      <c r="F150" s="47"/>
      <c r="G150" s="47"/>
      <c r="H150" s="47"/>
      <c r="I150" s="47"/>
    </row>
    <row r="151">
      <c r="B151" s="47"/>
      <c r="C151" s="47"/>
      <c r="D151" s="47"/>
      <c r="E151" s="47"/>
      <c r="F151" s="47"/>
      <c r="G151" s="47"/>
      <c r="H151" s="47"/>
      <c r="I151" s="47"/>
    </row>
    <row r="152">
      <c r="B152" s="47"/>
      <c r="C152" s="47"/>
      <c r="D152" s="47"/>
      <c r="E152" s="47"/>
      <c r="F152" s="47"/>
      <c r="G152" s="47"/>
      <c r="H152" s="47"/>
      <c r="I152" s="47"/>
    </row>
    <row r="153">
      <c r="B153" s="47"/>
      <c r="C153" s="47"/>
      <c r="D153" s="47"/>
      <c r="E153" s="47"/>
      <c r="F153" s="47"/>
      <c r="G153" s="47"/>
      <c r="H153" s="47"/>
      <c r="I153" s="47"/>
    </row>
    <row r="154">
      <c r="B154" s="47"/>
      <c r="C154" s="47"/>
      <c r="D154" s="47"/>
      <c r="E154" s="47"/>
      <c r="F154" s="47"/>
      <c r="G154" s="47"/>
      <c r="H154" s="47"/>
      <c r="I154" s="47"/>
    </row>
    <row r="155">
      <c r="B155" s="47"/>
      <c r="C155" s="47"/>
      <c r="D155" s="47"/>
      <c r="E155" s="47"/>
      <c r="F155" s="47"/>
      <c r="G155" s="47"/>
      <c r="H155" s="47"/>
      <c r="I155" s="47"/>
    </row>
    <row r="156">
      <c r="B156" s="47"/>
      <c r="C156" s="47"/>
      <c r="D156" s="47"/>
      <c r="E156" s="47"/>
      <c r="F156" s="47"/>
      <c r="G156" s="47"/>
      <c r="H156" s="47"/>
      <c r="I156" s="47"/>
    </row>
    <row r="157">
      <c r="B157" s="47"/>
      <c r="C157" s="47"/>
      <c r="D157" s="47"/>
      <c r="E157" s="47"/>
      <c r="F157" s="47"/>
      <c r="G157" s="47"/>
      <c r="H157" s="47"/>
      <c r="I157" s="47"/>
    </row>
    <row r="158">
      <c r="B158" s="47"/>
      <c r="C158" s="47"/>
      <c r="D158" s="47"/>
      <c r="E158" s="47"/>
      <c r="F158" s="47"/>
      <c r="G158" s="47"/>
      <c r="H158" s="47"/>
      <c r="I158" s="47"/>
    </row>
    <row r="159">
      <c r="B159" s="47"/>
      <c r="C159" s="47"/>
      <c r="D159" s="47"/>
      <c r="E159" s="47"/>
      <c r="F159" s="47"/>
      <c r="G159" s="47"/>
      <c r="H159" s="47"/>
      <c r="I159" s="47"/>
    </row>
    <row r="160">
      <c r="B160" s="47"/>
      <c r="C160" s="47"/>
      <c r="D160" s="47"/>
      <c r="E160" s="47"/>
      <c r="F160" s="47"/>
      <c r="G160" s="47"/>
      <c r="H160" s="47"/>
      <c r="I160" s="47"/>
    </row>
    <row r="161">
      <c r="B161" s="47"/>
      <c r="C161" s="47"/>
      <c r="D161" s="47"/>
      <c r="E161" s="47"/>
      <c r="F161" s="47"/>
      <c r="G161" s="47"/>
      <c r="H161" s="47"/>
      <c r="I161" s="47"/>
    </row>
    <row r="162">
      <c r="B162" s="47"/>
      <c r="C162" s="47"/>
      <c r="D162" s="47"/>
      <c r="E162" s="47"/>
      <c r="F162" s="47"/>
      <c r="G162" s="47"/>
      <c r="H162" s="47"/>
      <c r="I162" s="47"/>
    </row>
    <row r="163">
      <c r="B163" s="47"/>
      <c r="C163" s="47"/>
      <c r="D163" s="47"/>
      <c r="E163" s="47"/>
      <c r="F163" s="47"/>
      <c r="G163" s="47"/>
      <c r="H163" s="47"/>
      <c r="I163" s="47"/>
    </row>
    <row r="164">
      <c r="B164" s="47"/>
      <c r="C164" s="47"/>
      <c r="D164" s="47"/>
      <c r="E164" s="47"/>
      <c r="F164" s="47"/>
      <c r="G164" s="47"/>
      <c r="H164" s="47"/>
      <c r="I164" s="47"/>
    </row>
    <row r="165">
      <c r="B165" s="47"/>
      <c r="C165" s="47"/>
      <c r="D165" s="47"/>
      <c r="E165" s="47"/>
      <c r="F165" s="47"/>
      <c r="G165" s="47"/>
      <c r="H165" s="47"/>
      <c r="I165" s="47"/>
    </row>
    <row r="166">
      <c r="B166" s="47"/>
      <c r="C166" s="47"/>
      <c r="D166" s="47"/>
      <c r="E166" s="47"/>
      <c r="F166" s="47"/>
      <c r="G166" s="47"/>
      <c r="H166" s="47"/>
      <c r="I166" s="47"/>
    </row>
    <row r="167">
      <c r="B167" s="47"/>
      <c r="C167" s="47"/>
      <c r="D167" s="47"/>
      <c r="E167" s="47"/>
      <c r="F167" s="47"/>
      <c r="G167" s="47"/>
      <c r="H167" s="47"/>
      <c r="I167" s="47"/>
    </row>
    <row r="168">
      <c r="B168" s="47"/>
      <c r="C168" s="47"/>
      <c r="D168" s="47"/>
      <c r="E168" s="47"/>
      <c r="F168" s="47"/>
      <c r="G168" s="47"/>
      <c r="H168" s="47"/>
      <c r="I168" s="47"/>
    </row>
    <row r="169">
      <c r="B169" s="47"/>
      <c r="C169" s="47"/>
      <c r="D169" s="47"/>
      <c r="E169" s="47"/>
      <c r="F169" s="47"/>
      <c r="G169" s="47"/>
      <c r="H169" s="47"/>
      <c r="I169" s="47"/>
    </row>
    <row r="170">
      <c r="B170" s="47"/>
      <c r="C170" s="47"/>
      <c r="D170" s="47"/>
      <c r="E170" s="47"/>
      <c r="F170" s="47"/>
      <c r="G170" s="47"/>
      <c r="H170" s="47"/>
      <c r="I170" s="47"/>
    </row>
    <row r="171">
      <c r="B171" s="47"/>
      <c r="C171" s="47"/>
      <c r="D171" s="47"/>
      <c r="E171" s="47"/>
      <c r="F171" s="47"/>
      <c r="G171" s="47"/>
      <c r="H171" s="47"/>
      <c r="I171" s="47"/>
    </row>
    <row r="172">
      <c r="B172" s="47"/>
      <c r="C172" s="47"/>
      <c r="D172" s="47"/>
      <c r="E172" s="47"/>
      <c r="F172" s="47"/>
      <c r="G172" s="47"/>
      <c r="H172" s="47"/>
      <c r="I172" s="47"/>
    </row>
    <row r="173">
      <c r="B173" s="47"/>
      <c r="C173" s="47"/>
      <c r="D173" s="47"/>
      <c r="E173" s="47"/>
      <c r="F173" s="47"/>
      <c r="G173" s="47"/>
      <c r="H173" s="47"/>
      <c r="I173" s="47"/>
    </row>
    <row r="174">
      <c r="B174" s="47"/>
      <c r="C174" s="47"/>
      <c r="D174" s="47"/>
      <c r="E174" s="47"/>
      <c r="F174" s="47"/>
      <c r="G174" s="47"/>
      <c r="H174" s="47"/>
      <c r="I174" s="47"/>
    </row>
    <row r="175">
      <c r="B175" s="47"/>
      <c r="C175" s="47"/>
      <c r="D175" s="47"/>
      <c r="E175" s="47"/>
      <c r="F175" s="47"/>
      <c r="G175" s="47"/>
      <c r="H175" s="47"/>
      <c r="I175" s="47"/>
    </row>
    <row r="176">
      <c r="B176" s="47"/>
      <c r="C176" s="47"/>
      <c r="D176" s="47"/>
      <c r="E176" s="47"/>
      <c r="F176" s="47"/>
      <c r="G176" s="47"/>
      <c r="H176" s="47"/>
      <c r="I176" s="47"/>
    </row>
    <row r="177">
      <c r="B177" s="47"/>
      <c r="C177" s="47"/>
      <c r="D177" s="47"/>
      <c r="E177" s="47"/>
      <c r="F177" s="47"/>
      <c r="G177" s="47"/>
      <c r="H177" s="47"/>
      <c r="I177" s="47"/>
    </row>
    <row r="178">
      <c r="B178" s="47"/>
      <c r="C178" s="47"/>
      <c r="D178" s="47"/>
      <c r="E178" s="47"/>
      <c r="F178" s="47"/>
      <c r="G178" s="47"/>
      <c r="H178" s="47"/>
      <c r="I178" s="47"/>
    </row>
    <row r="179">
      <c r="B179" s="47"/>
      <c r="C179" s="47"/>
      <c r="D179" s="47"/>
      <c r="E179" s="47"/>
      <c r="F179" s="47"/>
      <c r="G179" s="47"/>
      <c r="H179" s="47"/>
      <c r="I179" s="47"/>
    </row>
    <row r="180">
      <c r="B180" s="47"/>
      <c r="C180" s="47"/>
      <c r="D180" s="47"/>
      <c r="E180" s="47"/>
      <c r="F180" s="47"/>
      <c r="G180" s="47"/>
      <c r="H180" s="47"/>
      <c r="I180" s="47"/>
    </row>
    <row r="181">
      <c r="B181" s="47"/>
      <c r="C181" s="47"/>
      <c r="D181" s="47"/>
      <c r="E181" s="47"/>
      <c r="F181" s="47"/>
      <c r="G181" s="47"/>
      <c r="H181" s="47"/>
      <c r="I181" s="47"/>
    </row>
    <row r="182">
      <c r="B182" s="47"/>
      <c r="C182" s="47"/>
      <c r="D182" s="47"/>
      <c r="E182" s="47"/>
      <c r="F182" s="47"/>
      <c r="G182" s="47"/>
      <c r="H182" s="47"/>
      <c r="I182" s="47"/>
    </row>
    <row r="183">
      <c r="B183" s="47"/>
      <c r="C183" s="47"/>
      <c r="D183" s="47"/>
      <c r="E183" s="47"/>
      <c r="F183" s="47"/>
      <c r="G183" s="47"/>
      <c r="H183" s="47"/>
      <c r="I183" s="47"/>
    </row>
    <row r="184">
      <c r="B184" s="47"/>
      <c r="C184" s="47"/>
      <c r="D184" s="47"/>
      <c r="E184" s="47"/>
      <c r="F184" s="47"/>
      <c r="G184" s="47"/>
      <c r="H184" s="47"/>
      <c r="I184" s="47"/>
    </row>
    <row r="185">
      <c r="B185" s="47"/>
      <c r="C185" s="47"/>
      <c r="D185" s="47"/>
      <c r="E185" s="47"/>
      <c r="F185" s="47"/>
      <c r="G185" s="47"/>
      <c r="H185" s="47"/>
      <c r="I185" s="47"/>
    </row>
    <row r="186">
      <c r="B186" s="47"/>
      <c r="C186" s="47"/>
      <c r="D186" s="47"/>
      <c r="E186" s="47"/>
      <c r="F186" s="47"/>
      <c r="G186" s="47"/>
      <c r="H186" s="47"/>
      <c r="I186" s="47"/>
    </row>
    <row r="187">
      <c r="B187" s="47"/>
      <c r="C187" s="47"/>
      <c r="D187" s="47"/>
      <c r="E187" s="47"/>
      <c r="F187" s="47"/>
      <c r="G187" s="47"/>
      <c r="H187" s="47"/>
      <c r="I187" s="47"/>
    </row>
    <row r="188">
      <c r="B188" s="47"/>
      <c r="C188" s="47"/>
      <c r="D188" s="47"/>
      <c r="E188" s="47"/>
      <c r="F188" s="47"/>
      <c r="G188" s="47"/>
      <c r="H188" s="47"/>
      <c r="I188" s="47"/>
    </row>
    <row r="189">
      <c r="B189" s="47"/>
      <c r="C189" s="47"/>
      <c r="D189" s="47"/>
      <c r="E189" s="47"/>
      <c r="F189" s="47"/>
      <c r="G189" s="47"/>
      <c r="H189" s="47"/>
      <c r="I189" s="47"/>
    </row>
    <row r="190">
      <c r="B190" s="47"/>
      <c r="C190" s="47"/>
      <c r="D190" s="47"/>
      <c r="E190" s="47"/>
      <c r="F190" s="47"/>
      <c r="G190" s="47"/>
      <c r="H190" s="47"/>
      <c r="I190" s="47"/>
    </row>
    <row r="191">
      <c r="B191" s="47"/>
      <c r="C191" s="47"/>
      <c r="D191" s="47"/>
      <c r="E191" s="47"/>
      <c r="F191" s="47"/>
      <c r="G191" s="47"/>
      <c r="H191" s="47"/>
      <c r="I191" s="47"/>
    </row>
    <row r="192">
      <c r="B192" s="47"/>
      <c r="C192" s="47"/>
      <c r="D192" s="47"/>
      <c r="E192" s="47"/>
      <c r="F192" s="47"/>
      <c r="G192" s="47"/>
      <c r="H192" s="47"/>
      <c r="I192" s="47"/>
    </row>
    <row r="193">
      <c r="B193" s="47"/>
      <c r="C193" s="47"/>
      <c r="D193" s="47"/>
      <c r="E193" s="47"/>
      <c r="F193" s="47"/>
      <c r="G193" s="47"/>
      <c r="H193" s="47"/>
      <c r="I193" s="47"/>
    </row>
    <row r="194">
      <c r="B194" s="47"/>
      <c r="C194" s="47"/>
      <c r="D194" s="47"/>
      <c r="E194" s="47"/>
      <c r="F194" s="47"/>
      <c r="G194" s="47"/>
      <c r="H194" s="47"/>
      <c r="I194" s="47"/>
    </row>
    <row r="195">
      <c r="B195" s="47"/>
      <c r="C195" s="47"/>
      <c r="D195" s="47"/>
      <c r="E195" s="47"/>
      <c r="F195" s="47"/>
      <c r="G195" s="47"/>
      <c r="H195" s="47"/>
      <c r="I195" s="47"/>
    </row>
    <row r="196">
      <c r="B196" s="47"/>
      <c r="C196" s="47"/>
      <c r="D196" s="47"/>
      <c r="E196" s="47"/>
      <c r="F196" s="47"/>
      <c r="G196" s="47"/>
      <c r="H196" s="47"/>
      <c r="I196" s="47"/>
    </row>
    <row r="197">
      <c r="B197" s="47"/>
      <c r="C197" s="47"/>
      <c r="D197" s="47"/>
      <c r="E197" s="47"/>
      <c r="F197" s="47"/>
      <c r="G197" s="47"/>
      <c r="H197" s="47"/>
      <c r="I197" s="47"/>
    </row>
    <row r="198">
      <c r="B198" s="47"/>
      <c r="C198" s="47"/>
      <c r="D198" s="47"/>
      <c r="E198" s="47"/>
      <c r="F198" s="47"/>
      <c r="G198" s="47"/>
      <c r="H198" s="47"/>
      <c r="I198" s="47"/>
    </row>
    <row r="199">
      <c r="B199" s="47"/>
      <c r="C199" s="47"/>
      <c r="D199" s="47"/>
      <c r="E199" s="47"/>
      <c r="F199" s="47"/>
      <c r="G199" s="47"/>
      <c r="H199" s="47"/>
      <c r="I199" s="47"/>
    </row>
    <row r="200">
      <c r="B200" s="47"/>
      <c r="C200" s="47"/>
      <c r="D200" s="47"/>
      <c r="E200" s="47"/>
      <c r="F200" s="47"/>
      <c r="G200" s="47"/>
      <c r="H200" s="47"/>
      <c r="I200" s="47"/>
    </row>
    <row r="201">
      <c r="B201" s="47"/>
      <c r="C201" s="47"/>
      <c r="D201" s="47"/>
      <c r="E201" s="47"/>
      <c r="F201" s="47"/>
      <c r="G201" s="47"/>
      <c r="H201" s="47"/>
      <c r="I201" s="47"/>
    </row>
    <row r="202">
      <c r="B202" s="47"/>
      <c r="C202" s="47"/>
      <c r="D202" s="47"/>
      <c r="E202" s="47"/>
      <c r="F202" s="47"/>
      <c r="G202" s="47"/>
      <c r="H202" s="47"/>
      <c r="I202" s="47"/>
    </row>
    <row r="203">
      <c r="B203" s="47"/>
      <c r="C203" s="47"/>
      <c r="D203" s="47"/>
      <c r="E203" s="47"/>
      <c r="F203" s="47"/>
      <c r="G203" s="47"/>
      <c r="H203" s="47"/>
      <c r="I203" s="47"/>
    </row>
    <row r="204">
      <c r="B204" s="47"/>
      <c r="C204" s="47"/>
      <c r="D204" s="47"/>
      <c r="E204" s="47"/>
      <c r="F204" s="47"/>
      <c r="G204" s="47"/>
      <c r="H204" s="47"/>
      <c r="I204" s="47"/>
    </row>
    <row r="205">
      <c r="B205" s="47"/>
      <c r="C205" s="47"/>
      <c r="D205" s="47"/>
      <c r="E205" s="47"/>
      <c r="F205" s="47"/>
      <c r="G205" s="47"/>
      <c r="H205" s="47"/>
      <c r="I205" s="47"/>
    </row>
    <row r="206">
      <c r="B206" s="47"/>
      <c r="C206" s="47"/>
      <c r="D206" s="47"/>
      <c r="E206" s="47"/>
      <c r="F206" s="47"/>
      <c r="G206" s="47"/>
      <c r="H206" s="47"/>
      <c r="I206" s="47"/>
    </row>
    <row r="207">
      <c r="B207" s="47"/>
      <c r="C207" s="47"/>
      <c r="D207" s="47"/>
      <c r="E207" s="47"/>
      <c r="F207" s="47"/>
      <c r="G207" s="47"/>
      <c r="H207" s="47"/>
      <c r="I207" s="47"/>
    </row>
    <row r="208">
      <c r="B208" s="47"/>
      <c r="C208" s="47"/>
      <c r="D208" s="47"/>
      <c r="E208" s="47"/>
      <c r="F208" s="47"/>
      <c r="G208" s="47"/>
      <c r="H208" s="47"/>
      <c r="I208" s="47"/>
    </row>
    <row r="209">
      <c r="B209" s="47"/>
      <c r="C209" s="47"/>
      <c r="D209" s="47"/>
      <c r="E209" s="47"/>
      <c r="F209" s="47"/>
      <c r="G209" s="47"/>
      <c r="H209" s="47"/>
      <c r="I209" s="47"/>
    </row>
    <row r="210">
      <c r="B210" s="47"/>
      <c r="C210" s="47"/>
      <c r="D210" s="47"/>
      <c r="E210" s="47"/>
      <c r="F210" s="47"/>
      <c r="G210" s="47"/>
      <c r="H210" s="47"/>
      <c r="I210" s="47"/>
    </row>
    <row r="211">
      <c r="B211" s="47"/>
      <c r="C211" s="47"/>
      <c r="D211" s="47"/>
      <c r="E211" s="47"/>
      <c r="F211" s="47"/>
      <c r="G211" s="47"/>
      <c r="H211" s="47"/>
      <c r="I211" s="47"/>
    </row>
    <row r="212">
      <c r="B212" s="47"/>
      <c r="C212" s="47"/>
      <c r="D212" s="47"/>
      <c r="E212" s="47"/>
      <c r="F212" s="47"/>
      <c r="G212" s="47"/>
      <c r="H212" s="47"/>
      <c r="I212" s="47"/>
    </row>
    <row r="213">
      <c r="B213" s="47"/>
      <c r="C213" s="47"/>
      <c r="D213" s="47"/>
      <c r="E213" s="47"/>
      <c r="F213" s="47"/>
      <c r="G213" s="47"/>
      <c r="H213" s="47"/>
      <c r="I213" s="47"/>
    </row>
    <row r="214">
      <c r="B214" s="47"/>
      <c r="C214" s="47"/>
      <c r="D214" s="47"/>
      <c r="E214" s="47"/>
      <c r="F214" s="47"/>
      <c r="G214" s="47"/>
      <c r="H214" s="47"/>
      <c r="I214" s="47"/>
    </row>
    <row r="215">
      <c r="B215" s="47"/>
      <c r="C215" s="47"/>
      <c r="D215" s="47"/>
      <c r="E215" s="47"/>
      <c r="F215" s="47"/>
      <c r="G215" s="47"/>
      <c r="H215" s="47"/>
      <c r="I215" s="47"/>
    </row>
    <row r="216">
      <c r="B216" s="47"/>
      <c r="C216" s="47"/>
      <c r="D216" s="47"/>
      <c r="E216" s="47"/>
      <c r="F216" s="47"/>
      <c r="G216" s="47"/>
      <c r="H216" s="47"/>
      <c r="I216" s="47"/>
    </row>
    <row r="217">
      <c r="B217" s="47"/>
      <c r="C217" s="47"/>
      <c r="D217" s="47"/>
      <c r="E217" s="47"/>
      <c r="F217" s="47"/>
      <c r="G217" s="47"/>
      <c r="H217" s="47"/>
      <c r="I217" s="47"/>
    </row>
    <row r="218">
      <c r="B218" s="47"/>
      <c r="C218" s="47"/>
      <c r="D218" s="47"/>
      <c r="E218" s="47"/>
      <c r="F218" s="47"/>
      <c r="G218" s="47"/>
      <c r="H218" s="47"/>
      <c r="I218" s="47"/>
    </row>
    <row r="219">
      <c r="B219" s="47"/>
      <c r="C219" s="47"/>
      <c r="D219" s="47"/>
      <c r="E219" s="47"/>
      <c r="F219" s="47"/>
      <c r="G219" s="47"/>
      <c r="H219" s="47"/>
      <c r="I219" s="47"/>
    </row>
    <row r="220">
      <c r="B220" s="47"/>
      <c r="C220" s="47"/>
      <c r="D220" s="47"/>
      <c r="E220" s="47"/>
      <c r="F220" s="47"/>
      <c r="G220" s="47"/>
      <c r="H220" s="47"/>
      <c r="I220" s="47"/>
    </row>
    <row r="221">
      <c r="B221" s="47"/>
      <c r="C221" s="47"/>
      <c r="D221" s="47"/>
      <c r="E221" s="47"/>
      <c r="F221" s="47"/>
      <c r="G221" s="47"/>
      <c r="H221" s="47"/>
      <c r="I221" s="47"/>
    </row>
    <row r="222">
      <c r="B222" s="47"/>
      <c r="C222" s="47"/>
      <c r="D222" s="47"/>
      <c r="E222" s="47"/>
      <c r="F222" s="47"/>
      <c r="G222" s="47"/>
      <c r="H222" s="47"/>
      <c r="I222" s="47"/>
    </row>
    <row r="223">
      <c r="B223" s="47"/>
      <c r="C223" s="47"/>
      <c r="D223" s="47"/>
      <c r="E223" s="47"/>
      <c r="F223" s="47"/>
      <c r="G223" s="47"/>
      <c r="H223" s="47"/>
      <c r="I223" s="47"/>
    </row>
    <row r="224">
      <c r="B224" s="47"/>
      <c r="C224" s="47"/>
      <c r="D224" s="47"/>
      <c r="E224" s="47"/>
      <c r="F224" s="47"/>
      <c r="G224" s="47"/>
      <c r="H224" s="47"/>
      <c r="I224" s="47"/>
    </row>
    <row r="225">
      <c r="B225" s="47"/>
      <c r="C225" s="47"/>
      <c r="D225" s="47"/>
      <c r="E225" s="47"/>
      <c r="F225" s="47"/>
      <c r="G225" s="47"/>
      <c r="H225" s="47"/>
      <c r="I225" s="47"/>
    </row>
    <row r="226">
      <c r="B226" s="47"/>
      <c r="C226" s="47"/>
      <c r="D226" s="47"/>
      <c r="E226" s="47"/>
      <c r="F226" s="47"/>
      <c r="G226" s="47"/>
      <c r="H226" s="47"/>
      <c r="I226" s="47"/>
    </row>
    <row r="227">
      <c r="B227" s="47"/>
      <c r="C227" s="47"/>
      <c r="D227" s="47"/>
      <c r="E227" s="47"/>
      <c r="F227" s="47"/>
      <c r="G227" s="47"/>
      <c r="H227" s="47"/>
      <c r="I227" s="47"/>
    </row>
    <row r="228">
      <c r="B228" s="47"/>
      <c r="C228" s="47"/>
      <c r="D228" s="47"/>
      <c r="E228" s="47"/>
      <c r="F228" s="47"/>
      <c r="G228" s="47"/>
      <c r="H228" s="47"/>
      <c r="I228" s="47"/>
    </row>
    <row r="229">
      <c r="B229" s="47"/>
      <c r="C229" s="47"/>
      <c r="D229" s="47"/>
      <c r="E229" s="47"/>
      <c r="F229" s="47"/>
      <c r="G229" s="47"/>
      <c r="H229" s="47"/>
      <c r="I229" s="47"/>
    </row>
    <row r="230">
      <c r="B230" s="47"/>
      <c r="C230" s="47"/>
      <c r="D230" s="47"/>
      <c r="E230" s="47"/>
      <c r="F230" s="47"/>
      <c r="G230" s="47"/>
      <c r="H230" s="47"/>
      <c r="I230" s="47"/>
    </row>
    <row r="231">
      <c r="B231" s="47"/>
      <c r="C231" s="47"/>
      <c r="D231" s="47"/>
      <c r="E231" s="47"/>
      <c r="F231" s="47"/>
      <c r="G231" s="47"/>
      <c r="H231" s="47"/>
      <c r="I231" s="47"/>
    </row>
    <row r="232">
      <c r="B232" s="47"/>
      <c r="C232" s="47"/>
      <c r="D232" s="47"/>
      <c r="E232" s="47"/>
      <c r="F232" s="47"/>
      <c r="G232" s="47"/>
      <c r="H232" s="47"/>
      <c r="I232" s="47"/>
    </row>
    <row r="233">
      <c r="B233" s="47"/>
      <c r="C233" s="47"/>
      <c r="D233" s="47"/>
      <c r="E233" s="47"/>
      <c r="F233" s="47"/>
      <c r="G233" s="47"/>
      <c r="H233" s="47"/>
      <c r="I233" s="47"/>
    </row>
    <row r="234">
      <c r="B234" s="47"/>
      <c r="C234" s="47"/>
      <c r="D234" s="47"/>
      <c r="E234" s="47"/>
      <c r="F234" s="47"/>
      <c r="G234" s="47"/>
      <c r="H234" s="47"/>
      <c r="I234" s="47"/>
    </row>
    <row r="235">
      <c r="B235" s="47"/>
      <c r="C235" s="47"/>
      <c r="D235" s="47"/>
      <c r="E235" s="47"/>
      <c r="F235" s="47"/>
      <c r="G235" s="47"/>
      <c r="H235" s="47"/>
      <c r="I235" s="47"/>
    </row>
    <row r="236">
      <c r="B236" s="47"/>
      <c r="C236" s="47"/>
      <c r="D236" s="47"/>
      <c r="E236" s="47"/>
      <c r="F236" s="47"/>
      <c r="G236" s="47"/>
      <c r="H236" s="47"/>
      <c r="I236" s="47"/>
    </row>
    <row r="237">
      <c r="B237" s="47"/>
      <c r="C237" s="47"/>
      <c r="D237" s="47"/>
      <c r="E237" s="47"/>
      <c r="F237" s="47"/>
      <c r="G237" s="47"/>
      <c r="H237" s="47"/>
      <c r="I237" s="47"/>
    </row>
    <row r="238">
      <c r="B238" s="47"/>
      <c r="C238" s="47"/>
      <c r="D238" s="47"/>
      <c r="E238" s="47"/>
      <c r="F238" s="47"/>
      <c r="G238" s="47"/>
      <c r="H238" s="47"/>
      <c r="I238" s="47"/>
    </row>
    <row r="239">
      <c r="B239" s="47"/>
      <c r="C239" s="47"/>
      <c r="D239" s="47"/>
      <c r="E239" s="47"/>
      <c r="F239" s="47"/>
      <c r="G239" s="47"/>
      <c r="H239" s="47"/>
      <c r="I239" s="47"/>
    </row>
    <row r="240">
      <c r="B240" s="47"/>
      <c r="C240" s="47"/>
      <c r="D240" s="47"/>
      <c r="E240" s="47"/>
      <c r="F240" s="47"/>
      <c r="G240" s="47"/>
      <c r="H240" s="47"/>
      <c r="I240" s="47"/>
    </row>
    <row r="241">
      <c r="B241" s="47"/>
      <c r="C241" s="47"/>
      <c r="D241" s="47"/>
      <c r="E241" s="47"/>
      <c r="F241" s="47"/>
      <c r="G241" s="47"/>
      <c r="H241" s="47"/>
      <c r="I241" s="47"/>
    </row>
    <row r="242">
      <c r="B242" s="47"/>
      <c r="C242" s="47"/>
      <c r="D242" s="47"/>
      <c r="E242" s="47"/>
      <c r="F242" s="47"/>
      <c r="G242" s="47"/>
      <c r="H242" s="47"/>
      <c r="I242" s="47"/>
    </row>
    <row r="243">
      <c r="B243" s="47"/>
      <c r="C243" s="47"/>
      <c r="D243" s="47"/>
      <c r="E243" s="47"/>
      <c r="F243" s="47"/>
      <c r="G243" s="47"/>
      <c r="H243" s="47"/>
      <c r="I243" s="47"/>
    </row>
    <row r="244">
      <c r="B244" s="47"/>
      <c r="C244" s="47"/>
      <c r="D244" s="47"/>
      <c r="E244" s="47"/>
      <c r="F244" s="47"/>
      <c r="G244" s="47"/>
      <c r="H244" s="47"/>
      <c r="I244" s="47"/>
    </row>
    <row r="245">
      <c r="B245" s="47"/>
      <c r="C245" s="47"/>
      <c r="D245" s="47"/>
      <c r="E245" s="47"/>
      <c r="F245" s="47"/>
      <c r="G245" s="47"/>
      <c r="H245" s="47"/>
      <c r="I245" s="47"/>
    </row>
    <row r="246">
      <c r="B246" s="47"/>
      <c r="C246" s="47"/>
      <c r="D246" s="47"/>
      <c r="E246" s="47"/>
      <c r="F246" s="47"/>
      <c r="G246" s="47"/>
      <c r="H246" s="47"/>
      <c r="I246" s="47"/>
    </row>
    <row r="247">
      <c r="B247" s="47"/>
      <c r="C247" s="47"/>
      <c r="D247" s="47"/>
      <c r="E247" s="47"/>
      <c r="F247" s="47"/>
      <c r="G247" s="47"/>
      <c r="H247" s="47"/>
      <c r="I247" s="47"/>
    </row>
    <row r="248">
      <c r="B248" s="47"/>
      <c r="C248" s="47"/>
      <c r="D248" s="47"/>
      <c r="E248" s="47"/>
      <c r="F248" s="47"/>
      <c r="G248" s="47"/>
      <c r="H248" s="47"/>
      <c r="I248" s="47"/>
    </row>
    <row r="249">
      <c r="B249" s="47"/>
      <c r="C249" s="47"/>
      <c r="D249" s="47"/>
      <c r="E249" s="47"/>
      <c r="F249" s="47"/>
      <c r="G249" s="47"/>
      <c r="H249" s="47"/>
      <c r="I249" s="47"/>
    </row>
    <row r="250">
      <c r="B250" s="47"/>
      <c r="C250" s="47"/>
      <c r="D250" s="47"/>
      <c r="E250" s="47"/>
      <c r="F250" s="47"/>
      <c r="G250" s="47"/>
      <c r="H250" s="47"/>
      <c r="I250" s="47"/>
    </row>
    <row r="251">
      <c r="B251" s="47"/>
      <c r="C251" s="47"/>
      <c r="D251" s="47"/>
      <c r="E251" s="47"/>
      <c r="F251" s="47"/>
      <c r="G251" s="47"/>
      <c r="H251" s="47"/>
      <c r="I251" s="47"/>
    </row>
    <row r="252">
      <c r="B252" s="47"/>
      <c r="C252" s="47"/>
      <c r="D252" s="47"/>
      <c r="E252" s="47"/>
      <c r="F252" s="47"/>
      <c r="G252" s="47"/>
      <c r="H252" s="47"/>
      <c r="I252" s="47"/>
    </row>
    <row r="253">
      <c r="B253" s="47"/>
      <c r="C253" s="47"/>
      <c r="D253" s="47"/>
      <c r="E253" s="47"/>
      <c r="F253" s="47"/>
      <c r="G253" s="47"/>
      <c r="H253" s="47"/>
      <c r="I253" s="47"/>
    </row>
    <row r="254">
      <c r="B254" s="47"/>
      <c r="C254" s="47"/>
      <c r="D254" s="47"/>
      <c r="E254" s="47"/>
      <c r="F254" s="47"/>
      <c r="G254" s="47"/>
      <c r="H254" s="47"/>
      <c r="I254" s="47"/>
    </row>
    <row r="255">
      <c r="B255" s="47"/>
      <c r="C255" s="47"/>
      <c r="D255" s="47"/>
      <c r="E255" s="47"/>
      <c r="F255" s="47"/>
      <c r="G255" s="47"/>
      <c r="H255" s="47"/>
      <c r="I255" s="47"/>
    </row>
    <row r="256">
      <c r="B256" s="47"/>
      <c r="C256" s="47"/>
      <c r="D256" s="47"/>
      <c r="E256" s="47"/>
      <c r="F256" s="47"/>
      <c r="G256" s="47"/>
      <c r="H256" s="47"/>
      <c r="I256" s="47"/>
    </row>
    <row r="257">
      <c r="B257" s="47"/>
      <c r="C257" s="47"/>
      <c r="D257" s="47"/>
      <c r="E257" s="47"/>
      <c r="F257" s="47"/>
      <c r="G257" s="47"/>
      <c r="H257" s="47"/>
      <c r="I257" s="47"/>
    </row>
    <row r="258">
      <c r="B258" s="47"/>
      <c r="C258" s="47"/>
      <c r="D258" s="47"/>
      <c r="E258" s="47"/>
      <c r="F258" s="47"/>
      <c r="G258" s="47"/>
      <c r="H258" s="47"/>
      <c r="I258" s="47"/>
    </row>
    <row r="259">
      <c r="B259" s="47"/>
      <c r="C259" s="47"/>
      <c r="D259" s="47"/>
      <c r="E259" s="47"/>
      <c r="F259" s="47"/>
      <c r="G259" s="47"/>
      <c r="H259" s="47"/>
      <c r="I259" s="47"/>
    </row>
    <row r="260">
      <c r="B260" s="47"/>
      <c r="C260" s="47"/>
      <c r="D260" s="47"/>
      <c r="E260" s="47"/>
      <c r="F260" s="47"/>
      <c r="G260" s="47"/>
      <c r="H260" s="47"/>
      <c r="I260" s="47"/>
    </row>
    <row r="261">
      <c r="B261" s="47"/>
      <c r="C261" s="47"/>
      <c r="D261" s="47"/>
      <c r="E261" s="47"/>
      <c r="F261" s="47"/>
      <c r="G261" s="47"/>
      <c r="H261" s="47"/>
      <c r="I261" s="47"/>
    </row>
    <row r="262">
      <c r="B262" s="47"/>
      <c r="C262" s="47"/>
      <c r="D262" s="47"/>
      <c r="E262" s="47"/>
      <c r="F262" s="47"/>
      <c r="G262" s="47"/>
      <c r="H262" s="47"/>
      <c r="I262" s="47"/>
    </row>
    <row r="263">
      <c r="B263" s="47"/>
      <c r="C263" s="47"/>
      <c r="D263" s="47"/>
      <c r="E263" s="47"/>
      <c r="F263" s="47"/>
      <c r="G263" s="47"/>
      <c r="H263" s="47"/>
      <c r="I263" s="47"/>
    </row>
    <row r="264">
      <c r="B264" s="47"/>
      <c r="C264" s="47"/>
      <c r="D264" s="47"/>
      <c r="E264" s="47"/>
      <c r="F264" s="47"/>
      <c r="G264" s="47"/>
      <c r="H264" s="47"/>
      <c r="I264" s="47"/>
    </row>
    <row r="265">
      <c r="B265" s="47"/>
      <c r="C265" s="47"/>
      <c r="D265" s="47"/>
      <c r="E265" s="47"/>
      <c r="F265" s="47"/>
      <c r="G265" s="47"/>
      <c r="H265" s="47"/>
      <c r="I265" s="47"/>
    </row>
    <row r="266">
      <c r="B266" s="47"/>
      <c r="C266" s="47"/>
      <c r="D266" s="47"/>
      <c r="E266" s="47"/>
      <c r="F266" s="47"/>
      <c r="G266" s="47"/>
      <c r="H266" s="47"/>
      <c r="I266" s="47"/>
    </row>
    <row r="267">
      <c r="B267" s="47"/>
      <c r="C267" s="47"/>
      <c r="D267" s="47"/>
      <c r="E267" s="47"/>
      <c r="F267" s="47"/>
      <c r="G267" s="47"/>
      <c r="H267" s="47"/>
      <c r="I267" s="47"/>
    </row>
    <row r="268">
      <c r="B268" s="47"/>
      <c r="C268" s="47"/>
      <c r="D268" s="47"/>
      <c r="E268" s="47"/>
      <c r="F268" s="47"/>
      <c r="G268" s="47"/>
      <c r="H268" s="47"/>
      <c r="I268" s="47"/>
    </row>
    <row r="269">
      <c r="B269" s="47"/>
      <c r="C269" s="47"/>
      <c r="D269" s="47"/>
      <c r="E269" s="47"/>
      <c r="F269" s="47"/>
      <c r="G269" s="47"/>
      <c r="H269" s="47"/>
      <c r="I269" s="47"/>
    </row>
    <row r="270">
      <c r="B270" s="47"/>
      <c r="C270" s="47"/>
      <c r="D270" s="47"/>
      <c r="E270" s="47"/>
      <c r="F270" s="47"/>
      <c r="G270" s="47"/>
      <c r="H270" s="47"/>
      <c r="I270" s="47"/>
    </row>
    <row r="271">
      <c r="B271" s="47"/>
      <c r="C271" s="47"/>
      <c r="D271" s="47"/>
      <c r="E271" s="47"/>
      <c r="F271" s="47"/>
      <c r="G271" s="47"/>
      <c r="H271" s="47"/>
      <c r="I271" s="47"/>
    </row>
    <row r="272">
      <c r="B272" s="47"/>
      <c r="C272" s="47"/>
      <c r="D272" s="47"/>
      <c r="E272" s="47"/>
      <c r="F272" s="47"/>
      <c r="G272" s="47"/>
      <c r="H272" s="47"/>
      <c r="I272" s="47"/>
    </row>
    <row r="273">
      <c r="B273" s="47"/>
      <c r="C273" s="47"/>
      <c r="D273" s="47"/>
      <c r="E273" s="47"/>
      <c r="F273" s="47"/>
      <c r="G273" s="47"/>
      <c r="H273" s="47"/>
      <c r="I273" s="47"/>
    </row>
    <row r="274">
      <c r="B274" s="47"/>
      <c r="C274" s="47"/>
      <c r="D274" s="47"/>
      <c r="E274" s="47"/>
      <c r="F274" s="47"/>
      <c r="G274" s="47"/>
      <c r="H274" s="47"/>
      <c r="I274" s="47"/>
    </row>
    <row r="275">
      <c r="B275" s="47"/>
      <c r="C275" s="47"/>
      <c r="D275" s="47"/>
      <c r="E275" s="47"/>
      <c r="F275" s="47"/>
      <c r="G275" s="47"/>
      <c r="H275" s="47"/>
      <c r="I275" s="47"/>
    </row>
    <row r="276">
      <c r="B276" s="47"/>
      <c r="C276" s="47"/>
      <c r="D276" s="47"/>
      <c r="E276" s="47"/>
      <c r="F276" s="47"/>
      <c r="G276" s="47"/>
      <c r="H276" s="47"/>
      <c r="I276" s="47"/>
    </row>
    <row r="277">
      <c r="B277" s="47"/>
      <c r="C277" s="47"/>
      <c r="D277" s="47"/>
      <c r="E277" s="47"/>
      <c r="F277" s="47"/>
      <c r="G277" s="47"/>
      <c r="H277" s="47"/>
      <c r="I277" s="47"/>
    </row>
    <row r="278">
      <c r="B278" s="47"/>
      <c r="C278" s="47"/>
      <c r="D278" s="47"/>
      <c r="E278" s="47"/>
      <c r="F278" s="47"/>
      <c r="G278" s="47"/>
      <c r="H278" s="47"/>
      <c r="I278" s="47"/>
    </row>
    <row r="279">
      <c r="B279" s="47"/>
      <c r="C279" s="47"/>
      <c r="D279" s="47"/>
      <c r="E279" s="47"/>
      <c r="F279" s="47"/>
      <c r="G279" s="47"/>
      <c r="H279" s="47"/>
      <c r="I279" s="47"/>
    </row>
    <row r="280">
      <c r="B280" s="47"/>
      <c r="C280" s="47"/>
      <c r="D280" s="47"/>
      <c r="E280" s="47"/>
      <c r="F280" s="47"/>
      <c r="G280" s="47"/>
      <c r="H280" s="47"/>
      <c r="I280" s="47"/>
    </row>
    <row r="281">
      <c r="B281" s="47"/>
      <c r="C281" s="47"/>
      <c r="D281" s="47"/>
      <c r="E281" s="47"/>
      <c r="F281" s="47"/>
      <c r="G281" s="47"/>
      <c r="H281" s="47"/>
      <c r="I281" s="47"/>
    </row>
    <row r="282">
      <c r="B282" s="47"/>
      <c r="C282" s="47"/>
      <c r="D282" s="47"/>
      <c r="E282" s="47"/>
      <c r="F282" s="47"/>
      <c r="G282" s="47"/>
      <c r="H282" s="47"/>
      <c r="I282" s="47"/>
    </row>
    <row r="283">
      <c r="B283" s="47"/>
      <c r="C283" s="47"/>
      <c r="D283" s="47"/>
      <c r="E283" s="47"/>
      <c r="F283" s="47"/>
      <c r="G283" s="47"/>
      <c r="H283" s="47"/>
      <c r="I283" s="47"/>
    </row>
    <row r="284">
      <c r="B284" s="47"/>
      <c r="C284" s="47"/>
      <c r="D284" s="47"/>
      <c r="E284" s="47"/>
      <c r="F284" s="47"/>
      <c r="G284" s="47"/>
      <c r="H284" s="47"/>
      <c r="I284" s="47"/>
    </row>
    <row r="285">
      <c r="B285" s="47"/>
      <c r="C285" s="47"/>
      <c r="D285" s="47"/>
      <c r="E285" s="47"/>
      <c r="F285" s="47"/>
      <c r="G285" s="47"/>
      <c r="H285" s="47"/>
      <c r="I285" s="47"/>
    </row>
    <row r="286">
      <c r="B286" s="47"/>
      <c r="C286" s="47"/>
      <c r="D286" s="47"/>
      <c r="E286" s="47"/>
      <c r="F286" s="47"/>
      <c r="G286" s="47"/>
      <c r="H286" s="47"/>
      <c r="I286" s="47"/>
    </row>
    <row r="287">
      <c r="B287" s="47"/>
      <c r="C287" s="47"/>
      <c r="D287" s="47"/>
      <c r="E287" s="47"/>
      <c r="F287" s="47"/>
      <c r="G287" s="47"/>
      <c r="H287" s="47"/>
      <c r="I287" s="47"/>
    </row>
    <row r="288">
      <c r="B288" s="47"/>
      <c r="C288" s="47"/>
      <c r="D288" s="47"/>
      <c r="E288" s="47"/>
      <c r="F288" s="47"/>
      <c r="G288" s="47"/>
      <c r="H288" s="47"/>
      <c r="I288" s="47"/>
    </row>
    <row r="289">
      <c r="B289" s="47"/>
      <c r="C289" s="47"/>
      <c r="D289" s="47"/>
      <c r="E289" s="47"/>
      <c r="F289" s="47"/>
      <c r="G289" s="47"/>
      <c r="H289" s="47"/>
      <c r="I289" s="47"/>
    </row>
    <row r="290">
      <c r="B290" s="47"/>
      <c r="C290" s="47"/>
      <c r="D290" s="47"/>
      <c r="E290" s="47"/>
      <c r="F290" s="47"/>
      <c r="G290" s="47"/>
      <c r="H290" s="47"/>
      <c r="I290" s="47"/>
    </row>
    <row r="291">
      <c r="B291" s="47"/>
      <c r="C291" s="47"/>
      <c r="D291" s="47"/>
      <c r="E291" s="47"/>
      <c r="F291" s="47"/>
      <c r="G291" s="47"/>
      <c r="H291" s="47"/>
      <c r="I291" s="47"/>
    </row>
    <row r="292">
      <c r="B292" s="47"/>
      <c r="C292" s="47"/>
      <c r="D292" s="47"/>
      <c r="E292" s="47"/>
      <c r="F292" s="47"/>
      <c r="G292" s="47"/>
      <c r="H292" s="47"/>
      <c r="I292" s="47"/>
    </row>
    <row r="293">
      <c r="B293" s="47"/>
      <c r="C293" s="47"/>
      <c r="D293" s="47"/>
      <c r="E293" s="47"/>
      <c r="F293" s="47"/>
      <c r="G293" s="47"/>
      <c r="H293" s="47"/>
      <c r="I293" s="47"/>
    </row>
    <row r="294">
      <c r="B294" s="47"/>
      <c r="C294" s="47"/>
      <c r="D294" s="47"/>
      <c r="E294" s="47"/>
      <c r="F294" s="47"/>
      <c r="G294" s="47"/>
      <c r="H294" s="47"/>
      <c r="I294" s="47"/>
    </row>
    <row r="295">
      <c r="B295" s="47"/>
      <c r="C295" s="47"/>
      <c r="D295" s="47"/>
      <c r="E295" s="47"/>
      <c r="F295" s="47"/>
      <c r="G295" s="47"/>
      <c r="H295" s="47"/>
      <c r="I295" s="47"/>
    </row>
    <row r="296">
      <c r="B296" s="47"/>
      <c r="C296" s="47"/>
      <c r="D296" s="47"/>
      <c r="E296" s="47"/>
      <c r="F296" s="47"/>
      <c r="G296" s="47"/>
      <c r="H296" s="47"/>
      <c r="I296" s="47"/>
    </row>
    <row r="297">
      <c r="B297" s="47"/>
      <c r="C297" s="47"/>
      <c r="D297" s="47"/>
      <c r="E297" s="47"/>
      <c r="F297" s="47"/>
      <c r="G297" s="47"/>
      <c r="H297" s="47"/>
      <c r="I297" s="47"/>
    </row>
    <row r="298">
      <c r="B298" s="47"/>
      <c r="C298" s="47"/>
      <c r="D298" s="47"/>
      <c r="E298" s="47"/>
      <c r="F298" s="47"/>
      <c r="G298" s="47"/>
      <c r="H298" s="47"/>
      <c r="I298" s="47"/>
    </row>
    <row r="299">
      <c r="B299" s="47"/>
      <c r="C299" s="47"/>
      <c r="D299" s="47"/>
      <c r="E299" s="47"/>
      <c r="F299" s="47"/>
      <c r="G299" s="47"/>
      <c r="H299" s="47"/>
      <c r="I299" s="47"/>
    </row>
    <row r="300">
      <c r="B300" s="47"/>
      <c r="C300" s="47"/>
      <c r="D300" s="47"/>
      <c r="E300" s="47"/>
      <c r="F300" s="47"/>
      <c r="G300" s="47"/>
      <c r="H300" s="47"/>
      <c r="I300" s="47"/>
    </row>
    <row r="301">
      <c r="B301" s="47"/>
      <c r="C301" s="47"/>
      <c r="D301" s="47"/>
      <c r="E301" s="47"/>
      <c r="F301" s="47"/>
      <c r="G301" s="47"/>
      <c r="H301" s="47"/>
      <c r="I301" s="47"/>
    </row>
    <row r="302">
      <c r="B302" s="47"/>
      <c r="C302" s="47"/>
      <c r="D302" s="47"/>
      <c r="E302" s="47"/>
      <c r="F302" s="47"/>
      <c r="G302" s="47"/>
      <c r="H302" s="47"/>
      <c r="I302" s="47"/>
    </row>
    <row r="303">
      <c r="B303" s="47"/>
      <c r="C303" s="47"/>
      <c r="D303" s="47"/>
      <c r="E303" s="47"/>
      <c r="F303" s="47"/>
      <c r="G303" s="47"/>
      <c r="H303" s="47"/>
      <c r="I303" s="47"/>
    </row>
    <row r="304">
      <c r="B304" s="47"/>
      <c r="C304" s="47"/>
      <c r="D304" s="47"/>
      <c r="E304" s="47"/>
      <c r="F304" s="47"/>
      <c r="G304" s="47"/>
      <c r="H304" s="47"/>
      <c r="I304" s="47"/>
    </row>
    <row r="305">
      <c r="B305" s="47"/>
      <c r="C305" s="47"/>
      <c r="D305" s="47"/>
      <c r="E305" s="47"/>
      <c r="F305" s="47"/>
      <c r="G305" s="47"/>
      <c r="H305" s="47"/>
      <c r="I305" s="47"/>
    </row>
    <row r="306">
      <c r="B306" s="47"/>
      <c r="C306" s="47"/>
      <c r="D306" s="47"/>
      <c r="E306" s="47"/>
      <c r="F306" s="47"/>
      <c r="G306" s="47"/>
      <c r="H306" s="47"/>
      <c r="I306" s="47"/>
    </row>
    <row r="307">
      <c r="B307" s="47"/>
      <c r="C307" s="47"/>
      <c r="D307" s="47"/>
      <c r="E307" s="47"/>
      <c r="F307" s="47"/>
      <c r="G307" s="47"/>
      <c r="H307" s="47"/>
      <c r="I307" s="47"/>
    </row>
    <row r="308">
      <c r="B308" s="47"/>
      <c r="C308" s="47"/>
      <c r="D308" s="47"/>
      <c r="E308" s="47"/>
      <c r="F308" s="47"/>
      <c r="G308" s="47"/>
      <c r="H308" s="47"/>
      <c r="I308" s="47"/>
    </row>
    <row r="309">
      <c r="B309" s="47"/>
      <c r="C309" s="47"/>
      <c r="D309" s="47"/>
      <c r="E309" s="47"/>
      <c r="F309" s="47"/>
      <c r="G309" s="47"/>
      <c r="H309" s="47"/>
      <c r="I309" s="47"/>
    </row>
    <row r="310">
      <c r="B310" s="47"/>
      <c r="C310" s="47"/>
      <c r="D310" s="47"/>
      <c r="E310" s="47"/>
      <c r="F310" s="47"/>
      <c r="G310" s="47"/>
      <c r="H310" s="47"/>
      <c r="I310" s="47"/>
    </row>
    <row r="311">
      <c r="B311" s="47"/>
      <c r="C311" s="47"/>
      <c r="D311" s="47"/>
      <c r="E311" s="47"/>
      <c r="F311" s="47"/>
      <c r="G311" s="47"/>
      <c r="H311" s="47"/>
      <c r="I311" s="47"/>
    </row>
    <row r="312">
      <c r="B312" s="47"/>
      <c r="C312" s="47"/>
      <c r="D312" s="47"/>
      <c r="E312" s="47"/>
      <c r="F312" s="47"/>
      <c r="G312" s="47"/>
      <c r="H312" s="47"/>
      <c r="I312" s="47"/>
    </row>
    <row r="313">
      <c r="B313" s="47"/>
      <c r="C313" s="47"/>
      <c r="D313" s="47"/>
      <c r="E313" s="47"/>
      <c r="F313" s="47"/>
      <c r="G313" s="47"/>
      <c r="H313" s="47"/>
      <c r="I313" s="47"/>
    </row>
    <row r="314">
      <c r="B314" s="47"/>
      <c r="C314" s="47"/>
      <c r="D314" s="47"/>
      <c r="E314" s="47"/>
      <c r="F314" s="47"/>
      <c r="G314" s="47"/>
      <c r="H314" s="47"/>
      <c r="I314" s="47"/>
    </row>
    <row r="315">
      <c r="B315" s="47"/>
      <c r="C315" s="47"/>
      <c r="D315" s="47"/>
      <c r="E315" s="47"/>
      <c r="F315" s="47"/>
      <c r="G315" s="47"/>
      <c r="H315" s="47"/>
      <c r="I315" s="47"/>
    </row>
    <row r="316">
      <c r="B316" s="47"/>
      <c r="C316" s="47"/>
      <c r="D316" s="47"/>
      <c r="E316" s="47"/>
      <c r="F316" s="47"/>
      <c r="G316" s="47"/>
      <c r="H316" s="47"/>
      <c r="I316" s="47"/>
    </row>
    <row r="317">
      <c r="B317" s="47"/>
      <c r="C317" s="47"/>
      <c r="D317" s="47"/>
      <c r="E317" s="47"/>
      <c r="F317" s="47"/>
      <c r="G317" s="47"/>
      <c r="H317" s="47"/>
      <c r="I317" s="47"/>
    </row>
    <row r="318">
      <c r="B318" s="47"/>
      <c r="C318" s="47"/>
      <c r="D318" s="47"/>
      <c r="E318" s="47"/>
      <c r="F318" s="47"/>
      <c r="G318" s="47"/>
      <c r="H318" s="47"/>
      <c r="I318" s="47"/>
    </row>
    <row r="319">
      <c r="B319" s="47"/>
      <c r="C319" s="47"/>
      <c r="D319" s="47"/>
      <c r="E319" s="47"/>
      <c r="F319" s="47"/>
      <c r="G319" s="47"/>
      <c r="H319" s="47"/>
      <c r="I319" s="47"/>
    </row>
    <row r="320">
      <c r="B320" s="47"/>
      <c r="C320" s="47"/>
      <c r="D320" s="47"/>
      <c r="E320" s="47"/>
      <c r="F320" s="47"/>
      <c r="G320" s="47"/>
      <c r="H320" s="47"/>
      <c r="I320" s="47"/>
    </row>
    <row r="321">
      <c r="B321" s="47"/>
      <c r="C321" s="47"/>
      <c r="D321" s="47"/>
      <c r="E321" s="47"/>
      <c r="F321" s="47"/>
      <c r="G321" s="47"/>
      <c r="H321" s="47"/>
      <c r="I321" s="47"/>
    </row>
    <row r="322">
      <c r="B322" s="47"/>
      <c r="C322" s="47"/>
      <c r="D322" s="47"/>
      <c r="E322" s="47"/>
      <c r="F322" s="47"/>
      <c r="G322" s="47"/>
      <c r="H322" s="47"/>
      <c r="I322" s="47"/>
    </row>
    <row r="323">
      <c r="B323" s="47"/>
      <c r="C323" s="47"/>
      <c r="D323" s="47"/>
      <c r="E323" s="47"/>
      <c r="F323" s="47"/>
      <c r="G323" s="47"/>
      <c r="H323" s="47"/>
      <c r="I323" s="47"/>
    </row>
    <row r="324">
      <c r="B324" s="47"/>
      <c r="C324" s="47"/>
      <c r="D324" s="47"/>
      <c r="E324" s="47"/>
      <c r="F324" s="47"/>
      <c r="G324" s="47"/>
      <c r="H324" s="47"/>
      <c r="I324" s="47"/>
    </row>
    <row r="325">
      <c r="B325" s="47"/>
      <c r="C325" s="47"/>
      <c r="D325" s="47"/>
      <c r="E325" s="47"/>
      <c r="F325" s="47"/>
      <c r="G325" s="47"/>
      <c r="H325" s="47"/>
      <c r="I325" s="47"/>
    </row>
    <row r="326">
      <c r="B326" s="47"/>
      <c r="C326" s="47"/>
      <c r="D326" s="47"/>
      <c r="E326" s="47"/>
      <c r="F326" s="47"/>
      <c r="G326" s="47"/>
      <c r="H326" s="47"/>
      <c r="I326" s="47"/>
    </row>
    <row r="327">
      <c r="B327" s="47"/>
      <c r="C327" s="47"/>
      <c r="D327" s="47"/>
      <c r="E327" s="47"/>
      <c r="F327" s="47"/>
      <c r="G327" s="47"/>
      <c r="H327" s="47"/>
      <c r="I327" s="47"/>
    </row>
    <row r="328">
      <c r="B328" s="47"/>
      <c r="C328" s="47"/>
      <c r="D328" s="47"/>
      <c r="E328" s="47"/>
      <c r="F328" s="47"/>
      <c r="G328" s="47"/>
      <c r="H328" s="47"/>
      <c r="I328" s="47"/>
    </row>
    <row r="329">
      <c r="B329" s="47"/>
      <c r="C329" s="47"/>
      <c r="D329" s="47"/>
      <c r="E329" s="47"/>
      <c r="F329" s="47"/>
      <c r="G329" s="47"/>
      <c r="H329" s="47"/>
      <c r="I329" s="47"/>
    </row>
    <row r="330">
      <c r="B330" s="47"/>
      <c r="C330" s="47"/>
      <c r="D330" s="47"/>
      <c r="E330" s="47"/>
      <c r="F330" s="47"/>
      <c r="G330" s="47"/>
      <c r="H330" s="47"/>
      <c r="I330" s="47"/>
    </row>
    <row r="331">
      <c r="B331" s="47"/>
      <c r="C331" s="47"/>
      <c r="D331" s="47"/>
      <c r="E331" s="47"/>
      <c r="F331" s="47"/>
      <c r="G331" s="47"/>
      <c r="H331" s="47"/>
      <c r="I331" s="47"/>
    </row>
    <row r="332">
      <c r="B332" s="47"/>
      <c r="C332" s="47"/>
      <c r="D332" s="47"/>
      <c r="E332" s="47"/>
      <c r="F332" s="47"/>
      <c r="G332" s="47"/>
      <c r="H332" s="47"/>
      <c r="I332" s="47"/>
    </row>
    <row r="333">
      <c r="B333" s="47"/>
      <c r="C333" s="47"/>
      <c r="D333" s="47"/>
      <c r="E333" s="47"/>
      <c r="F333" s="47"/>
      <c r="G333" s="47"/>
      <c r="H333" s="47"/>
      <c r="I333" s="47"/>
    </row>
    <row r="334">
      <c r="B334" s="47"/>
      <c r="C334" s="47"/>
      <c r="D334" s="47"/>
      <c r="E334" s="47"/>
      <c r="F334" s="47"/>
      <c r="G334" s="47"/>
      <c r="H334" s="47"/>
      <c r="I334" s="47"/>
    </row>
    <row r="335">
      <c r="B335" s="47"/>
      <c r="C335" s="47"/>
      <c r="D335" s="47"/>
      <c r="E335" s="47"/>
      <c r="F335" s="47"/>
      <c r="G335" s="47"/>
      <c r="H335" s="47"/>
      <c r="I335" s="47"/>
    </row>
    <row r="336">
      <c r="B336" s="47"/>
      <c r="C336" s="47"/>
      <c r="D336" s="47"/>
      <c r="E336" s="47"/>
      <c r="F336" s="47"/>
      <c r="G336" s="47"/>
      <c r="H336" s="47"/>
      <c r="I336" s="47"/>
    </row>
    <row r="337">
      <c r="B337" s="47"/>
      <c r="C337" s="47"/>
      <c r="D337" s="47"/>
      <c r="E337" s="47"/>
      <c r="F337" s="47"/>
      <c r="G337" s="47"/>
      <c r="H337" s="47"/>
      <c r="I337" s="47"/>
    </row>
    <row r="338">
      <c r="B338" s="47"/>
      <c r="C338" s="47"/>
      <c r="D338" s="47"/>
      <c r="E338" s="47"/>
      <c r="F338" s="47"/>
      <c r="G338" s="47"/>
      <c r="H338" s="47"/>
      <c r="I338" s="47"/>
    </row>
    <row r="339">
      <c r="B339" s="47"/>
      <c r="C339" s="47"/>
      <c r="D339" s="47"/>
      <c r="E339" s="47"/>
      <c r="F339" s="47"/>
      <c r="G339" s="47"/>
      <c r="H339" s="47"/>
      <c r="I339" s="47"/>
    </row>
    <row r="340">
      <c r="B340" s="47"/>
      <c r="C340" s="47"/>
      <c r="D340" s="47"/>
      <c r="E340" s="47"/>
      <c r="F340" s="47"/>
      <c r="G340" s="47"/>
      <c r="H340" s="47"/>
      <c r="I340" s="47"/>
    </row>
    <row r="341">
      <c r="B341" s="47"/>
      <c r="C341" s="47"/>
      <c r="D341" s="47"/>
      <c r="E341" s="47"/>
      <c r="F341" s="47"/>
      <c r="G341" s="47"/>
      <c r="H341" s="47"/>
      <c r="I341" s="47"/>
    </row>
    <row r="342">
      <c r="B342" s="47"/>
      <c r="C342" s="47"/>
      <c r="D342" s="47"/>
      <c r="E342" s="47"/>
      <c r="F342" s="47"/>
      <c r="G342" s="47"/>
      <c r="H342" s="47"/>
      <c r="I342" s="47"/>
    </row>
    <row r="343">
      <c r="B343" s="47"/>
      <c r="C343" s="47"/>
      <c r="D343" s="47"/>
      <c r="E343" s="47"/>
      <c r="F343" s="47"/>
      <c r="G343" s="47"/>
      <c r="H343" s="47"/>
      <c r="I343" s="47"/>
    </row>
    <row r="344">
      <c r="B344" s="47"/>
      <c r="C344" s="47"/>
      <c r="D344" s="47"/>
      <c r="E344" s="47"/>
      <c r="F344" s="47"/>
      <c r="G344" s="47"/>
      <c r="H344" s="47"/>
      <c r="I344" s="47"/>
    </row>
    <row r="345">
      <c r="B345" s="47"/>
      <c r="C345" s="47"/>
      <c r="D345" s="47"/>
      <c r="E345" s="47"/>
      <c r="F345" s="47"/>
      <c r="G345" s="47"/>
      <c r="H345" s="47"/>
      <c r="I345" s="47"/>
    </row>
    <row r="346">
      <c r="B346" s="47"/>
      <c r="C346" s="47"/>
      <c r="D346" s="47"/>
      <c r="E346" s="47"/>
      <c r="F346" s="47"/>
      <c r="G346" s="47"/>
      <c r="H346" s="47"/>
      <c r="I346" s="47"/>
    </row>
    <row r="347">
      <c r="B347" s="47"/>
      <c r="C347" s="47"/>
      <c r="D347" s="47"/>
      <c r="E347" s="47"/>
      <c r="F347" s="47"/>
      <c r="G347" s="47"/>
      <c r="H347" s="47"/>
      <c r="I347" s="47"/>
    </row>
    <row r="348">
      <c r="B348" s="47"/>
      <c r="C348" s="47"/>
      <c r="D348" s="47"/>
      <c r="E348" s="47"/>
      <c r="F348" s="47"/>
      <c r="G348" s="47"/>
      <c r="H348" s="47"/>
      <c r="I348" s="47"/>
    </row>
    <row r="349">
      <c r="B349" s="47"/>
      <c r="C349" s="47"/>
      <c r="D349" s="47"/>
      <c r="E349" s="47"/>
      <c r="F349" s="47"/>
      <c r="G349" s="47"/>
      <c r="H349" s="47"/>
      <c r="I349" s="47"/>
    </row>
    <row r="350">
      <c r="B350" s="47"/>
      <c r="C350" s="47"/>
      <c r="D350" s="47"/>
      <c r="E350" s="47"/>
      <c r="F350" s="47"/>
      <c r="G350" s="47"/>
      <c r="H350" s="47"/>
      <c r="I350" s="47"/>
    </row>
    <row r="351">
      <c r="B351" s="47"/>
      <c r="C351" s="47"/>
      <c r="D351" s="47"/>
      <c r="E351" s="47"/>
      <c r="F351" s="47"/>
      <c r="G351" s="47"/>
      <c r="H351" s="47"/>
      <c r="I351" s="47"/>
    </row>
    <row r="352">
      <c r="B352" s="47"/>
      <c r="C352" s="47"/>
      <c r="D352" s="47"/>
      <c r="E352" s="47"/>
      <c r="F352" s="47"/>
      <c r="G352" s="47"/>
      <c r="H352" s="47"/>
      <c r="I352" s="47"/>
    </row>
    <row r="353">
      <c r="B353" s="47"/>
      <c r="C353" s="47"/>
      <c r="D353" s="47"/>
      <c r="E353" s="47"/>
      <c r="F353" s="47"/>
      <c r="G353" s="47"/>
      <c r="H353" s="47"/>
      <c r="I353" s="47"/>
    </row>
    <row r="354">
      <c r="B354" s="47"/>
      <c r="C354" s="47"/>
      <c r="D354" s="47"/>
      <c r="E354" s="47"/>
      <c r="F354" s="47"/>
      <c r="G354" s="47"/>
      <c r="H354" s="47"/>
      <c r="I354" s="47"/>
    </row>
    <row r="355">
      <c r="B355" s="47"/>
      <c r="C355" s="47"/>
      <c r="D355" s="47"/>
      <c r="E355" s="47"/>
      <c r="F355" s="47"/>
      <c r="G355" s="47"/>
      <c r="H355" s="47"/>
      <c r="I355" s="47"/>
    </row>
    <row r="356">
      <c r="B356" s="47"/>
      <c r="C356" s="47"/>
      <c r="D356" s="47"/>
      <c r="E356" s="47"/>
      <c r="F356" s="47"/>
      <c r="G356" s="47"/>
      <c r="H356" s="47"/>
      <c r="I356" s="47"/>
    </row>
    <row r="357">
      <c r="B357" s="47"/>
      <c r="C357" s="47"/>
      <c r="D357" s="47"/>
      <c r="E357" s="47"/>
      <c r="F357" s="47"/>
      <c r="G357" s="47"/>
      <c r="H357" s="47"/>
      <c r="I357" s="47"/>
    </row>
    <row r="358">
      <c r="B358" s="47"/>
      <c r="C358" s="47"/>
      <c r="D358" s="47"/>
      <c r="E358" s="47"/>
      <c r="F358" s="47"/>
      <c r="G358" s="47"/>
      <c r="H358" s="47"/>
      <c r="I358" s="47"/>
    </row>
    <row r="359">
      <c r="B359" s="47"/>
      <c r="C359" s="47"/>
      <c r="D359" s="47"/>
      <c r="E359" s="47"/>
      <c r="F359" s="47"/>
      <c r="G359" s="47"/>
      <c r="H359" s="47"/>
      <c r="I359" s="47"/>
    </row>
    <row r="360">
      <c r="B360" s="47"/>
      <c r="C360" s="47"/>
      <c r="D360" s="47"/>
      <c r="E360" s="47"/>
      <c r="F360" s="47"/>
      <c r="G360" s="47"/>
      <c r="H360" s="47"/>
      <c r="I360" s="47"/>
    </row>
    <row r="361">
      <c r="B361" s="47"/>
      <c r="C361" s="47"/>
      <c r="D361" s="47"/>
      <c r="E361" s="47"/>
      <c r="F361" s="47"/>
      <c r="G361" s="47"/>
      <c r="H361" s="47"/>
      <c r="I361" s="47"/>
    </row>
    <row r="362">
      <c r="B362" s="47"/>
      <c r="C362" s="47"/>
      <c r="D362" s="47"/>
      <c r="E362" s="47"/>
      <c r="F362" s="47"/>
      <c r="G362" s="47"/>
      <c r="H362" s="47"/>
      <c r="I362" s="47"/>
    </row>
    <row r="363">
      <c r="B363" s="47"/>
      <c r="C363" s="47"/>
      <c r="D363" s="47"/>
      <c r="E363" s="47"/>
      <c r="F363" s="47"/>
      <c r="G363" s="47"/>
      <c r="H363" s="47"/>
      <c r="I363" s="47"/>
    </row>
    <row r="364">
      <c r="B364" s="47"/>
      <c r="C364" s="47"/>
      <c r="D364" s="47"/>
      <c r="E364" s="47"/>
      <c r="F364" s="47"/>
      <c r="G364" s="47"/>
      <c r="H364" s="47"/>
      <c r="I364" s="47"/>
    </row>
    <row r="365">
      <c r="B365" s="47"/>
      <c r="C365" s="47"/>
      <c r="D365" s="47"/>
      <c r="E365" s="47"/>
      <c r="F365" s="47"/>
      <c r="G365" s="47"/>
      <c r="H365" s="47"/>
      <c r="I365" s="47"/>
    </row>
    <row r="366">
      <c r="B366" s="47"/>
      <c r="C366" s="47"/>
      <c r="D366" s="47"/>
      <c r="E366" s="47"/>
      <c r="F366" s="47"/>
      <c r="G366" s="47"/>
      <c r="H366" s="47"/>
      <c r="I366" s="47"/>
    </row>
    <row r="367">
      <c r="B367" s="47"/>
      <c r="C367" s="47"/>
      <c r="D367" s="47"/>
      <c r="E367" s="47"/>
      <c r="F367" s="47"/>
      <c r="G367" s="47"/>
      <c r="H367" s="47"/>
      <c r="I367" s="47"/>
    </row>
    <row r="368">
      <c r="B368" s="47"/>
      <c r="C368" s="47"/>
      <c r="D368" s="47"/>
      <c r="E368" s="47"/>
      <c r="F368" s="47"/>
      <c r="G368" s="47"/>
      <c r="H368" s="47"/>
      <c r="I368" s="47"/>
    </row>
    <row r="369">
      <c r="B369" s="47"/>
      <c r="C369" s="47"/>
      <c r="D369" s="47"/>
      <c r="E369" s="47"/>
      <c r="F369" s="47"/>
      <c r="G369" s="47"/>
      <c r="H369" s="47"/>
      <c r="I369" s="47"/>
    </row>
    <row r="370">
      <c r="B370" s="47"/>
      <c r="C370" s="47"/>
      <c r="D370" s="47"/>
      <c r="E370" s="47"/>
      <c r="F370" s="47"/>
      <c r="G370" s="47"/>
      <c r="H370" s="47"/>
      <c r="I370" s="47"/>
    </row>
    <row r="371">
      <c r="B371" s="47"/>
      <c r="C371" s="47"/>
      <c r="D371" s="47"/>
      <c r="E371" s="47"/>
      <c r="F371" s="47"/>
      <c r="G371" s="47"/>
      <c r="H371" s="47"/>
      <c r="I371" s="47"/>
    </row>
    <row r="372">
      <c r="B372" s="47"/>
      <c r="C372" s="47"/>
      <c r="D372" s="47"/>
      <c r="E372" s="47"/>
      <c r="F372" s="47"/>
      <c r="G372" s="47"/>
      <c r="H372" s="47"/>
      <c r="I372" s="47"/>
    </row>
    <row r="373">
      <c r="B373" s="47"/>
      <c r="C373" s="47"/>
      <c r="D373" s="47"/>
      <c r="E373" s="47"/>
      <c r="F373" s="47"/>
      <c r="G373" s="47"/>
      <c r="H373" s="47"/>
      <c r="I373" s="47"/>
    </row>
    <row r="374">
      <c r="B374" s="47"/>
      <c r="C374" s="47"/>
      <c r="D374" s="47"/>
      <c r="E374" s="47"/>
      <c r="F374" s="47"/>
      <c r="G374" s="47"/>
      <c r="H374" s="47"/>
      <c r="I374" s="47"/>
    </row>
    <row r="375">
      <c r="B375" s="47"/>
      <c r="C375" s="47"/>
      <c r="D375" s="47"/>
      <c r="E375" s="47"/>
      <c r="F375" s="47"/>
      <c r="G375" s="47"/>
      <c r="H375" s="47"/>
      <c r="I375" s="47"/>
    </row>
    <row r="376">
      <c r="B376" s="47"/>
      <c r="C376" s="47"/>
      <c r="D376" s="47"/>
      <c r="E376" s="47"/>
      <c r="F376" s="47"/>
      <c r="G376" s="47"/>
      <c r="H376" s="47"/>
      <c r="I376" s="47"/>
    </row>
    <row r="377">
      <c r="B377" s="47"/>
      <c r="C377" s="47"/>
      <c r="D377" s="47"/>
      <c r="E377" s="47"/>
      <c r="F377" s="47"/>
      <c r="G377" s="47"/>
      <c r="H377" s="47"/>
      <c r="I377" s="47"/>
    </row>
    <row r="378">
      <c r="B378" s="47"/>
      <c r="C378" s="47"/>
      <c r="D378" s="47"/>
      <c r="E378" s="47"/>
      <c r="F378" s="47"/>
      <c r="G378" s="47"/>
      <c r="H378" s="47"/>
      <c r="I378" s="47"/>
    </row>
    <row r="379">
      <c r="B379" s="47"/>
      <c r="C379" s="47"/>
      <c r="D379" s="47"/>
      <c r="E379" s="47"/>
      <c r="F379" s="47"/>
      <c r="G379" s="47"/>
      <c r="H379" s="47"/>
      <c r="I379" s="47"/>
    </row>
    <row r="380">
      <c r="B380" s="47"/>
      <c r="C380" s="47"/>
      <c r="D380" s="47"/>
      <c r="E380" s="47"/>
      <c r="F380" s="47"/>
      <c r="G380" s="47"/>
      <c r="H380" s="47"/>
      <c r="I380" s="47"/>
    </row>
    <row r="381">
      <c r="B381" s="47"/>
      <c r="C381" s="47"/>
      <c r="D381" s="47"/>
      <c r="E381" s="47"/>
      <c r="F381" s="47"/>
      <c r="G381" s="47"/>
      <c r="H381" s="47"/>
      <c r="I381" s="47"/>
    </row>
    <row r="382">
      <c r="B382" s="47"/>
      <c r="C382" s="47"/>
      <c r="D382" s="47"/>
      <c r="E382" s="47"/>
      <c r="F382" s="47"/>
      <c r="G382" s="47"/>
      <c r="H382" s="47"/>
      <c r="I382" s="47"/>
    </row>
    <row r="383">
      <c r="B383" s="47"/>
      <c r="C383" s="47"/>
      <c r="D383" s="47"/>
      <c r="E383" s="47"/>
      <c r="F383" s="47"/>
      <c r="G383" s="47"/>
      <c r="H383" s="47"/>
      <c r="I383" s="47"/>
    </row>
    <row r="384">
      <c r="B384" s="47"/>
      <c r="C384" s="47"/>
      <c r="D384" s="47"/>
      <c r="E384" s="47"/>
      <c r="F384" s="47"/>
      <c r="G384" s="47"/>
      <c r="H384" s="47"/>
      <c r="I384" s="47"/>
    </row>
    <row r="385">
      <c r="B385" s="47"/>
      <c r="C385" s="47"/>
      <c r="D385" s="47"/>
      <c r="E385" s="47"/>
      <c r="F385" s="47"/>
      <c r="G385" s="47"/>
      <c r="H385" s="47"/>
      <c r="I385" s="47"/>
    </row>
    <row r="386">
      <c r="B386" s="47"/>
      <c r="C386" s="47"/>
      <c r="D386" s="47"/>
      <c r="E386" s="47"/>
      <c r="F386" s="47"/>
      <c r="G386" s="47"/>
      <c r="H386" s="47"/>
      <c r="I386" s="47"/>
    </row>
    <row r="387">
      <c r="B387" s="47"/>
      <c r="C387" s="47"/>
      <c r="D387" s="47"/>
      <c r="E387" s="47"/>
      <c r="F387" s="47"/>
      <c r="G387" s="47"/>
      <c r="H387" s="47"/>
      <c r="I387" s="47"/>
    </row>
    <row r="388">
      <c r="B388" s="47"/>
      <c r="C388" s="47"/>
      <c r="D388" s="47"/>
      <c r="E388" s="47"/>
      <c r="F388" s="47"/>
      <c r="G388" s="47"/>
      <c r="H388" s="47"/>
      <c r="I388" s="47"/>
    </row>
    <row r="389">
      <c r="B389" s="47"/>
      <c r="C389" s="47"/>
      <c r="D389" s="47"/>
      <c r="E389" s="47"/>
      <c r="F389" s="47"/>
      <c r="G389" s="47"/>
      <c r="H389" s="47"/>
      <c r="I389" s="47"/>
    </row>
    <row r="390">
      <c r="B390" s="47"/>
      <c r="C390" s="47"/>
      <c r="D390" s="47"/>
      <c r="E390" s="47"/>
      <c r="F390" s="47"/>
      <c r="G390" s="47"/>
      <c r="H390" s="47"/>
      <c r="I390" s="47"/>
    </row>
    <row r="391">
      <c r="B391" s="47"/>
      <c r="C391" s="47"/>
      <c r="D391" s="47"/>
      <c r="E391" s="47"/>
      <c r="F391" s="47"/>
      <c r="G391" s="47"/>
      <c r="H391" s="47"/>
      <c r="I391" s="47"/>
    </row>
    <row r="392">
      <c r="B392" s="47"/>
      <c r="C392" s="47"/>
      <c r="D392" s="47"/>
      <c r="E392" s="47"/>
      <c r="F392" s="47"/>
      <c r="G392" s="47"/>
      <c r="H392" s="47"/>
      <c r="I392" s="47"/>
    </row>
    <row r="393">
      <c r="B393" s="47"/>
      <c r="C393" s="47"/>
      <c r="D393" s="47"/>
      <c r="E393" s="47"/>
      <c r="F393" s="47"/>
      <c r="G393" s="47"/>
      <c r="H393" s="47"/>
      <c r="I393" s="47"/>
    </row>
    <row r="394">
      <c r="B394" s="47"/>
      <c r="C394" s="47"/>
      <c r="D394" s="47"/>
      <c r="E394" s="47"/>
      <c r="F394" s="47"/>
      <c r="G394" s="47"/>
      <c r="H394" s="47"/>
      <c r="I394" s="47"/>
    </row>
    <row r="395">
      <c r="B395" s="47"/>
      <c r="C395" s="47"/>
      <c r="D395" s="47"/>
      <c r="E395" s="47"/>
      <c r="F395" s="47"/>
      <c r="G395" s="47"/>
      <c r="H395" s="47"/>
      <c r="I395" s="47"/>
    </row>
    <row r="396">
      <c r="B396" s="47"/>
      <c r="C396" s="47"/>
      <c r="D396" s="47"/>
      <c r="E396" s="47"/>
      <c r="F396" s="47"/>
      <c r="G396" s="47"/>
      <c r="H396" s="47"/>
      <c r="I396" s="47"/>
    </row>
    <row r="397">
      <c r="B397" s="47"/>
      <c r="C397" s="47"/>
      <c r="D397" s="47"/>
      <c r="E397" s="47"/>
      <c r="F397" s="47"/>
      <c r="G397" s="47"/>
      <c r="H397" s="47"/>
      <c r="I397" s="47"/>
    </row>
    <row r="398">
      <c r="B398" s="47"/>
      <c r="C398" s="47"/>
      <c r="D398" s="47"/>
      <c r="E398" s="47"/>
      <c r="F398" s="47"/>
      <c r="G398" s="47"/>
      <c r="H398" s="47"/>
      <c r="I398" s="47"/>
    </row>
    <row r="399">
      <c r="B399" s="47"/>
      <c r="C399" s="47"/>
      <c r="D399" s="47"/>
      <c r="E399" s="47"/>
      <c r="F399" s="47"/>
      <c r="G399" s="47"/>
      <c r="H399" s="47"/>
      <c r="I399" s="47"/>
    </row>
    <row r="400">
      <c r="B400" s="47"/>
      <c r="C400" s="47"/>
      <c r="D400" s="47"/>
      <c r="E400" s="47"/>
      <c r="F400" s="47"/>
      <c r="G400" s="47"/>
      <c r="H400" s="47"/>
      <c r="I400" s="47"/>
    </row>
    <row r="401">
      <c r="B401" s="47"/>
      <c r="C401" s="47"/>
      <c r="D401" s="47"/>
      <c r="E401" s="47"/>
      <c r="F401" s="47"/>
      <c r="G401" s="47"/>
      <c r="H401" s="47"/>
      <c r="I401" s="47"/>
    </row>
    <row r="402">
      <c r="B402" s="47"/>
      <c r="C402" s="47"/>
      <c r="D402" s="47"/>
      <c r="E402" s="47"/>
      <c r="F402" s="47"/>
      <c r="G402" s="47"/>
      <c r="H402" s="47"/>
      <c r="I402" s="47"/>
    </row>
    <row r="403">
      <c r="B403" s="47"/>
      <c r="C403" s="47"/>
      <c r="D403" s="47"/>
      <c r="E403" s="47"/>
      <c r="F403" s="47"/>
      <c r="G403" s="47"/>
      <c r="H403" s="47"/>
      <c r="I403" s="47"/>
    </row>
    <row r="404">
      <c r="B404" s="47"/>
      <c r="C404" s="47"/>
      <c r="D404" s="47"/>
      <c r="E404" s="47"/>
      <c r="F404" s="47"/>
      <c r="G404" s="47"/>
      <c r="H404" s="47"/>
      <c r="I404" s="47"/>
    </row>
    <row r="405">
      <c r="B405" s="47"/>
      <c r="C405" s="47"/>
      <c r="D405" s="47"/>
      <c r="E405" s="47"/>
      <c r="F405" s="47"/>
      <c r="G405" s="47"/>
      <c r="H405" s="47"/>
      <c r="I405" s="47"/>
    </row>
    <row r="406">
      <c r="B406" s="47"/>
      <c r="C406" s="47"/>
      <c r="D406" s="47"/>
      <c r="E406" s="47"/>
      <c r="F406" s="47"/>
      <c r="G406" s="47"/>
      <c r="H406" s="47"/>
      <c r="I406" s="47"/>
    </row>
    <row r="407">
      <c r="B407" s="47"/>
      <c r="C407" s="47"/>
      <c r="D407" s="47"/>
      <c r="E407" s="47"/>
      <c r="F407" s="47"/>
      <c r="G407" s="47"/>
      <c r="H407" s="47"/>
      <c r="I407" s="47"/>
    </row>
    <row r="408">
      <c r="B408" s="47"/>
      <c r="C408" s="47"/>
      <c r="D408" s="47"/>
      <c r="E408" s="47"/>
      <c r="F408" s="47"/>
      <c r="G408" s="47"/>
      <c r="H408" s="47"/>
      <c r="I408" s="47"/>
    </row>
    <row r="409">
      <c r="B409" s="47"/>
      <c r="C409" s="47"/>
      <c r="D409" s="47"/>
      <c r="E409" s="47"/>
      <c r="F409" s="47"/>
      <c r="G409" s="47"/>
      <c r="H409" s="47"/>
      <c r="I409" s="47"/>
    </row>
    <row r="410">
      <c r="B410" s="47"/>
      <c r="C410" s="47"/>
      <c r="D410" s="47"/>
      <c r="E410" s="47"/>
      <c r="F410" s="47"/>
      <c r="G410" s="47"/>
      <c r="H410" s="47"/>
      <c r="I410" s="47"/>
    </row>
    <row r="411">
      <c r="B411" s="47"/>
      <c r="C411" s="47"/>
      <c r="D411" s="47"/>
      <c r="E411" s="47"/>
      <c r="F411" s="47"/>
      <c r="G411" s="47"/>
      <c r="H411" s="47"/>
      <c r="I411" s="47"/>
    </row>
    <row r="412">
      <c r="B412" s="47"/>
      <c r="C412" s="47"/>
      <c r="D412" s="47"/>
      <c r="E412" s="47"/>
      <c r="F412" s="47"/>
      <c r="G412" s="47"/>
      <c r="H412" s="47"/>
      <c r="I412" s="47"/>
    </row>
    <row r="413">
      <c r="B413" s="47"/>
      <c r="C413" s="47"/>
      <c r="D413" s="47"/>
      <c r="E413" s="47"/>
      <c r="F413" s="47"/>
      <c r="G413" s="47"/>
      <c r="H413" s="47"/>
      <c r="I413" s="47"/>
    </row>
    <row r="414">
      <c r="B414" s="47"/>
      <c r="C414" s="47"/>
      <c r="D414" s="47"/>
      <c r="E414" s="47"/>
      <c r="F414" s="47"/>
      <c r="G414" s="47"/>
      <c r="H414" s="47"/>
      <c r="I414" s="47"/>
    </row>
    <row r="415">
      <c r="B415" s="47"/>
      <c r="C415" s="47"/>
      <c r="D415" s="47"/>
      <c r="E415" s="47"/>
      <c r="F415" s="47"/>
      <c r="G415" s="47"/>
      <c r="H415" s="47"/>
      <c r="I415" s="47"/>
    </row>
    <row r="416">
      <c r="B416" s="47"/>
      <c r="C416" s="47"/>
      <c r="D416" s="47"/>
      <c r="E416" s="47"/>
      <c r="F416" s="47"/>
      <c r="G416" s="47"/>
      <c r="H416" s="47"/>
      <c r="I416" s="47"/>
    </row>
    <row r="417">
      <c r="B417" s="47"/>
      <c r="C417" s="47"/>
      <c r="D417" s="47"/>
      <c r="E417" s="47"/>
      <c r="F417" s="47"/>
      <c r="G417" s="47"/>
      <c r="H417" s="47"/>
      <c r="I417" s="47"/>
    </row>
    <row r="418">
      <c r="B418" s="47"/>
      <c r="C418" s="47"/>
      <c r="D418" s="47"/>
      <c r="E418" s="47"/>
      <c r="F418" s="47"/>
      <c r="G418" s="47"/>
      <c r="H418" s="47"/>
      <c r="I418" s="47"/>
    </row>
    <row r="419">
      <c r="B419" s="47"/>
      <c r="C419" s="47"/>
      <c r="D419" s="47"/>
      <c r="E419" s="47"/>
      <c r="F419" s="47"/>
      <c r="G419" s="47"/>
      <c r="H419" s="47"/>
      <c r="I419" s="47"/>
    </row>
    <row r="420">
      <c r="B420" s="47"/>
      <c r="C420" s="47"/>
      <c r="D420" s="47"/>
      <c r="E420" s="47"/>
      <c r="F420" s="47"/>
      <c r="G420" s="47"/>
      <c r="H420" s="47"/>
      <c r="I420" s="47"/>
    </row>
    <row r="421">
      <c r="B421" s="47"/>
      <c r="C421" s="47"/>
      <c r="D421" s="47"/>
      <c r="E421" s="47"/>
      <c r="F421" s="47"/>
      <c r="G421" s="47"/>
      <c r="H421" s="47"/>
      <c r="I421" s="47"/>
    </row>
    <row r="422">
      <c r="B422" s="47"/>
      <c r="C422" s="47"/>
      <c r="D422" s="47"/>
      <c r="E422" s="47"/>
      <c r="F422" s="47"/>
      <c r="G422" s="47"/>
      <c r="H422" s="47"/>
      <c r="I422" s="47"/>
    </row>
    <row r="423">
      <c r="B423" s="47"/>
      <c r="C423" s="47"/>
      <c r="D423" s="47"/>
      <c r="E423" s="47"/>
      <c r="F423" s="47"/>
      <c r="G423" s="47"/>
      <c r="H423" s="47"/>
      <c r="I423" s="47"/>
    </row>
    <row r="424">
      <c r="B424" s="47"/>
      <c r="C424" s="47"/>
      <c r="D424" s="47"/>
      <c r="E424" s="47"/>
      <c r="F424" s="47"/>
      <c r="G424" s="47"/>
      <c r="H424" s="47"/>
      <c r="I424" s="47"/>
    </row>
    <row r="425">
      <c r="B425" s="47"/>
      <c r="C425" s="47"/>
      <c r="D425" s="47"/>
      <c r="E425" s="47"/>
      <c r="F425" s="47"/>
      <c r="G425" s="47"/>
      <c r="H425" s="47"/>
      <c r="I425" s="47"/>
    </row>
    <row r="426">
      <c r="B426" s="47"/>
      <c r="C426" s="47"/>
      <c r="D426" s="47"/>
      <c r="E426" s="47"/>
      <c r="F426" s="47"/>
      <c r="G426" s="47"/>
      <c r="H426" s="47"/>
      <c r="I426" s="47"/>
    </row>
    <row r="427">
      <c r="B427" s="47"/>
      <c r="C427" s="47"/>
      <c r="D427" s="47"/>
      <c r="E427" s="47"/>
      <c r="F427" s="47"/>
      <c r="G427" s="47"/>
      <c r="H427" s="47"/>
      <c r="I427" s="47"/>
    </row>
    <row r="428">
      <c r="B428" s="47"/>
      <c r="C428" s="47"/>
      <c r="D428" s="47"/>
      <c r="E428" s="47"/>
      <c r="F428" s="47"/>
      <c r="G428" s="47"/>
      <c r="H428" s="47"/>
      <c r="I428" s="47"/>
    </row>
    <row r="429">
      <c r="B429" s="47"/>
      <c r="C429" s="47"/>
      <c r="D429" s="47"/>
      <c r="E429" s="47"/>
      <c r="F429" s="47"/>
      <c r="G429" s="47"/>
      <c r="H429" s="47"/>
      <c r="I429" s="47"/>
    </row>
    <row r="430">
      <c r="B430" s="47"/>
      <c r="C430" s="47"/>
      <c r="D430" s="47"/>
      <c r="E430" s="47"/>
      <c r="F430" s="47"/>
      <c r="G430" s="47"/>
      <c r="H430" s="47"/>
      <c r="I430" s="47"/>
    </row>
    <row r="431">
      <c r="B431" s="47"/>
      <c r="C431" s="47"/>
      <c r="D431" s="47"/>
      <c r="E431" s="47"/>
      <c r="F431" s="47"/>
      <c r="G431" s="47"/>
      <c r="H431" s="47"/>
      <c r="I431" s="47"/>
    </row>
    <row r="432">
      <c r="B432" s="47"/>
      <c r="C432" s="47"/>
      <c r="D432" s="47"/>
      <c r="E432" s="47"/>
      <c r="F432" s="47"/>
      <c r="G432" s="47"/>
      <c r="H432" s="47"/>
      <c r="I432" s="47"/>
    </row>
    <row r="433">
      <c r="B433" s="47"/>
      <c r="C433" s="47"/>
      <c r="D433" s="47"/>
      <c r="E433" s="47"/>
      <c r="F433" s="47"/>
      <c r="G433" s="47"/>
      <c r="H433" s="47"/>
      <c r="I433" s="47"/>
    </row>
    <row r="434">
      <c r="B434" s="47"/>
      <c r="C434" s="47"/>
      <c r="D434" s="47"/>
      <c r="E434" s="47"/>
      <c r="F434" s="47"/>
      <c r="G434" s="47"/>
      <c r="H434" s="47"/>
      <c r="I434" s="47"/>
    </row>
    <row r="435">
      <c r="B435" s="47"/>
      <c r="C435" s="47"/>
      <c r="D435" s="47"/>
      <c r="E435" s="47"/>
      <c r="F435" s="47"/>
      <c r="G435" s="47"/>
      <c r="H435" s="47"/>
      <c r="I435" s="47"/>
    </row>
    <row r="436">
      <c r="B436" s="47"/>
      <c r="C436" s="47"/>
      <c r="D436" s="47"/>
      <c r="E436" s="47"/>
      <c r="F436" s="47"/>
      <c r="G436" s="47"/>
      <c r="H436" s="47"/>
      <c r="I436" s="47"/>
    </row>
    <row r="437">
      <c r="B437" s="47"/>
      <c r="C437" s="47"/>
      <c r="D437" s="47"/>
      <c r="E437" s="47"/>
      <c r="F437" s="47"/>
      <c r="G437" s="47"/>
      <c r="H437" s="47"/>
      <c r="I437" s="47"/>
    </row>
    <row r="438">
      <c r="B438" s="47"/>
      <c r="C438" s="47"/>
      <c r="D438" s="47"/>
      <c r="E438" s="47"/>
      <c r="F438" s="47"/>
      <c r="G438" s="47"/>
      <c r="H438" s="47"/>
      <c r="I438" s="47"/>
    </row>
    <row r="439">
      <c r="B439" s="47"/>
      <c r="C439" s="47"/>
      <c r="D439" s="47"/>
      <c r="E439" s="47"/>
      <c r="F439" s="47"/>
      <c r="G439" s="47"/>
      <c r="H439" s="47"/>
      <c r="I439" s="47"/>
    </row>
    <row r="440">
      <c r="B440" s="47"/>
      <c r="C440" s="47"/>
      <c r="D440" s="47"/>
      <c r="E440" s="47"/>
      <c r="F440" s="47"/>
      <c r="G440" s="47"/>
      <c r="H440" s="47"/>
      <c r="I440" s="47"/>
    </row>
    <row r="441">
      <c r="B441" s="47"/>
      <c r="C441" s="47"/>
      <c r="D441" s="47"/>
      <c r="E441" s="47"/>
      <c r="F441" s="47"/>
      <c r="G441" s="47"/>
      <c r="H441" s="47"/>
      <c r="I441" s="47"/>
    </row>
    <row r="442">
      <c r="B442" s="47"/>
      <c r="C442" s="47"/>
      <c r="D442" s="47"/>
      <c r="E442" s="47"/>
      <c r="F442" s="47"/>
      <c r="G442" s="47"/>
      <c r="H442" s="47"/>
      <c r="I442" s="47"/>
    </row>
    <row r="443">
      <c r="B443" s="47"/>
      <c r="C443" s="47"/>
      <c r="D443" s="47"/>
      <c r="E443" s="47"/>
      <c r="F443" s="47"/>
      <c r="G443" s="47"/>
      <c r="H443" s="47"/>
      <c r="I443" s="47"/>
    </row>
    <row r="444">
      <c r="B444" s="47"/>
      <c r="C444" s="47"/>
      <c r="D444" s="47"/>
      <c r="E444" s="47"/>
      <c r="F444" s="47"/>
      <c r="G444" s="47"/>
      <c r="H444" s="47"/>
      <c r="I444" s="47"/>
    </row>
    <row r="445">
      <c r="B445" s="47"/>
      <c r="C445" s="47"/>
      <c r="D445" s="47"/>
      <c r="E445" s="47"/>
      <c r="F445" s="47"/>
      <c r="G445" s="47"/>
      <c r="H445" s="47"/>
      <c r="I445" s="47"/>
    </row>
    <row r="446">
      <c r="B446" s="47"/>
      <c r="C446" s="47"/>
      <c r="D446" s="47"/>
      <c r="E446" s="47"/>
      <c r="F446" s="47"/>
      <c r="G446" s="47"/>
      <c r="H446" s="47"/>
      <c r="I446" s="47"/>
    </row>
    <row r="447">
      <c r="B447" s="47"/>
      <c r="C447" s="47"/>
      <c r="D447" s="47"/>
      <c r="E447" s="47"/>
      <c r="F447" s="47"/>
      <c r="G447" s="47"/>
      <c r="H447" s="47"/>
      <c r="I447" s="47"/>
    </row>
    <row r="448">
      <c r="B448" s="47"/>
      <c r="C448" s="47"/>
      <c r="D448" s="47"/>
      <c r="E448" s="47"/>
      <c r="F448" s="47"/>
      <c r="G448" s="47"/>
      <c r="H448" s="47"/>
      <c r="I448" s="47"/>
    </row>
    <row r="449">
      <c r="B449" s="47"/>
      <c r="C449" s="47"/>
      <c r="D449" s="47"/>
      <c r="E449" s="47"/>
      <c r="F449" s="47"/>
      <c r="G449" s="47"/>
      <c r="H449" s="47"/>
      <c r="I449" s="47"/>
    </row>
    <row r="450">
      <c r="B450" s="47"/>
      <c r="C450" s="47"/>
      <c r="D450" s="47"/>
      <c r="E450" s="47"/>
      <c r="F450" s="47"/>
      <c r="G450" s="47"/>
      <c r="H450" s="47"/>
      <c r="I450" s="47"/>
    </row>
    <row r="451">
      <c r="B451" s="47"/>
      <c r="C451" s="47"/>
      <c r="D451" s="47"/>
      <c r="E451" s="47"/>
      <c r="F451" s="47"/>
      <c r="G451" s="47"/>
      <c r="H451" s="47"/>
      <c r="I451" s="47"/>
    </row>
    <row r="452">
      <c r="B452" s="47"/>
      <c r="C452" s="47"/>
      <c r="D452" s="47"/>
      <c r="E452" s="47"/>
      <c r="F452" s="47"/>
      <c r="G452" s="47"/>
      <c r="H452" s="47"/>
      <c r="I452" s="47"/>
    </row>
    <row r="453">
      <c r="B453" s="47"/>
      <c r="C453" s="47"/>
      <c r="D453" s="47"/>
      <c r="E453" s="47"/>
      <c r="F453" s="47"/>
      <c r="G453" s="47"/>
      <c r="H453" s="47"/>
      <c r="I453" s="47"/>
    </row>
    <row r="454">
      <c r="B454" s="47"/>
      <c r="C454" s="47"/>
      <c r="D454" s="47"/>
      <c r="E454" s="47"/>
      <c r="F454" s="47"/>
      <c r="G454" s="47"/>
      <c r="H454" s="47"/>
      <c r="I454" s="47"/>
    </row>
    <row r="455">
      <c r="B455" s="47"/>
      <c r="C455" s="47"/>
      <c r="D455" s="47"/>
      <c r="E455" s="47"/>
      <c r="F455" s="47"/>
      <c r="G455" s="47"/>
      <c r="H455" s="47"/>
      <c r="I455" s="47"/>
    </row>
    <row r="456">
      <c r="B456" s="47"/>
      <c r="C456" s="47"/>
      <c r="D456" s="47"/>
      <c r="E456" s="47"/>
      <c r="F456" s="47"/>
      <c r="G456" s="47"/>
      <c r="H456" s="47"/>
      <c r="I456" s="47"/>
    </row>
    <row r="457">
      <c r="B457" s="47"/>
      <c r="C457" s="47"/>
      <c r="D457" s="47"/>
      <c r="E457" s="47"/>
      <c r="F457" s="47"/>
      <c r="G457" s="47"/>
      <c r="H457" s="47"/>
      <c r="I457" s="47"/>
    </row>
    <row r="458">
      <c r="B458" s="47"/>
      <c r="C458" s="47"/>
      <c r="D458" s="47"/>
      <c r="E458" s="47"/>
      <c r="F458" s="47"/>
      <c r="G458" s="47"/>
      <c r="H458" s="47"/>
      <c r="I458" s="47"/>
    </row>
    <row r="459">
      <c r="B459" s="47"/>
      <c r="C459" s="47"/>
      <c r="D459" s="47"/>
      <c r="E459" s="47"/>
      <c r="F459" s="47"/>
      <c r="G459" s="47"/>
      <c r="H459" s="47"/>
      <c r="I459" s="47"/>
    </row>
    <row r="460">
      <c r="B460" s="47"/>
      <c r="C460" s="47"/>
      <c r="D460" s="47"/>
      <c r="E460" s="47"/>
      <c r="F460" s="47"/>
      <c r="G460" s="47"/>
      <c r="H460" s="47"/>
      <c r="I460" s="47"/>
    </row>
    <row r="461">
      <c r="B461" s="47"/>
      <c r="C461" s="47"/>
      <c r="D461" s="47"/>
      <c r="E461" s="47"/>
      <c r="F461" s="47"/>
      <c r="G461" s="47"/>
      <c r="H461" s="47"/>
      <c r="I461" s="47"/>
    </row>
    <row r="462">
      <c r="B462" s="47"/>
      <c r="C462" s="47"/>
      <c r="D462" s="47"/>
      <c r="E462" s="47"/>
      <c r="F462" s="47"/>
      <c r="G462" s="47"/>
      <c r="H462" s="47"/>
      <c r="I462" s="47"/>
    </row>
    <row r="463">
      <c r="B463" s="47"/>
      <c r="C463" s="47"/>
      <c r="D463" s="47"/>
      <c r="E463" s="47"/>
      <c r="F463" s="47"/>
      <c r="G463" s="47"/>
      <c r="H463" s="47"/>
      <c r="I463" s="47"/>
    </row>
    <row r="464">
      <c r="B464" s="47"/>
      <c r="C464" s="47"/>
      <c r="D464" s="47"/>
      <c r="E464" s="47"/>
      <c r="F464" s="47"/>
      <c r="G464" s="47"/>
      <c r="H464" s="47"/>
      <c r="I464" s="47"/>
    </row>
    <row r="465">
      <c r="B465" s="47"/>
      <c r="C465" s="47"/>
      <c r="D465" s="47"/>
      <c r="E465" s="47"/>
      <c r="F465" s="47"/>
      <c r="G465" s="47"/>
      <c r="H465" s="47"/>
      <c r="I465" s="47"/>
    </row>
    <row r="466">
      <c r="B466" s="47"/>
      <c r="C466" s="47"/>
      <c r="D466" s="47"/>
      <c r="E466" s="47"/>
      <c r="F466" s="47"/>
      <c r="G466" s="47"/>
      <c r="H466" s="47"/>
      <c r="I466" s="47"/>
    </row>
    <row r="467">
      <c r="B467" s="47"/>
      <c r="C467" s="47"/>
      <c r="D467" s="47"/>
      <c r="E467" s="47"/>
      <c r="F467" s="47"/>
      <c r="G467" s="47"/>
      <c r="H467" s="47"/>
      <c r="I467" s="47"/>
    </row>
    <row r="468">
      <c r="B468" s="47"/>
      <c r="C468" s="47"/>
      <c r="D468" s="47"/>
      <c r="E468" s="47"/>
      <c r="F468" s="47"/>
      <c r="G468" s="47"/>
      <c r="H468" s="47"/>
      <c r="I468" s="47"/>
    </row>
    <row r="469">
      <c r="B469" s="47"/>
      <c r="C469" s="47"/>
      <c r="D469" s="47"/>
      <c r="E469" s="47"/>
      <c r="F469" s="47"/>
      <c r="G469" s="47"/>
      <c r="H469" s="47"/>
      <c r="I469" s="47"/>
    </row>
    <row r="470">
      <c r="B470" s="47"/>
      <c r="C470" s="47"/>
      <c r="D470" s="47"/>
      <c r="E470" s="47"/>
      <c r="F470" s="47"/>
      <c r="G470" s="47"/>
      <c r="H470" s="47"/>
      <c r="I470" s="47"/>
    </row>
    <row r="471">
      <c r="B471" s="47"/>
      <c r="C471" s="47"/>
      <c r="D471" s="47"/>
      <c r="E471" s="47"/>
      <c r="F471" s="47"/>
      <c r="G471" s="47"/>
      <c r="H471" s="47"/>
      <c r="I471" s="47"/>
    </row>
    <row r="472">
      <c r="B472" s="47"/>
      <c r="C472" s="47"/>
      <c r="D472" s="47"/>
      <c r="E472" s="47"/>
      <c r="F472" s="47"/>
      <c r="G472" s="47"/>
      <c r="H472" s="47"/>
      <c r="I472" s="47"/>
    </row>
    <row r="473">
      <c r="B473" s="47"/>
      <c r="C473" s="47"/>
      <c r="D473" s="47"/>
      <c r="E473" s="47"/>
      <c r="F473" s="47"/>
      <c r="G473" s="47"/>
      <c r="H473" s="47"/>
      <c r="I473" s="47"/>
    </row>
    <row r="474">
      <c r="B474" s="47"/>
      <c r="C474" s="47"/>
      <c r="D474" s="47"/>
      <c r="E474" s="47"/>
      <c r="F474" s="47"/>
      <c r="G474" s="47"/>
      <c r="H474" s="47"/>
      <c r="I474" s="47"/>
    </row>
    <row r="475">
      <c r="B475" s="47"/>
      <c r="C475" s="47"/>
      <c r="D475" s="47"/>
      <c r="E475" s="47"/>
      <c r="F475" s="47"/>
      <c r="G475" s="47"/>
      <c r="H475" s="47"/>
      <c r="I475" s="47"/>
    </row>
    <row r="476">
      <c r="B476" s="47"/>
      <c r="C476" s="47"/>
      <c r="D476" s="47"/>
      <c r="E476" s="47"/>
      <c r="F476" s="47"/>
      <c r="G476" s="47"/>
      <c r="H476" s="47"/>
      <c r="I476" s="47"/>
    </row>
    <row r="477">
      <c r="B477" s="47"/>
      <c r="C477" s="47"/>
      <c r="D477" s="47"/>
      <c r="E477" s="47"/>
      <c r="F477" s="47"/>
      <c r="G477" s="47"/>
      <c r="H477" s="47"/>
      <c r="I477" s="47"/>
    </row>
    <row r="478">
      <c r="B478" s="47"/>
      <c r="C478" s="47"/>
      <c r="D478" s="47"/>
      <c r="E478" s="47"/>
      <c r="F478" s="47"/>
      <c r="G478" s="47"/>
      <c r="H478" s="47"/>
      <c r="I478" s="47"/>
    </row>
    <row r="479">
      <c r="B479" s="47"/>
      <c r="C479" s="47"/>
      <c r="D479" s="47"/>
      <c r="E479" s="47"/>
      <c r="F479" s="47"/>
      <c r="G479" s="47"/>
      <c r="H479" s="47"/>
      <c r="I479" s="47"/>
    </row>
    <row r="480">
      <c r="B480" s="47"/>
      <c r="C480" s="47"/>
      <c r="D480" s="47"/>
      <c r="E480" s="47"/>
      <c r="F480" s="47"/>
      <c r="G480" s="47"/>
      <c r="H480" s="47"/>
      <c r="I480" s="47"/>
    </row>
    <row r="481">
      <c r="B481" s="47"/>
      <c r="C481" s="47"/>
      <c r="D481" s="47"/>
      <c r="E481" s="47"/>
      <c r="F481" s="47"/>
      <c r="G481" s="47"/>
      <c r="H481" s="47"/>
      <c r="I481" s="47"/>
    </row>
    <row r="482">
      <c r="B482" s="47"/>
      <c r="C482" s="47"/>
      <c r="D482" s="47"/>
      <c r="E482" s="47"/>
      <c r="F482" s="47"/>
      <c r="G482" s="47"/>
      <c r="H482" s="47"/>
      <c r="I482" s="47"/>
    </row>
    <row r="483">
      <c r="B483" s="47"/>
      <c r="C483" s="47"/>
      <c r="D483" s="47"/>
      <c r="E483" s="47"/>
      <c r="F483" s="47"/>
      <c r="G483" s="47"/>
      <c r="H483" s="47"/>
      <c r="I483" s="47"/>
    </row>
    <row r="484">
      <c r="B484" s="47"/>
      <c r="C484" s="47"/>
      <c r="D484" s="47"/>
      <c r="E484" s="47"/>
      <c r="F484" s="47"/>
      <c r="G484" s="47"/>
      <c r="H484" s="47"/>
      <c r="I484" s="47"/>
    </row>
    <row r="485">
      <c r="B485" s="47"/>
      <c r="C485" s="47"/>
      <c r="D485" s="47"/>
      <c r="E485" s="47"/>
      <c r="F485" s="47"/>
      <c r="G485" s="47"/>
      <c r="H485" s="47"/>
      <c r="I485" s="47"/>
    </row>
    <row r="486">
      <c r="B486" s="47"/>
      <c r="C486" s="47"/>
      <c r="D486" s="47"/>
      <c r="E486" s="47"/>
      <c r="F486" s="47"/>
      <c r="G486" s="47"/>
      <c r="H486" s="47"/>
      <c r="I486" s="47"/>
    </row>
    <row r="487">
      <c r="B487" s="47"/>
      <c r="C487" s="47"/>
      <c r="D487" s="47"/>
      <c r="E487" s="47"/>
      <c r="F487" s="47"/>
      <c r="G487" s="47"/>
      <c r="H487" s="47"/>
      <c r="I487" s="47"/>
    </row>
    <row r="488">
      <c r="B488" s="47"/>
      <c r="C488" s="47"/>
      <c r="D488" s="47"/>
      <c r="E488" s="47"/>
      <c r="F488" s="47"/>
      <c r="G488" s="47"/>
      <c r="H488" s="47"/>
      <c r="I488" s="47"/>
    </row>
    <row r="489">
      <c r="B489" s="47"/>
      <c r="C489" s="47"/>
      <c r="D489" s="47"/>
      <c r="E489" s="47"/>
      <c r="F489" s="47"/>
      <c r="G489" s="47"/>
      <c r="H489" s="47"/>
      <c r="I489" s="47"/>
    </row>
    <row r="490">
      <c r="B490" s="47"/>
      <c r="C490" s="47"/>
      <c r="D490" s="47"/>
      <c r="E490" s="47"/>
      <c r="F490" s="47"/>
      <c r="G490" s="47"/>
      <c r="H490" s="47"/>
      <c r="I490" s="47"/>
    </row>
    <row r="491">
      <c r="B491" s="47"/>
      <c r="C491" s="47"/>
      <c r="D491" s="47"/>
      <c r="E491" s="47"/>
      <c r="F491" s="47"/>
      <c r="G491" s="47"/>
      <c r="H491" s="47"/>
      <c r="I491" s="47"/>
    </row>
    <row r="492">
      <c r="B492" s="47"/>
      <c r="C492" s="47"/>
      <c r="D492" s="47"/>
      <c r="E492" s="47"/>
      <c r="F492" s="47"/>
      <c r="G492" s="47"/>
      <c r="H492" s="47"/>
      <c r="I492" s="47"/>
    </row>
    <row r="493">
      <c r="B493" s="47"/>
      <c r="C493" s="47"/>
      <c r="D493" s="47"/>
      <c r="E493" s="47"/>
      <c r="F493" s="47"/>
      <c r="G493" s="47"/>
      <c r="H493" s="47"/>
      <c r="I493" s="47"/>
    </row>
    <row r="494">
      <c r="B494" s="47"/>
      <c r="C494" s="47"/>
      <c r="D494" s="47"/>
      <c r="E494" s="47"/>
      <c r="F494" s="47"/>
      <c r="G494" s="47"/>
      <c r="H494" s="47"/>
      <c r="I494" s="47"/>
    </row>
    <row r="495">
      <c r="B495" s="47"/>
      <c r="C495" s="47"/>
      <c r="D495" s="47"/>
      <c r="E495" s="47"/>
      <c r="F495" s="47"/>
      <c r="G495" s="47"/>
      <c r="H495" s="47"/>
      <c r="I495" s="47"/>
    </row>
    <row r="496">
      <c r="B496" s="47"/>
      <c r="C496" s="47"/>
      <c r="D496" s="47"/>
      <c r="E496" s="47"/>
      <c r="F496" s="47"/>
      <c r="G496" s="47"/>
      <c r="H496" s="47"/>
      <c r="I496" s="47"/>
    </row>
    <row r="497">
      <c r="B497" s="47"/>
      <c r="C497" s="47"/>
      <c r="D497" s="47"/>
      <c r="E497" s="47"/>
      <c r="F497" s="47"/>
      <c r="G497" s="47"/>
      <c r="H497" s="47"/>
      <c r="I497" s="47"/>
    </row>
    <row r="498">
      <c r="B498" s="47"/>
      <c r="C498" s="47"/>
      <c r="D498" s="47"/>
      <c r="E498" s="47"/>
      <c r="F498" s="47"/>
      <c r="G498" s="47"/>
      <c r="H498" s="47"/>
      <c r="I498" s="47"/>
    </row>
    <row r="499">
      <c r="B499" s="47"/>
      <c r="C499" s="47"/>
      <c r="D499" s="47"/>
      <c r="E499" s="47"/>
      <c r="F499" s="47"/>
      <c r="G499" s="47"/>
      <c r="H499" s="47"/>
      <c r="I499" s="47"/>
    </row>
    <row r="500">
      <c r="B500" s="47"/>
      <c r="C500" s="47"/>
      <c r="D500" s="47"/>
      <c r="E500" s="47"/>
      <c r="F500" s="47"/>
      <c r="G500" s="47"/>
      <c r="H500" s="47"/>
      <c r="I500" s="47"/>
    </row>
    <row r="501">
      <c r="B501" s="47"/>
      <c r="C501" s="47"/>
      <c r="D501" s="47"/>
      <c r="E501" s="47"/>
      <c r="F501" s="47"/>
      <c r="G501" s="47"/>
      <c r="H501" s="47"/>
      <c r="I501" s="47"/>
    </row>
    <row r="502">
      <c r="B502" s="47"/>
      <c r="C502" s="47"/>
      <c r="D502" s="47"/>
      <c r="E502" s="47"/>
      <c r="F502" s="47"/>
      <c r="G502" s="47"/>
      <c r="H502" s="47"/>
      <c r="I502" s="47"/>
    </row>
    <row r="503">
      <c r="B503" s="47"/>
      <c r="C503" s="47"/>
      <c r="D503" s="47"/>
      <c r="E503" s="47"/>
      <c r="F503" s="47"/>
      <c r="G503" s="47"/>
      <c r="H503" s="47"/>
      <c r="I503" s="47"/>
    </row>
    <row r="504">
      <c r="B504" s="47"/>
      <c r="C504" s="47"/>
      <c r="D504" s="47"/>
      <c r="E504" s="47"/>
      <c r="F504" s="47"/>
      <c r="G504" s="47"/>
      <c r="H504" s="47"/>
      <c r="I504" s="47"/>
    </row>
    <row r="505">
      <c r="B505" s="47"/>
      <c r="C505" s="47"/>
      <c r="D505" s="47"/>
      <c r="E505" s="47"/>
      <c r="F505" s="47"/>
      <c r="G505" s="47"/>
      <c r="H505" s="47"/>
      <c r="I505" s="47"/>
    </row>
    <row r="506">
      <c r="B506" s="47"/>
      <c r="C506" s="47"/>
      <c r="D506" s="47"/>
      <c r="E506" s="47"/>
      <c r="F506" s="47"/>
      <c r="G506" s="47"/>
      <c r="H506" s="47"/>
      <c r="I506" s="47"/>
    </row>
    <row r="507">
      <c r="B507" s="47"/>
      <c r="C507" s="47"/>
      <c r="D507" s="47"/>
      <c r="E507" s="47"/>
      <c r="F507" s="47"/>
      <c r="G507" s="47"/>
      <c r="H507" s="47"/>
      <c r="I507" s="47"/>
    </row>
    <row r="508">
      <c r="B508" s="47"/>
      <c r="C508" s="47"/>
      <c r="D508" s="47"/>
      <c r="E508" s="47"/>
      <c r="F508" s="47"/>
      <c r="G508" s="47"/>
      <c r="H508" s="47"/>
      <c r="I508" s="47"/>
    </row>
    <row r="509">
      <c r="B509" s="47"/>
      <c r="C509" s="47"/>
      <c r="D509" s="47"/>
      <c r="E509" s="47"/>
      <c r="F509" s="47"/>
      <c r="G509" s="47"/>
      <c r="H509" s="47"/>
      <c r="I509" s="47"/>
    </row>
    <row r="510">
      <c r="B510" s="47"/>
      <c r="C510" s="47"/>
      <c r="D510" s="47"/>
      <c r="E510" s="47"/>
      <c r="F510" s="47"/>
      <c r="G510" s="47"/>
      <c r="H510" s="47"/>
      <c r="I510" s="47"/>
    </row>
    <row r="511">
      <c r="B511" s="47"/>
      <c r="C511" s="47"/>
      <c r="D511" s="47"/>
      <c r="E511" s="47"/>
      <c r="F511" s="47"/>
      <c r="G511" s="47"/>
      <c r="H511" s="47"/>
      <c r="I511" s="47"/>
    </row>
    <row r="512">
      <c r="B512" s="47"/>
      <c r="C512" s="47"/>
      <c r="D512" s="47"/>
      <c r="E512" s="47"/>
      <c r="F512" s="47"/>
      <c r="G512" s="47"/>
      <c r="H512" s="47"/>
      <c r="I512" s="47"/>
    </row>
    <row r="513">
      <c r="B513" s="47"/>
      <c r="C513" s="47"/>
      <c r="D513" s="47"/>
      <c r="E513" s="47"/>
      <c r="F513" s="47"/>
      <c r="G513" s="47"/>
      <c r="H513" s="47"/>
      <c r="I513" s="47"/>
    </row>
    <row r="514">
      <c r="B514" s="47"/>
      <c r="C514" s="47"/>
      <c r="D514" s="47"/>
      <c r="E514" s="47"/>
      <c r="F514" s="47"/>
      <c r="G514" s="47"/>
      <c r="H514" s="47"/>
      <c r="I514" s="47"/>
    </row>
    <row r="515">
      <c r="B515" s="47"/>
      <c r="C515" s="47"/>
      <c r="D515" s="47"/>
      <c r="E515" s="47"/>
      <c r="F515" s="47"/>
      <c r="G515" s="47"/>
      <c r="H515" s="47"/>
      <c r="I515" s="47"/>
    </row>
    <row r="516">
      <c r="B516" s="47"/>
      <c r="C516" s="47"/>
      <c r="D516" s="47"/>
      <c r="E516" s="47"/>
      <c r="F516" s="47"/>
      <c r="G516" s="47"/>
      <c r="H516" s="47"/>
      <c r="I516" s="47"/>
    </row>
    <row r="517">
      <c r="B517" s="47"/>
      <c r="C517" s="47"/>
      <c r="D517" s="47"/>
      <c r="E517" s="47"/>
      <c r="F517" s="47"/>
      <c r="G517" s="47"/>
      <c r="H517" s="47"/>
      <c r="I517" s="47"/>
    </row>
    <row r="518">
      <c r="B518" s="47"/>
      <c r="C518" s="47"/>
      <c r="D518" s="47"/>
      <c r="E518" s="47"/>
      <c r="F518" s="47"/>
      <c r="G518" s="47"/>
      <c r="H518" s="47"/>
      <c r="I518" s="47"/>
    </row>
    <row r="519">
      <c r="B519" s="47"/>
      <c r="C519" s="47"/>
      <c r="D519" s="47"/>
      <c r="E519" s="47"/>
      <c r="F519" s="47"/>
      <c r="G519" s="47"/>
      <c r="H519" s="47"/>
      <c r="I519" s="47"/>
    </row>
    <row r="520">
      <c r="B520" s="47"/>
      <c r="C520" s="47"/>
      <c r="D520" s="47"/>
      <c r="E520" s="47"/>
      <c r="F520" s="47"/>
      <c r="G520" s="47"/>
      <c r="H520" s="47"/>
      <c r="I520" s="47"/>
    </row>
    <row r="521">
      <c r="B521" s="47"/>
      <c r="C521" s="47"/>
      <c r="D521" s="47"/>
      <c r="E521" s="47"/>
      <c r="F521" s="47"/>
      <c r="G521" s="47"/>
      <c r="H521" s="47"/>
      <c r="I521" s="47"/>
    </row>
    <row r="522">
      <c r="B522" s="47"/>
      <c r="C522" s="47"/>
      <c r="D522" s="47"/>
      <c r="E522" s="47"/>
      <c r="F522" s="47"/>
      <c r="G522" s="47"/>
      <c r="H522" s="47"/>
      <c r="I522" s="47"/>
    </row>
    <row r="523">
      <c r="B523" s="47"/>
      <c r="C523" s="47"/>
      <c r="D523" s="47"/>
      <c r="E523" s="47"/>
      <c r="F523" s="47"/>
      <c r="G523" s="47"/>
      <c r="H523" s="47"/>
      <c r="I523" s="47"/>
    </row>
    <row r="524">
      <c r="B524" s="47"/>
      <c r="C524" s="47"/>
      <c r="D524" s="47"/>
      <c r="E524" s="47"/>
      <c r="F524" s="47"/>
      <c r="G524" s="47"/>
      <c r="H524" s="47"/>
      <c r="I524" s="47"/>
    </row>
    <row r="525">
      <c r="B525" s="47"/>
      <c r="C525" s="47"/>
      <c r="D525" s="47"/>
      <c r="E525" s="47"/>
      <c r="F525" s="47"/>
      <c r="G525" s="47"/>
      <c r="H525" s="47"/>
      <c r="I525" s="47"/>
    </row>
    <row r="526">
      <c r="B526" s="47"/>
      <c r="C526" s="47"/>
      <c r="D526" s="47"/>
      <c r="E526" s="47"/>
      <c r="F526" s="47"/>
      <c r="G526" s="47"/>
      <c r="H526" s="47"/>
      <c r="I526" s="47"/>
    </row>
    <row r="527">
      <c r="B527" s="47"/>
      <c r="C527" s="47"/>
      <c r="D527" s="47"/>
      <c r="E527" s="47"/>
      <c r="F527" s="47"/>
      <c r="G527" s="47"/>
      <c r="H527" s="47"/>
      <c r="I527" s="47"/>
    </row>
    <row r="528">
      <c r="B528" s="47"/>
      <c r="C528" s="47"/>
      <c r="D528" s="47"/>
      <c r="E528" s="47"/>
      <c r="F528" s="47"/>
      <c r="G528" s="47"/>
      <c r="H528" s="47"/>
      <c r="I528" s="47"/>
    </row>
    <row r="529">
      <c r="B529" s="47"/>
      <c r="C529" s="47"/>
      <c r="D529" s="47"/>
      <c r="E529" s="47"/>
      <c r="F529" s="47"/>
      <c r="G529" s="47"/>
      <c r="H529" s="47"/>
      <c r="I529" s="47"/>
    </row>
    <row r="530">
      <c r="B530" s="47"/>
      <c r="C530" s="47"/>
      <c r="D530" s="47"/>
      <c r="E530" s="47"/>
      <c r="F530" s="47"/>
      <c r="G530" s="47"/>
      <c r="H530" s="47"/>
      <c r="I530" s="47"/>
    </row>
    <row r="531">
      <c r="B531" s="47"/>
      <c r="C531" s="47"/>
      <c r="D531" s="47"/>
      <c r="E531" s="47"/>
      <c r="F531" s="47"/>
      <c r="G531" s="47"/>
      <c r="H531" s="47"/>
      <c r="I531" s="47"/>
    </row>
    <row r="532">
      <c r="B532" s="47"/>
      <c r="C532" s="47"/>
      <c r="D532" s="47"/>
      <c r="E532" s="47"/>
      <c r="F532" s="47"/>
      <c r="G532" s="47"/>
      <c r="H532" s="47"/>
      <c r="I532" s="47"/>
    </row>
    <row r="533">
      <c r="B533" s="47"/>
      <c r="C533" s="47"/>
      <c r="D533" s="47"/>
      <c r="E533" s="47"/>
      <c r="F533" s="47"/>
      <c r="G533" s="47"/>
      <c r="H533" s="47"/>
      <c r="I533" s="47"/>
    </row>
    <row r="534">
      <c r="B534" s="47"/>
      <c r="C534" s="47"/>
      <c r="D534" s="47"/>
      <c r="E534" s="47"/>
      <c r="F534" s="47"/>
      <c r="G534" s="47"/>
      <c r="H534" s="47"/>
      <c r="I534" s="47"/>
    </row>
    <row r="535">
      <c r="B535" s="47"/>
      <c r="C535" s="47"/>
      <c r="D535" s="47"/>
      <c r="E535" s="47"/>
      <c r="F535" s="47"/>
      <c r="G535" s="47"/>
      <c r="H535" s="47"/>
      <c r="I535" s="47"/>
    </row>
    <row r="536">
      <c r="B536" s="47"/>
      <c r="C536" s="47"/>
      <c r="D536" s="47"/>
      <c r="E536" s="47"/>
      <c r="F536" s="47"/>
      <c r="G536" s="47"/>
      <c r="H536" s="47"/>
      <c r="I536" s="47"/>
    </row>
    <row r="537">
      <c r="B537" s="47"/>
      <c r="C537" s="47"/>
      <c r="D537" s="47"/>
      <c r="E537" s="47"/>
      <c r="F537" s="47"/>
      <c r="G537" s="47"/>
      <c r="H537" s="47"/>
      <c r="I537" s="47"/>
    </row>
    <row r="538">
      <c r="B538" s="47"/>
      <c r="C538" s="47"/>
      <c r="D538" s="47"/>
      <c r="E538" s="47"/>
      <c r="F538" s="47"/>
      <c r="G538" s="47"/>
      <c r="H538" s="47"/>
      <c r="I538" s="47"/>
    </row>
    <row r="539">
      <c r="B539" s="47"/>
      <c r="C539" s="47"/>
      <c r="D539" s="47"/>
      <c r="E539" s="47"/>
      <c r="F539" s="47"/>
      <c r="G539" s="47"/>
      <c r="H539" s="47"/>
      <c r="I539" s="47"/>
    </row>
    <row r="540">
      <c r="B540" s="47"/>
      <c r="C540" s="47"/>
      <c r="D540" s="47"/>
      <c r="E540" s="47"/>
      <c r="F540" s="47"/>
      <c r="G540" s="47"/>
      <c r="H540" s="47"/>
      <c r="I540" s="47"/>
    </row>
    <row r="541">
      <c r="B541" s="47"/>
      <c r="C541" s="47"/>
      <c r="D541" s="47"/>
      <c r="E541" s="47"/>
      <c r="F541" s="47"/>
      <c r="G541" s="47"/>
      <c r="H541" s="47"/>
      <c r="I541" s="47"/>
    </row>
    <row r="542">
      <c r="B542" s="47"/>
      <c r="C542" s="47"/>
      <c r="D542" s="47"/>
      <c r="E542" s="47"/>
      <c r="F542" s="47"/>
      <c r="G542" s="47"/>
      <c r="H542" s="47"/>
      <c r="I542" s="47"/>
    </row>
    <row r="543">
      <c r="B543" s="47"/>
      <c r="C543" s="47"/>
      <c r="D543" s="47"/>
      <c r="E543" s="47"/>
      <c r="F543" s="47"/>
      <c r="G543" s="47"/>
      <c r="H543" s="47"/>
      <c r="I543" s="47"/>
    </row>
    <row r="544">
      <c r="B544" s="47"/>
      <c r="C544" s="47"/>
      <c r="D544" s="47"/>
      <c r="E544" s="47"/>
      <c r="F544" s="47"/>
      <c r="G544" s="47"/>
      <c r="H544" s="47"/>
      <c r="I544" s="47"/>
    </row>
    <row r="545">
      <c r="B545" s="47"/>
      <c r="C545" s="47"/>
      <c r="D545" s="47"/>
      <c r="E545" s="47"/>
      <c r="F545" s="47"/>
      <c r="G545" s="47"/>
      <c r="H545" s="47"/>
      <c r="I545" s="47"/>
    </row>
    <row r="546">
      <c r="B546" s="47"/>
      <c r="C546" s="47"/>
      <c r="D546" s="47"/>
      <c r="E546" s="47"/>
      <c r="F546" s="47"/>
      <c r="G546" s="47"/>
      <c r="H546" s="47"/>
      <c r="I546" s="47"/>
    </row>
    <row r="547">
      <c r="B547" s="47"/>
      <c r="C547" s="47"/>
      <c r="D547" s="47"/>
      <c r="E547" s="47"/>
      <c r="F547" s="47"/>
      <c r="G547" s="47"/>
      <c r="H547" s="47"/>
      <c r="I547" s="47"/>
    </row>
    <row r="548">
      <c r="B548" s="47"/>
      <c r="C548" s="47"/>
      <c r="D548" s="47"/>
      <c r="E548" s="47"/>
      <c r="F548" s="47"/>
      <c r="G548" s="47"/>
      <c r="H548" s="47"/>
      <c r="I548" s="47"/>
    </row>
    <row r="549">
      <c r="B549" s="47"/>
      <c r="C549" s="47"/>
      <c r="D549" s="47"/>
      <c r="E549" s="47"/>
      <c r="F549" s="47"/>
      <c r="G549" s="47"/>
      <c r="H549" s="47"/>
      <c r="I549" s="47"/>
    </row>
    <row r="550">
      <c r="B550" s="47"/>
      <c r="C550" s="47"/>
      <c r="D550" s="47"/>
      <c r="E550" s="47"/>
      <c r="F550" s="47"/>
      <c r="G550" s="47"/>
      <c r="H550" s="47"/>
      <c r="I550" s="47"/>
    </row>
    <row r="551">
      <c r="B551" s="47"/>
      <c r="C551" s="47"/>
      <c r="D551" s="47"/>
      <c r="E551" s="47"/>
      <c r="F551" s="47"/>
      <c r="G551" s="47"/>
      <c r="H551" s="47"/>
      <c r="I551" s="47"/>
    </row>
    <row r="552">
      <c r="B552" s="47"/>
      <c r="C552" s="47"/>
      <c r="D552" s="47"/>
      <c r="E552" s="47"/>
      <c r="F552" s="47"/>
      <c r="G552" s="47"/>
      <c r="H552" s="47"/>
      <c r="I552" s="47"/>
    </row>
    <row r="553">
      <c r="B553" s="47"/>
      <c r="C553" s="47"/>
      <c r="D553" s="47"/>
      <c r="E553" s="47"/>
      <c r="F553" s="47"/>
      <c r="G553" s="47"/>
      <c r="H553" s="47"/>
      <c r="I553" s="47"/>
    </row>
    <row r="554">
      <c r="B554" s="47"/>
      <c r="C554" s="47"/>
      <c r="D554" s="47"/>
      <c r="E554" s="47"/>
      <c r="F554" s="47"/>
      <c r="G554" s="47"/>
      <c r="H554" s="47"/>
      <c r="I554" s="47"/>
    </row>
    <row r="555">
      <c r="B555" s="47"/>
      <c r="C555" s="47"/>
      <c r="D555" s="47"/>
      <c r="E555" s="47"/>
      <c r="F555" s="47"/>
      <c r="G555" s="47"/>
      <c r="H555" s="47"/>
      <c r="I555" s="47"/>
    </row>
    <row r="556">
      <c r="B556" s="47"/>
      <c r="C556" s="47"/>
      <c r="D556" s="47"/>
      <c r="E556" s="47"/>
      <c r="F556" s="47"/>
      <c r="G556" s="47"/>
      <c r="H556" s="47"/>
      <c r="I556" s="47"/>
    </row>
    <row r="557">
      <c r="B557" s="47"/>
      <c r="C557" s="47"/>
      <c r="D557" s="47"/>
      <c r="E557" s="47"/>
      <c r="F557" s="47"/>
      <c r="G557" s="47"/>
      <c r="H557" s="47"/>
      <c r="I557" s="47"/>
    </row>
    <row r="558">
      <c r="B558" s="47"/>
      <c r="C558" s="47"/>
      <c r="D558" s="47"/>
      <c r="E558" s="47"/>
      <c r="F558" s="47"/>
      <c r="G558" s="47"/>
      <c r="H558" s="47"/>
      <c r="I558" s="47"/>
    </row>
    <row r="559">
      <c r="B559" s="47"/>
      <c r="C559" s="47"/>
      <c r="D559" s="47"/>
      <c r="E559" s="47"/>
      <c r="F559" s="47"/>
      <c r="G559" s="47"/>
      <c r="H559" s="47"/>
      <c r="I559" s="47"/>
    </row>
    <row r="560">
      <c r="B560" s="47"/>
      <c r="C560" s="47"/>
      <c r="D560" s="47"/>
      <c r="E560" s="47"/>
      <c r="F560" s="47"/>
      <c r="G560" s="47"/>
      <c r="H560" s="47"/>
      <c r="I560" s="47"/>
    </row>
    <row r="561">
      <c r="B561" s="47"/>
      <c r="C561" s="47"/>
      <c r="D561" s="47"/>
      <c r="E561" s="47"/>
      <c r="F561" s="47"/>
      <c r="G561" s="47"/>
      <c r="H561" s="47"/>
      <c r="I561" s="47"/>
    </row>
    <row r="562">
      <c r="B562" s="47"/>
      <c r="C562" s="47"/>
      <c r="D562" s="47"/>
      <c r="E562" s="47"/>
      <c r="F562" s="47"/>
      <c r="G562" s="47"/>
      <c r="H562" s="47"/>
      <c r="I562" s="47"/>
    </row>
    <row r="563">
      <c r="B563" s="47"/>
      <c r="C563" s="47"/>
      <c r="D563" s="47"/>
      <c r="E563" s="47"/>
      <c r="F563" s="47"/>
      <c r="G563" s="47"/>
      <c r="H563" s="47"/>
      <c r="I563" s="47"/>
    </row>
    <row r="564">
      <c r="B564" s="47"/>
      <c r="C564" s="47"/>
      <c r="D564" s="47"/>
      <c r="E564" s="47"/>
      <c r="F564" s="47"/>
      <c r="G564" s="47"/>
      <c r="H564" s="47"/>
      <c r="I564" s="47"/>
    </row>
    <row r="565">
      <c r="B565" s="47"/>
      <c r="C565" s="47"/>
      <c r="D565" s="47"/>
      <c r="E565" s="47"/>
      <c r="F565" s="47"/>
      <c r="G565" s="47"/>
      <c r="H565" s="47"/>
      <c r="I565" s="47"/>
    </row>
    <row r="566">
      <c r="B566" s="47"/>
      <c r="C566" s="47"/>
      <c r="D566" s="47"/>
      <c r="E566" s="47"/>
      <c r="F566" s="47"/>
      <c r="G566" s="47"/>
      <c r="H566" s="47"/>
      <c r="I566" s="47"/>
    </row>
    <row r="567">
      <c r="B567" s="47"/>
      <c r="C567" s="47"/>
      <c r="D567" s="47"/>
      <c r="E567" s="47"/>
      <c r="F567" s="47"/>
      <c r="G567" s="47"/>
      <c r="H567" s="47"/>
      <c r="I567" s="47"/>
    </row>
    <row r="568">
      <c r="B568" s="47"/>
      <c r="C568" s="47"/>
      <c r="D568" s="47"/>
      <c r="E568" s="47"/>
      <c r="F568" s="47"/>
      <c r="G568" s="47"/>
      <c r="H568" s="47"/>
      <c r="I568" s="47"/>
    </row>
    <row r="569">
      <c r="B569" s="47"/>
      <c r="C569" s="47"/>
      <c r="D569" s="47"/>
      <c r="E569" s="47"/>
      <c r="F569" s="47"/>
      <c r="G569" s="47"/>
      <c r="H569" s="47"/>
      <c r="I569" s="47"/>
    </row>
    <row r="570">
      <c r="B570" s="47"/>
      <c r="C570" s="47"/>
      <c r="D570" s="47"/>
      <c r="E570" s="47"/>
      <c r="F570" s="47"/>
      <c r="G570" s="47"/>
      <c r="H570" s="47"/>
      <c r="I570" s="47"/>
    </row>
    <row r="571">
      <c r="B571" s="47"/>
      <c r="C571" s="47"/>
      <c r="D571" s="47"/>
      <c r="E571" s="47"/>
      <c r="F571" s="47"/>
      <c r="G571" s="47"/>
      <c r="H571" s="47"/>
      <c r="I571" s="47"/>
    </row>
    <row r="572">
      <c r="B572" s="47"/>
      <c r="C572" s="47"/>
      <c r="D572" s="47"/>
      <c r="E572" s="47"/>
      <c r="F572" s="47"/>
      <c r="G572" s="47"/>
      <c r="H572" s="47"/>
      <c r="I572" s="47"/>
    </row>
    <row r="573">
      <c r="B573" s="47"/>
      <c r="C573" s="47"/>
      <c r="D573" s="47"/>
      <c r="E573" s="47"/>
      <c r="F573" s="47"/>
      <c r="G573" s="47"/>
      <c r="H573" s="47"/>
      <c r="I573" s="47"/>
    </row>
    <row r="574">
      <c r="B574" s="47"/>
      <c r="C574" s="47"/>
      <c r="D574" s="47"/>
      <c r="E574" s="47"/>
      <c r="F574" s="47"/>
      <c r="G574" s="47"/>
      <c r="H574" s="47"/>
      <c r="I574" s="47"/>
    </row>
    <row r="575">
      <c r="B575" s="47"/>
      <c r="C575" s="47"/>
      <c r="D575" s="47"/>
      <c r="E575" s="47"/>
      <c r="F575" s="47"/>
      <c r="G575" s="47"/>
      <c r="H575" s="47"/>
      <c r="I575" s="47"/>
    </row>
    <row r="576">
      <c r="B576" s="47"/>
      <c r="C576" s="47"/>
      <c r="D576" s="47"/>
      <c r="E576" s="47"/>
      <c r="F576" s="47"/>
      <c r="G576" s="47"/>
      <c r="H576" s="47"/>
      <c r="I576" s="47"/>
    </row>
    <row r="577">
      <c r="B577" s="47"/>
      <c r="C577" s="47"/>
      <c r="D577" s="47"/>
      <c r="E577" s="47"/>
      <c r="F577" s="47"/>
      <c r="G577" s="47"/>
      <c r="H577" s="47"/>
      <c r="I577" s="47"/>
    </row>
    <row r="578">
      <c r="B578" s="47"/>
      <c r="C578" s="47"/>
      <c r="D578" s="47"/>
      <c r="E578" s="47"/>
      <c r="F578" s="47"/>
      <c r="G578" s="47"/>
      <c r="H578" s="47"/>
      <c r="I578" s="47"/>
    </row>
    <row r="579">
      <c r="B579" s="47"/>
      <c r="C579" s="47"/>
      <c r="D579" s="47"/>
      <c r="E579" s="47"/>
      <c r="F579" s="47"/>
      <c r="G579" s="47"/>
      <c r="H579" s="47"/>
      <c r="I579" s="47"/>
    </row>
    <row r="580">
      <c r="B580" s="47"/>
      <c r="C580" s="47"/>
      <c r="D580" s="47"/>
      <c r="E580" s="47"/>
      <c r="F580" s="47"/>
      <c r="G580" s="47"/>
      <c r="H580" s="47"/>
      <c r="I580" s="47"/>
    </row>
    <row r="581">
      <c r="B581" s="47"/>
      <c r="C581" s="47"/>
      <c r="D581" s="47"/>
      <c r="E581" s="47"/>
      <c r="F581" s="47"/>
      <c r="G581" s="47"/>
      <c r="H581" s="47"/>
      <c r="I581" s="47"/>
    </row>
    <row r="582">
      <c r="B582" s="47"/>
      <c r="C582" s="47"/>
      <c r="D582" s="47"/>
      <c r="E582" s="47"/>
      <c r="F582" s="47"/>
      <c r="G582" s="47"/>
      <c r="H582" s="47"/>
      <c r="I582" s="47"/>
    </row>
    <row r="583">
      <c r="B583" s="47"/>
      <c r="C583" s="47"/>
      <c r="D583" s="47"/>
      <c r="E583" s="47"/>
      <c r="F583" s="47"/>
      <c r="G583" s="47"/>
      <c r="H583" s="47"/>
      <c r="I583" s="47"/>
    </row>
    <row r="584">
      <c r="B584" s="47"/>
      <c r="C584" s="47"/>
      <c r="D584" s="47"/>
      <c r="E584" s="47"/>
      <c r="F584" s="47"/>
      <c r="G584" s="47"/>
      <c r="H584" s="47"/>
      <c r="I584" s="47"/>
    </row>
    <row r="585">
      <c r="B585" s="47"/>
      <c r="C585" s="47"/>
      <c r="D585" s="47"/>
      <c r="E585" s="47"/>
      <c r="F585" s="47"/>
      <c r="G585" s="47"/>
      <c r="H585" s="47"/>
      <c r="I585" s="47"/>
    </row>
    <row r="586">
      <c r="B586" s="47"/>
      <c r="C586" s="47"/>
      <c r="D586" s="47"/>
      <c r="E586" s="47"/>
      <c r="F586" s="47"/>
      <c r="G586" s="47"/>
      <c r="H586" s="47"/>
      <c r="I586" s="47"/>
    </row>
    <row r="587">
      <c r="B587" s="47"/>
      <c r="C587" s="47"/>
      <c r="D587" s="47"/>
      <c r="E587" s="47"/>
      <c r="F587" s="47"/>
      <c r="G587" s="47"/>
      <c r="H587" s="47"/>
      <c r="I587" s="47"/>
    </row>
    <row r="588">
      <c r="B588" s="47"/>
      <c r="C588" s="47"/>
      <c r="D588" s="47"/>
      <c r="E588" s="47"/>
      <c r="F588" s="47"/>
      <c r="G588" s="47"/>
      <c r="H588" s="47"/>
      <c r="I588" s="47"/>
    </row>
    <row r="589">
      <c r="B589" s="47"/>
      <c r="C589" s="47"/>
      <c r="D589" s="47"/>
      <c r="E589" s="47"/>
      <c r="F589" s="47"/>
      <c r="G589" s="47"/>
      <c r="H589" s="47"/>
      <c r="I589" s="47"/>
    </row>
    <row r="590">
      <c r="B590" s="47"/>
      <c r="C590" s="47"/>
      <c r="D590" s="47"/>
      <c r="E590" s="47"/>
      <c r="F590" s="47"/>
      <c r="G590" s="47"/>
      <c r="H590" s="47"/>
      <c r="I590" s="47"/>
    </row>
    <row r="591">
      <c r="B591" s="47"/>
      <c r="C591" s="47"/>
      <c r="D591" s="47"/>
      <c r="E591" s="47"/>
      <c r="F591" s="47"/>
      <c r="G591" s="47"/>
      <c r="H591" s="47"/>
      <c r="I591" s="47"/>
    </row>
    <row r="592">
      <c r="B592" s="47"/>
      <c r="C592" s="47"/>
      <c r="D592" s="47"/>
      <c r="E592" s="47"/>
      <c r="F592" s="47"/>
      <c r="G592" s="47"/>
      <c r="H592" s="47"/>
      <c r="I592" s="47"/>
    </row>
    <row r="593">
      <c r="B593" s="47"/>
      <c r="C593" s="47"/>
      <c r="D593" s="47"/>
      <c r="E593" s="47"/>
      <c r="F593" s="47"/>
      <c r="G593" s="47"/>
      <c r="H593" s="47"/>
      <c r="I593" s="47"/>
    </row>
    <row r="594">
      <c r="B594" s="47"/>
      <c r="C594" s="47"/>
      <c r="D594" s="47"/>
      <c r="E594" s="47"/>
      <c r="F594" s="47"/>
      <c r="G594" s="47"/>
      <c r="H594" s="47"/>
      <c r="I594" s="47"/>
    </row>
    <row r="595">
      <c r="B595" s="47"/>
      <c r="C595" s="47"/>
      <c r="D595" s="47"/>
      <c r="E595" s="47"/>
      <c r="F595" s="47"/>
      <c r="G595" s="47"/>
      <c r="H595" s="47"/>
      <c r="I595" s="47"/>
    </row>
    <row r="596">
      <c r="B596" s="47"/>
      <c r="C596" s="47"/>
      <c r="D596" s="47"/>
      <c r="E596" s="47"/>
      <c r="F596" s="47"/>
      <c r="G596" s="47"/>
      <c r="H596" s="47"/>
      <c r="I596" s="47"/>
    </row>
    <row r="597">
      <c r="B597" s="47"/>
      <c r="C597" s="47"/>
      <c r="D597" s="47"/>
      <c r="E597" s="47"/>
      <c r="F597" s="47"/>
      <c r="G597" s="47"/>
      <c r="H597" s="47"/>
      <c r="I597" s="47"/>
    </row>
    <row r="598">
      <c r="B598" s="47"/>
      <c r="C598" s="47"/>
      <c r="D598" s="47"/>
      <c r="E598" s="47"/>
      <c r="F598" s="47"/>
      <c r="G598" s="47"/>
      <c r="H598" s="47"/>
      <c r="I598" s="47"/>
    </row>
    <row r="599">
      <c r="B599" s="47"/>
      <c r="C599" s="47"/>
      <c r="D599" s="47"/>
      <c r="E599" s="47"/>
      <c r="F599" s="47"/>
      <c r="G599" s="47"/>
      <c r="H599" s="47"/>
      <c r="I599" s="47"/>
    </row>
    <row r="600">
      <c r="B600" s="47"/>
      <c r="C600" s="47"/>
      <c r="D600" s="47"/>
      <c r="E600" s="47"/>
      <c r="F600" s="47"/>
      <c r="G600" s="47"/>
      <c r="H600" s="47"/>
      <c r="I600" s="47"/>
    </row>
    <row r="601">
      <c r="B601" s="47"/>
      <c r="C601" s="47"/>
      <c r="D601" s="47"/>
      <c r="E601" s="47"/>
      <c r="F601" s="47"/>
      <c r="G601" s="47"/>
      <c r="H601" s="47"/>
      <c r="I601" s="47"/>
    </row>
    <row r="602">
      <c r="B602" s="47"/>
      <c r="C602" s="47"/>
      <c r="D602" s="47"/>
      <c r="E602" s="47"/>
      <c r="F602" s="47"/>
      <c r="G602" s="47"/>
      <c r="H602" s="47"/>
      <c r="I602" s="47"/>
    </row>
    <row r="603">
      <c r="B603" s="47"/>
      <c r="C603" s="47"/>
      <c r="D603" s="47"/>
      <c r="E603" s="47"/>
      <c r="F603" s="47"/>
      <c r="G603" s="47"/>
      <c r="H603" s="47"/>
      <c r="I603" s="47"/>
    </row>
    <row r="604">
      <c r="B604" s="47"/>
      <c r="C604" s="47"/>
      <c r="D604" s="47"/>
      <c r="E604" s="47"/>
      <c r="F604" s="47"/>
      <c r="G604" s="47"/>
      <c r="H604" s="47"/>
      <c r="I604" s="47"/>
    </row>
    <row r="605">
      <c r="B605" s="47"/>
      <c r="C605" s="47"/>
      <c r="D605" s="47"/>
      <c r="E605" s="47"/>
      <c r="F605" s="47"/>
      <c r="G605" s="47"/>
      <c r="H605" s="47"/>
      <c r="I605" s="47"/>
    </row>
    <row r="606">
      <c r="B606" s="47"/>
      <c r="C606" s="47"/>
      <c r="D606" s="47"/>
      <c r="E606" s="47"/>
      <c r="F606" s="47"/>
      <c r="G606" s="47"/>
      <c r="H606" s="47"/>
      <c r="I606" s="47"/>
    </row>
    <row r="607">
      <c r="B607" s="47"/>
      <c r="C607" s="47"/>
      <c r="D607" s="47"/>
      <c r="E607" s="47"/>
      <c r="F607" s="47"/>
      <c r="G607" s="47"/>
      <c r="H607" s="47"/>
      <c r="I607" s="47"/>
    </row>
    <row r="608">
      <c r="B608" s="47"/>
      <c r="C608" s="47"/>
      <c r="D608" s="47"/>
      <c r="E608" s="47"/>
      <c r="F608" s="47"/>
      <c r="G608" s="47"/>
      <c r="H608" s="47"/>
      <c r="I608" s="47"/>
    </row>
    <row r="609">
      <c r="B609" s="47"/>
      <c r="C609" s="47"/>
      <c r="D609" s="47"/>
      <c r="E609" s="47"/>
      <c r="F609" s="47"/>
      <c r="G609" s="47"/>
      <c r="H609" s="47"/>
      <c r="I609" s="47"/>
    </row>
    <row r="610">
      <c r="B610" s="47"/>
      <c r="C610" s="47"/>
      <c r="D610" s="47"/>
      <c r="E610" s="47"/>
      <c r="F610" s="47"/>
      <c r="G610" s="47"/>
      <c r="H610" s="47"/>
      <c r="I610" s="47"/>
    </row>
    <row r="611">
      <c r="B611" s="47"/>
      <c r="C611" s="47"/>
      <c r="D611" s="47"/>
      <c r="E611" s="47"/>
      <c r="F611" s="47"/>
      <c r="G611" s="47"/>
      <c r="H611" s="47"/>
      <c r="I611" s="47"/>
    </row>
    <row r="612">
      <c r="B612" s="47"/>
      <c r="C612" s="47"/>
      <c r="D612" s="47"/>
      <c r="E612" s="47"/>
      <c r="F612" s="47"/>
      <c r="G612" s="47"/>
      <c r="H612" s="47"/>
      <c r="I612" s="47"/>
    </row>
    <row r="613">
      <c r="B613" s="47"/>
      <c r="C613" s="47"/>
      <c r="D613" s="47"/>
      <c r="E613" s="47"/>
      <c r="F613" s="47"/>
      <c r="G613" s="47"/>
      <c r="H613" s="47"/>
      <c r="I613" s="47"/>
    </row>
    <row r="614">
      <c r="B614" s="47"/>
      <c r="C614" s="47"/>
      <c r="D614" s="47"/>
      <c r="E614" s="47"/>
      <c r="F614" s="47"/>
      <c r="G614" s="47"/>
      <c r="H614" s="47"/>
      <c r="I614" s="47"/>
    </row>
    <row r="615">
      <c r="B615" s="47"/>
      <c r="C615" s="47"/>
      <c r="D615" s="47"/>
      <c r="E615" s="47"/>
      <c r="F615" s="47"/>
      <c r="G615" s="47"/>
      <c r="H615" s="47"/>
      <c r="I615" s="47"/>
    </row>
    <row r="616">
      <c r="B616" s="47"/>
      <c r="C616" s="47"/>
      <c r="D616" s="47"/>
      <c r="E616" s="47"/>
      <c r="F616" s="47"/>
      <c r="G616" s="47"/>
      <c r="H616" s="47"/>
      <c r="I616" s="47"/>
    </row>
    <row r="617">
      <c r="B617" s="47"/>
      <c r="C617" s="47"/>
      <c r="D617" s="47"/>
      <c r="E617" s="47"/>
      <c r="F617" s="47"/>
      <c r="G617" s="47"/>
      <c r="H617" s="47"/>
      <c r="I617" s="47"/>
    </row>
    <row r="618">
      <c r="B618" s="47"/>
      <c r="C618" s="47"/>
      <c r="D618" s="47"/>
      <c r="E618" s="47"/>
      <c r="F618" s="47"/>
      <c r="G618" s="47"/>
      <c r="H618" s="47"/>
      <c r="I618" s="47"/>
    </row>
    <row r="619">
      <c r="B619" s="47"/>
      <c r="C619" s="47"/>
      <c r="D619" s="47"/>
      <c r="E619" s="47"/>
      <c r="F619" s="47"/>
      <c r="G619" s="47"/>
      <c r="H619" s="47"/>
      <c r="I619" s="47"/>
    </row>
    <row r="620">
      <c r="B620" s="47"/>
      <c r="C620" s="47"/>
      <c r="D620" s="47"/>
      <c r="E620" s="47"/>
      <c r="F620" s="47"/>
      <c r="G620" s="47"/>
      <c r="H620" s="47"/>
      <c r="I620" s="47"/>
    </row>
    <row r="621">
      <c r="B621" s="47"/>
      <c r="C621" s="47"/>
      <c r="D621" s="47"/>
      <c r="E621" s="47"/>
      <c r="F621" s="47"/>
      <c r="G621" s="47"/>
      <c r="H621" s="47"/>
      <c r="I621" s="47"/>
    </row>
    <row r="622">
      <c r="B622" s="47"/>
      <c r="C622" s="47"/>
      <c r="D622" s="47"/>
      <c r="E622" s="47"/>
      <c r="F622" s="47"/>
      <c r="G622" s="47"/>
      <c r="H622" s="47"/>
      <c r="I622" s="47"/>
    </row>
    <row r="623">
      <c r="B623" s="47"/>
      <c r="C623" s="47"/>
      <c r="D623" s="47"/>
      <c r="E623" s="47"/>
      <c r="F623" s="47"/>
      <c r="G623" s="47"/>
      <c r="H623" s="47"/>
      <c r="I623" s="47"/>
    </row>
    <row r="624">
      <c r="B624" s="47"/>
      <c r="C624" s="47"/>
      <c r="D624" s="47"/>
      <c r="E624" s="47"/>
      <c r="F624" s="47"/>
      <c r="G624" s="47"/>
      <c r="H624" s="47"/>
      <c r="I624" s="47"/>
    </row>
    <row r="625">
      <c r="B625" s="47"/>
      <c r="C625" s="47"/>
      <c r="D625" s="47"/>
      <c r="E625" s="47"/>
      <c r="F625" s="47"/>
      <c r="G625" s="47"/>
      <c r="H625" s="47"/>
      <c r="I625" s="47"/>
    </row>
    <row r="626">
      <c r="B626" s="47"/>
      <c r="C626" s="47"/>
      <c r="D626" s="47"/>
      <c r="E626" s="47"/>
      <c r="F626" s="47"/>
      <c r="G626" s="47"/>
      <c r="H626" s="47"/>
      <c r="I626" s="47"/>
    </row>
    <row r="627">
      <c r="B627" s="47"/>
      <c r="C627" s="47"/>
      <c r="D627" s="47"/>
      <c r="E627" s="47"/>
      <c r="F627" s="47"/>
      <c r="G627" s="47"/>
      <c r="H627" s="47"/>
      <c r="I627" s="47"/>
    </row>
    <row r="628">
      <c r="B628" s="47"/>
      <c r="C628" s="47"/>
      <c r="D628" s="47"/>
      <c r="E628" s="47"/>
      <c r="F628" s="47"/>
      <c r="G628" s="47"/>
      <c r="H628" s="47"/>
      <c r="I628" s="47"/>
    </row>
    <row r="629">
      <c r="B629" s="47"/>
      <c r="C629" s="47"/>
      <c r="D629" s="47"/>
      <c r="E629" s="47"/>
      <c r="F629" s="47"/>
      <c r="G629" s="47"/>
      <c r="H629" s="47"/>
      <c r="I629" s="47"/>
    </row>
    <row r="630">
      <c r="B630" s="47"/>
      <c r="C630" s="47"/>
      <c r="D630" s="47"/>
      <c r="E630" s="47"/>
      <c r="F630" s="47"/>
      <c r="G630" s="47"/>
      <c r="H630" s="47"/>
      <c r="I630" s="47"/>
    </row>
    <row r="631">
      <c r="B631" s="47"/>
      <c r="C631" s="47"/>
      <c r="D631" s="47"/>
      <c r="E631" s="47"/>
      <c r="F631" s="47"/>
      <c r="G631" s="47"/>
      <c r="H631" s="47"/>
      <c r="I631" s="47"/>
    </row>
    <row r="632">
      <c r="B632" s="47"/>
      <c r="C632" s="47"/>
      <c r="D632" s="47"/>
      <c r="E632" s="47"/>
      <c r="F632" s="47"/>
      <c r="G632" s="47"/>
      <c r="H632" s="47"/>
      <c r="I632" s="47"/>
    </row>
    <row r="633">
      <c r="B633" s="47"/>
      <c r="C633" s="47"/>
      <c r="D633" s="47"/>
      <c r="E633" s="47"/>
      <c r="F633" s="47"/>
      <c r="G633" s="47"/>
      <c r="H633" s="47"/>
      <c r="I633" s="47"/>
    </row>
    <row r="634">
      <c r="B634" s="47"/>
      <c r="C634" s="47"/>
      <c r="D634" s="47"/>
      <c r="E634" s="47"/>
      <c r="F634" s="47"/>
      <c r="G634" s="47"/>
      <c r="H634" s="47"/>
      <c r="I634" s="47"/>
    </row>
    <row r="635">
      <c r="B635" s="47"/>
      <c r="C635" s="47"/>
      <c r="D635" s="47"/>
      <c r="E635" s="47"/>
      <c r="F635" s="47"/>
      <c r="G635" s="47"/>
      <c r="H635" s="47"/>
      <c r="I635" s="47"/>
    </row>
    <row r="636">
      <c r="B636" s="47"/>
      <c r="C636" s="47"/>
      <c r="D636" s="47"/>
      <c r="E636" s="47"/>
      <c r="F636" s="47"/>
      <c r="G636" s="47"/>
      <c r="H636" s="47"/>
      <c r="I636" s="47"/>
    </row>
    <row r="637">
      <c r="B637" s="47"/>
      <c r="C637" s="47"/>
      <c r="D637" s="47"/>
      <c r="E637" s="47"/>
      <c r="F637" s="47"/>
      <c r="G637" s="47"/>
      <c r="H637" s="47"/>
      <c r="I637" s="47"/>
    </row>
    <row r="638">
      <c r="B638" s="47"/>
      <c r="C638" s="47"/>
      <c r="D638" s="47"/>
      <c r="E638" s="47"/>
      <c r="F638" s="47"/>
      <c r="G638" s="47"/>
      <c r="H638" s="47"/>
      <c r="I638" s="47"/>
    </row>
    <row r="639">
      <c r="B639" s="47"/>
      <c r="C639" s="47"/>
      <c r="D639" s="47"/>
      <c r="E639" s="47"/>
      <c r="F639" s="47"/>
      <c r="G639" s="47"/>
      <c r="H639" s="47"/>
      <c r="I639" s="47"/>
    </row>
    <row r="640">
      <c r="B640" s="47"/>
      <c r="C640" s="47"/>
      <c r="D640" s="47"/>
      <c r="E640" s="47"/>
      <c r="F640" s="47"/>
      <c r="G640" s="47"/>
      <c r="H640" s="47"/>
      <c r="I640" s="47"/>
    </row>
    <row r="641">
      <c r="B641" s="47"/>
      <c r="C641" s="47"/>
      <c r="D641" s="47"/>
      <c r="E641" s="47"/>
      <c r="F641" s="47"/>
      <c r="G641" s="47"/>
      <c r="H641" s="47"/>
      <c r="I641" s="47"/>
    </row>
    <row r="642">
      <c r="B642" s="47"/>
      <c r="C642" s="47"/>
      <c r="D642" s="47"/>
      <c r="E642" s="47"/>
      <c r="F642" s="47"/>
      <c r="G642" s="47"/>
      <c r="H642" s="47"/>
      <c r="I642" s="47"/>
    </row>
    <row r="643">
      <c r="B643" s="47"/>
      <c r="C643" s="47"/>
      <c r="D643" s="47"/>
      <c r="E643" s="47"/>
      <c r="F643" s="47"/>
      <c r="G643" s="47"/>
      <c r="H643" s="47"/>
      <c r="I643" s="47"/>
    </row>
    <row r="644">
      <c r="B644" s="47"/>
      <c r="C644" s="47"/>
      <c r="D644" s="47"/>
      <c r="E644" s="47"/>
      <c r="F644" s="47"/>
      <c r="G644" s="47"/>
      <c r="H644" s="47"/>
      <c r="I644" s="47"/>
    </row>
    <row r="645">
      <c r="B645" s="47"/>
      <c r="C645" s="47"/>
      <c r="D645" s="47"/>
      <c r="E645" s="47"/>
      <c r="F645" s="47"/>
      <c r="G645" s="47"/>
      <c r="H645" s="47"/>
      <c r="I645" s="47"/>
    </row>
    <row r="646">
      <c r="B646" s="47"/>
      <c r="C646" s="47"/>
      <c r="D646" s="47"/>
      <c r="E646" s="47"/>
      <c r="F646" s="47"/>
      <c r="G646" s="47"/>
      <c r="H646" s="47"/>
      <c r="I646" s="47"/>
    </row>
    <row r="647">
      <c r="B647" s="47"/>
      <c r="C647" s="47"/>
      <c r="D647" s="47"/>
      <c r="E647" s="47"/>
      <c r="F647" s="47"/>
      <c r="G647" s="47"/>
      <c r="H647" s="47"/>
      <c r="I647" s="47"/>
    </row>
    <row r="648">
      <c r="B648" s="47"/>
      <c r="C648" s="47"/>
      <c r="D648" s="47"/>
      <c r="E648" s="47"/>
      <c r="F648" s="47"/>
      <c r="G648" s="47"/>
      <c r="H648" s="47"/>
      <c r="I648" s="47"/>
    </row>
    <row r="649">
      <c r="B649" s="47"/>
      <c r="C649" s="47"/>
      <c r="D649" s="47"/>
      <c r="E649" s="47"/>
      <c r="F649" s="47"/>
      <c r="G649" s="47"/>
      <c r="H649" s="47"/>
      <c r="I649" s="47"/>
    </row>
    <row r="650">
      <c r="B650" s="47"/>
      <c r="C650" s="47"/>
      <c r="D650" s="47"/>
      <c r="E650" s="47"/>
      <c r="F650" s="47"/>
      <c r="G650" s="47"/>
      <c r="H650" s="47"/>
      <c r="I650" s="47"/>
    </row>
    <row r="651">
      <c r="B651" s="47"/>
      <c r="C651" s="47"/>
      <c r="D651" s="47"/>
      <c r="E651" s="47"/>
      <c r="F651" s="47"/>
      <c r="G651" s="47"/>
      <c r="H651" s="47"/>
      <c r="I651" s="47"/>
    </row>
    <row r="652">
      <c r="B652" s="47"/>
      <c r="C652" s="47"/>
      <c r="D652" s="47"/>
      <c r="E652" s="47"/>
      <c r="F652" s="47"/>
      <c r="G652" s="47"/>
      <c r="H652" s="47"/>
      <c r="I652" s="47"/>
    </row>
    <row r="653">
      <c r="B653" s="47"/>
      <c r="C653" s="47"/>
      <c r="D653" s="47"/>
      <c r="E653" s="47"/>
      <c r="F653" s="47"/>
      <c r="G653" s="47"/>
      <c r="H653" s="47"/>
      <c r="I653" s="47"/>
    </row>
    <row r="654">
      <c r="B654" s="47"/>
      <c r="C654" s="47"/>
      <c r="D654" s="47"/>
      <c r="E654" s="47"/>
      <c r="F654" s="47"/>
      <c r="G654" s="47"/>
      <c r="H654" s="47"/>
      <c r="I654" s="47"/>
    </row>
    <row r="655">
      <c r="B655" s="47"/>
      <c r="C655" s="47"/>
      <c r="D655" s="47"/>
      <c r="E655" s="47"/>
      <c r="F655" s="47"/>
      <c r="G655" s="47"/>
      <c r="H655" s="47"/>
      <c r="I655" s="47"/>
    </row>
    <row r="656">
      <c r="B656" s="47"/>
      <c r="C656" s="47"/>
      <c r="D656" s="47"/>
      <c r="E656" s="47"/>
      <c r="F656" s="47"/>
      <c r="G656" s="47"/>
      <c r="H656" s="47"/>
      <c r="I656" s="47"/>
    </row>
    <row r="657">
      <c r="B657" s="47"/>
      <c r="C657" s="47"/>
      <c r="D657" s="47"/>
      <c r="E657" s="47"/>
      <c r="F657" s="47"/>
      <c r="G657" s="47"/>
      <c r="H657" s="47"/>
      <c r="I657" s="47"/>
    </row>
    <row r="658">
      <c r="B658" s="47"/>
      <c r="C658" s="47"/>
      <c r="D658" s="47"/>
      <c r="E658" s="47"/>
      <c r="F658" s="47"/>
      <c r="G658" s="47"/>
      <c r="H658" s="47"/>
      <c r="I658" s="47"/>
    </row>
    <row r="659">
      <c r="B659" s="47"/>
      <c r="C659" s="47"/>
      <c r="D659" s="47"/>
      <c r="E659" s="47"/>
      <c r="F659" s="47"/>
      <c r="G659" s="47"/>
      <c r="H659" s="47"/>
      <c r="I659" s="47"/>
    </row>
    <row r="660">
      <c r="B660" s="47"/>
      <c r="C660" s="47"/>
      <c r="D660" s="47"/>
      <c r="E660" s="47"/>
      <c r="F660" s="47"/>
      <c r="G660" s="47"/>
      <c r="H660" s="47"/>
      <c r="I660" s="47"/>
    </row>
    <row r="661">
      <c r="B661" s="47"/>
      <c r="C661" s="47"/>
      <c r="D661" s="47"/>
      <c r="E661" s="47"/>
      <c r="F661" s="47"/>
      <c r="G661" s="47"/>
      <c r="H661" s="47"/>
      <c r="I661" s="47"/>
    </row>
    <row r="662">
      <c r="B662" s="47"/>
      <c r="C662" s="47"/>
      <c r="D662" s="47"/>
      <c r="E662" s="47"/>
      <c r="F662" s="47"/>
      <c r="G662" s="47"/>
      <c r="H662" s="47"/>
      <c r="I662" s="47"/>
    </row>
    <row r="663">
      <c r="B663" s="47"/>
      <c r="C663" s="47"/>
      <c r="D663" s="47"/>
      <c r="E663" s="47"/>
      <c r="F663" s="47"/>
      <c r="G663" s="47"/>
      <c r="H663" s="47"/>
      <c r="I663" s="47"/>
    </row>
    <row r="664">
      <c r="B664" s="47"/>
      <c r="C664" s="47"/>
      <c r="D664" s="47"/>
      <c r="E664" s="47"/>
      <c r="F664" s="47"/>
      <c r="G664" s="47"/>
      <c r="H664" s="47"/>
      <c r="I664" s="47"/>
    </row>
    <row r="665">
      <c r="B665" s="47"/>
      <c r="C665" s="47"/>
      <c r="D665" s="47"/>
      <c r="E665" s="47"/>
      <c r="F665" s="47"/>
      <c r="G665" s="47"/>
      <c r="H665" s="47"/>
      <c r="I665" s="47"/>
    </row>
    <row r="666">
      <c r="B666" s="47"/>
      <c r="C666" s="47"/>
      <c r="D666" s="47"/>
      <c r="E666" s="47"/>
      <c r="F666" s="47"/>
      <c r="G666" s="47"/>
      <c r="H666" s="47"/>
      <c r="I666" s="47"/>
    </row>
    <row r="667">
      <c r="B667" s="47"/>
      <c r="C667" s="47"/>
      <c r="D667" s="47"/>
      <c r="E667" s="47"/>
      <c r="F667" s="47"/>
      <c r="G667" s="47"/>
      <c r="H667" s="47"/>
      <c r="I667" s="47"/>
    </row>
    <row r="668">
      <c r="B668" s="47"/>
      <c r="C668" s="47"/>
      <c r="D668" s="47"/>
      <c r="E668" s="47"/>
      <c r="F668" s="47"/>
      <c r="G668" s="47"/>
      <c r="H668" s="47"/>
      <c r="I668" s="47"/>
    </row>
    <row r="669">
      <c r="B669" s="47"/>
      <c r="C669" s="47"/>
      <c r="D669" s="47"/>
      <c r="E669" s="47"/>
      <c r="F669" s="47"/>
      <c r="G669" s="47"/>
      <c r="H669" s="47"/>
      <c r="I669" s="47"/>
    </row>
    <row r="670">
      <c r="B670" s="47"/>
      <c r="C670" s="47"/>
      <c r="D670" s="47"/>
      <c r="E670" s="47"/>
      <c r="F670" s="47"/>
      <c r="G670" s="47"/>
      <c r="H670" s="47"/>
      <c r="I670" s="47"/>
    </row>
    <row r="671">
      <c r="B671" s="47"/>
      <c r="C671" s="47"/>
      <c r="D671" s="47"/>
      <c r="E671" s="47"/>
      <c r="F671" s="47"/>
      <c r="G671" s="47"/>
      <c r="H671" s="47"/>
      <c r="I671" s="47"/>
    </row>
    <row r="672">
      <c r="B672" s="47"/>
      <c r="C672" s="47"/>
      <c r="D672" s="47"/>
      <c r="E672" s="47"/>
      <c r="F672" s="47"/>
      <c r="G672" s="47"/>
      <c r="H672" s="47"/>
      <c r="I672" s="47"/>
    </row>
    <row r="673">
      <c r="B673" s="47"/>
      <c r="C673" s="47"/>
      <c r="D673" s="47"/>
      <c r="E673" s="47"/>
      <c r="F673" s="47"/>
      <c r="G673" s="47"/>
      <c r="H673" s="47"/>
      <c r="I673" s="47"/>
    </row>
    <row r="674">
      <c r="B674" s="47"/>
      <c r="C674" s="47"/>
      <c r="D674" s="47"/>
      <c r="E674" s="47"/>
      <c r="F674" s="47"/>
      <c r="G674" s="47"/>
      <c r="H674" s="47"/>
      <c r="I674" s="47"/>
    </row>
    <row r="675">
      <c r="B675" s="47"/>
      <c r="C675" s="47"/>
      <c r="D675" s="47"/>
      <c r="E675" s="47"/>
      <c r="F675" s="47"/>
      <c r="G675" s="47"/>
      <c r="H675" s="47"/>
      <c r="I675" s="47"/>
    </row>
    <row r="676">
      <c r="B676" s="47"/>
      <c r="C676" s="47"/>
      <c r="D676" s="47"/>
      <c r="E676" s="47"/>
      <c r="F676" s="47"/>
      <c r="G676" s="47"/>
      <c r="H676" s="47"/>
      <c r="I676" s="47"/>
    </row>
    <row r="677">
      <c r="B677" s="47"/>
      <c r="C677" s="47"/>
      <c r="D677" s="47"/>
      <c r="E677" s="47"/>
      <c r="F677" s="47"/>
      <c r="G677" s="47"/>
      <c r="H677" s="47"/>
      <c r="I677" s="47"/>
    </row>
    <row r="678">
      <c r="B678" s="47"/>
      <c r="C678" s="47"/>
      <c r="D678" s="47"/>
      <c r="E678" s="47"/>
      <c r="F678" s="47"/>
      <c r="G678" s="47"/>
      <c r="H678" s="47"/>
      <c r="I678" s="47"/>
    </row>
    <row r="679">
      <c r="B679" s="47"/>
      <c r="C679" s="47"/>
      <c r="D679" s="47"/>
      <c r="E679" s="47"/>
      <c r="F679" s="47"/>
      <c r="G679" s="47"/>
      <c r="H679" s="47"/>
      <c r="I679" s="47"/>
    </row>
    <row r="680">
      <c r="B680" s="47"/>
      <c r="C680" s="47"/>
      <c r="D680" s="47"/>
      <c r="E680" s="47"/>
      <c r="F680" s="47"/>
      <c r="G680" s="47"/>
      <c r="H680" s="47"/>
      <c r="I680" s="47"/>
    </row>
    <row r="681">
      <c r="B681" s="47"/>
      <c r="C681" s="47"/>
      <c r="D681" s="47"/>
      <c r="E681" s="47"/>
      <c r="F681" s="47"/>
      <c r="G681" s="47"/>
      <c r="H681" s="47"/>
      <c r="I681" s="47"/>
    </row>
    <row r="682">
      <c r="B682" s="47"/>
      <c r="C682" s="47"/>
      <c r="D682" s="47"/>
      <c r="E682" s="47"/>
      <c r="F682" s="47"/>
      <c r="G682" s="47"/>
      <c r="H682" s="47"/>
      <c r="I682" s="47"/>
    </row>
    <row r="683">
      <c r="B683" s="47"/>
      <c r="C683" s="47"/>
      <c r="D683" s="47"/>
      <c r="E683" s="47"/>
      <c r="F683" s="47"/>
      <c r="G683" s="47"/>
      <c r="H683" s="47"/>
      <c r="I683" s="47"/>
    </row>
    <row r="684">
      <c r="B684" s="47"/>
      <c r="C684" s="47"/>
      <c r="D684" s="47"/>
      <c r="E684" s="47"/>
      <c r="F684" s="47"/>
      <c r="G684" s="47"/>
      <c r="H684" s="47"/>
      <c r="I684" s="47"/>
    </row>
    <row r="685">
      <c r="B685" s="47"/>
      <c r="C685" s="47"/>
      <c r="D685" s="47"/>
      <c r="E685" s="47"/>
      <c r="F685" s="47"/>
      <c r="G685" s="47"/>
      <c r="H685" s="47"/>
      <c r="I685" s="47"/>
    </row>
    <row r="686">
      <c r="B686" s="47"/>
      <c r="C686" s="47"/>
      <c r="D686" s="47"/>
      <c r="E686" s="47"/>
      <c r="F686" s="47"/>
      <c r="G686" s="47"/>
      <c r="H686" s="47"/>
      <c r="I686" s="47"/>
    </row>
    <row r="687">
      <c r="B687" s="47"/>
      <c r="C687" s="47"/>
      <c r="D687" s="47"/>
      <c r="E687" s="47"/>
      <c r="F687" s="47"/>
      <c r="G687" s="47"/>
      <c r="H687" s="47"/>
      <c r="I687" s="47"/>
    </row>
    <row r="688">
      <c r="B688" s="47"/>
      <c r="C688" s="47"/>
      <c r="D688" s="47"/>
      <c r="E688" s="47"/>
      <c r="F688" s="47"/>
      <c r="G688" s="47"/>
      <c r="H688" s="47"/>
      <c r="I688" s="47"/>
    </row>
    <row r="689">
      <c r="B689" s="47"/>
      <c r="C689" s="47"/>
      <c r="D689" s="47"/>
      <c r="E689" s="47"/>
      <c r="F689" s="47"/>
      <c r="G689" s="47"/>
      <c r="H689" s="47"/>
      <c r="I689" s="47"/>
    </row>
    <row r="690">
      <c r="B690" s="47"/>
      <c r="C690" s="47"/>
      <c r="D690" s="47"/>
      <c r="E690" s="47"/>
      <c r="F690" s="47"/>
      <c r="G690" s="47"/>
      <c r="H690" s="47"/>
      <c r="I690" s="47"/>
    </row>
    <row r="691">
      <c r="B691" s="47"/>
      <c r="C691" s="47"/>
      <c r="D691" s="47"/>
      <c r="E691" s="47"/>
      <c r="F691" s="47"/>
      <c r="G691" s="47"/>
      <c r="H691" s="47"/>
      <c r="I691" s="47"/>
    </row>
    <row r="692">
      <c r="B692" s="47"/>
      <c r="C692" s="47"/>
      <c r="D692" s="47"/>
      <c r="E692" s="47"/>
      <c r="F692" s="47"/>
      <c r="G692" s="47"/>
      <c r="H692" s="47"/>
      <c r="I692" s="47"/>
    </row>
    <row r="693">
      <c r="B693" s="47"/>
      <c r="C693" s="47"/>
      <c r="D693" s="47"/>
      <c r="E693" s="47"/>
      <c r="F693" s="47"/>
      <c r="G693" s="47"/>
      <c r="H693" s="47"/>
      <c r="I693" s="47"/>
    </row>
    <row r="694">
      <c r="B694" s="47"/>
      <c r="C694" s="47"/>
      <c r="D694" s="47"/>
      <c r="E694" s="47"/>
      <c r="F694" s="47"/>
      <c r="G694" s="47"/>
      <c r="H694" s="47"/>
      <c r="I694" s="47"/>
    </row>
    <row r="695">
      <c r="B695" s="47"/>
      <c r="C695" s="47"/>
      <c r="D695" s="47"/>
      <c r="E695" s="47"/>
      <c r="F695" s="47"/>
      <c r="G695" s="47"/>
      <c r="H695" s="47"/>
      <c r="I695" s="47"/>
    </row>
    <row r="696">
      <c r="B696" s="47"/>
      <c r="C696" s="47"/>
      <c r="D696" s="47"/>
      <c r="E696" s="47"/>
      <c r="F696" s="47"/>
      <c r="G696" s="47"/>
      <c r="H696" s="47"/>
      <c r="I696" s="47"/>
    </row>
    <row r="697">
      <c r="B697" s="47"/>
      <c r="C697" s="47"/>
      <c r="D697" s="47"/>
      <c r="E697" s="47"/>
      <c r="F697" s="47"/>
      <c r="G697" s="47"/>
      <c r="H697" s="47"/>
      <c r="I697" s="47"/>
    </row>
    <row r="698">
      <c r="B698" s="47"/>
      <c r="C698" s="47"/>
      <c r="D698" s="47"/>
      <c r="E698" s="47"/>
      <c r="F698" s="47"/>
      <c r="G698" s="47"/>
      <c r="H698" s="47"/>
      <c r="I698" s="47"/>
    </row>
    <row r="699">
      <c r="B699" s="47"/>
      <c r="C699" s="47"/>
      <c r="D699" s="47"/>
      <c r="E699" s="47"/>
      <c r="F699" s="47"/>
      <c r="G699" s="47"/>
      <c r="H699" s="47"/>
      <c r="I699" s="47"/>
    </row>
    <row r="700">
      <c r="B700" s="47"/>
      <c r="C700" s="47"/>
      <c r="D700" s="47"/>
      <c r="E700" s="47"/>
      <c r="F700" s="47"/>
      <c r="G700" s="47"/>
      <c r="H700" s="47"/>
      <c r="I700" s="47"/>
    </row>
    <row r="701">
      <c r="B701" s="47"/>
      <c r="C701" s="47"/>
      <c r="D701" s="47"/>
      <c r="E701" s="47"/>
      <c r="F701" s="47"/>
      <c r="G701" s="47"/>
      <c r="H701" s="47"/>
      <c r="I701" s="47"/>
    </row>
    <row r="702">
      <c r="B702" s="47"/>
      <c r="C702" s="47"/>
      <c r="D702" s="47"/>
      <c r="E702" s="47"/>
      <c r="F702" s="47"/>
      <c r="G702" s="47"/>
      <c r="H702" s="47"/>
      <c r="I702" s="47"/>
    </row>
    <row r="703">
      <c r="B703" s="47"/>
      <c r="C703" s="47"/>
      <c r="D703" s="47"/>
      <c r="E703" s="47"/>
      <c r="F703" s="47"/>
      <c r="G703" s="47"/>
      <c r="H703" s="47"/>
      <c r="I703" s="47"/>
    </row>
    <row r="704">
      <c r="B704" s="47"/>
      <c r="C704" s="47"/>
      <c r="D704" s="47"/>
      <c r="E704" s="47"/>
      <c r="F704" s="47"/>
      <c r="G704" s="47"/>
      <c r="H704" s="47"/>
      <c r="I704" s="47"/>
    </row>
    <row r="705">
      <c r="B705" s="47"/>
      <c r="C705" s="47"/>
      <c r="D705" s="47"/>
      <c r="E705" s="47"/>
      <c r="F705" s="47"/>
      <c r="G705" s="47"/>
      <c r="H705" s="47"/>
      <c r="I705" s="47"/>
    </row>
    <row r="706">
      <c r="B706" s="47"/>
      <c r="C706" s="47"/>
      <c r="D706" s="47"/>
      <c r="E706" s="47"/>
      <c r="F706" s="47"/>
      <c r="G706" s="47"/>
      <c r="H706" s="47"/>
      <c r="I706" s="47"/>
    </row>
    <row r="707">
      <c r="B707" s="47"/>
      <c r="C707" s="47"/>
      <c r="D707" s="47"/>
      <c r="E707" s="47"/>
      <c r="F707" s="47"/>
      <c r="G707" s="47"/>
      <c r="H707" s="47"/>
      <c r="I707" s="47"/>
    </row>
    <row r="708">
      <c r="B708" s="47"/>
      <c r="C708" s="47"/>
      <c r="D708" s="47"/>
      <c r="E708" s="47"/>
      <c r="F708" s="47"/>
      <c r="G708" s="47"/>
      <c r="H708" s="47"/>
      <c r="I708" s="47"/>
    </row>
    <row r="709">
      <c r="B709" s="47"/>
      <c r="C709" s="47"/>
      <c r="D709" s="47"/>
      <c r="E709" s="47"/>
      <c r="F709" s="47"/>
      <c r="G709" s="47"/>
      <c r="H709" s="47"/>
      <c r="I709" s="47"/>
    </row>
    <row r="710">
      <c r="B710" s="47"/>
      <c r="C710" s="47"/>
      <c r="D710" s="47"/>
      <c r="E710" s="47"/>
      <c r="F710" s="47"/>
      <c r="G710" s="47"/>
      <c r="H710" s="47"/>
      <c r="I710" s="47"/>
    </row>
    <row r="711">
      <c r="B711" s="47"/>
      <c r="C711" s="47"/>
      <c r="D711" s="47"/>
      <c r="E711" s="47"/>
      <c r="F711" s="47"/>
      <c r="G711" s="47"/>
      <c r="H711" s="47"/>
      <c r="I711" s="47"/>
    </row>
    <row r="712">
      <c r="B712" s="47"/>
      <c r="C712" s="47"/>
      <c r="D712" s="47"/>
      <c r="E712" s="47"/>
      <c r="F712" s="47"/>
      <c r="G712" s="47"/>
      <c r="H712" s="47"/>
      <c r="I712" s="47"/>
    </row>
    <row r="713">
      <c r="B713" s="47"/>
      <c r="C713" s="47"/>
      <c r="D713" s="47"/>
      <c r="E713" s="47"/>
      <c r="F713" s="47"/>
      <c r="G713" s="47"/>
      <c r="H713" s="47"/>
      <c r="I713" s="47"/>
    </row>
    <row r="714">
      <c r="B714" s="47"/>
      <c r="C714" s="47"/>
      <c r="D714" s="47"/>
      <c r="E714" s="47"/>
      <c r="F714" s="47"/>
      <c r="G714" s="47"/>
      <c r="H714" s="47"/>
      <c r="I714" s="47"/>
    </row>
    <row r="715">
      <c r="B715" s="47"/>
      <c r="C715" s="47"/>
      <c r="D715" s="47"/>
      <c r="E715" s="47"/>
      <c r="F715" s="47"/>
      <c r="G715" s="47"/>
      <c r="H715" s="47"/>
      <c r="I715" s="47"/>
    </row>
    <row r="716">
      <c r="B716" s="47"/>
      <c r="C716" s="47"/>
      <c r="D716" s="47"/>
      <c r="E716" s="47"/>
      <c r="F716" s="47"/>
      <c r="G716" s="47"/>
      <c r="H716" s="47"/>
      <c r="I716" s="47"/>
    </row>
    <row r="717">
      <c r="B717" s="47"/>
      <c r="C717" s="47"/>
      <c r="D717" s="47"/>
      <c r="E717" s="47"/>
      <c r="F717" s="47"/>
      <c r="G717" s="47"/>
      <c r="H717" s="47"/>
      <c r="I717" s="47"/>
    </row>
    <row r="718">
      <c r="B718" s="47"/>
      <c r="C718" s="47"/>
      <c r="D718" s="47"/>
      <c r="E718" s="47"/>
      <c r="F718" s="47"/>
      <c r="G718" s="47"/>
      <c r="H718" s="47"/>
      <c r="I718" s="47"/>
    </row>
    <row r="719">
      <c r="B719" s="47"/>
      <c r="C719" s="47"/>
      <c r="D719" s="47"/>
      <c r="E719" s="47"/>
      <c r="F719" s="47"/>
      <c r="G719" s="47"/>
      <c r="H719" s="47"/>
      <c r="I719" s="47"/>
    </row>
    <row r="720">
      <c r="B720" s="47"/>
      <c r="C720" s="47"/>
      <c r="D720" s="47"/>
      <c r="E720" s="47"/>
      <c r="F720" s="47"/>
      <c r="G720" s="47"/>
      <c r="H720" s="47"/>
      <c r="I720" s="47"/>
    </row>
    <row r="721">
      <c r="B721" s="47"/>
      <c r="C721" s="47"/>
      <c r="D721" s="47"/>
      <c r="E721" s="47"/>
      <c r="F721" s="47"/>
      <c r="G721" s="47"/>
      <c r="H721" s="47"/>
      <c r="I721" s="47"/>
    </row>
    <row r="722">
      <c r="B722" s="47"/>
      <c r="C722" s="47"/>
      <c r="D722" s="47"/>
      <c r="E722" s="47"/>
      <c r="F722" s="47"/>
      <c r="G722" s="47"/>
      <c r="H722" s="47"/>
      <c r="I722" s="47"/>
    </row>
    <row r="723">
      <c r="B723" s="47"/>
      <c r="C723" s="47"/>
      <c r="D723" s="47"/>
      <c r="E723" s="47"/>
      <c r="F723" s="47"/>
      <c r="G723" s="47"/>
      <c r="H723" s="47"/>
      <c r="I723" s="47"/>
    </row>
    <row r="724">
      <c r="B724" s="47"/>
      <c r="C724" s="47"/>
      <c r="D724" s="47"/>
      <c r="E724" s="47"/>
      <c r="F724" s="47"/>
      <c r="G724" s="47"/>
      <c r="H724" s="47"/>
      <c r="I724" s="47"/>
    </row>
    <row r="725">
      <c r="B725" s="47"/>
      <c r="C725" s="47"/>
      <c r="D725" s="47"/>
      <c r="E725" s="47"/>
      <c r="F725" s="47"/>
      <c r="G725" s="47"/>
      <c r="H725" s="47"/>
      <c r="I725" s="47"/>
    </row>
    <row r="726">
      <c r="B726" s="47"/>
      <c r="C726" s="47"/>
      <c r="D726" s="47"/>
      <c r="E726" s="47"/>
      <c r="F726" s="47"/>
      <c r="G726" s="47"/>
      <c r="H726" s="47"/>
      <c r="I726" s="47"/>
    </row>
    <row r="727">
      <c r="B727" s="47"/>
      <c r="C727" s="47"/>
      <c r="D727" s="47"/>
      <c r="E727" s="47"/>
      <c r="F727" s="47"/>
      <c r="G727" s="47"/>
      <c r="H727" s="47"/>
      <c r="I727" s="47"/>
    </row>
    <row r="728">
      <c r="B728" s="47"/>
      <c r="C728" s="47"/>
      <c r="D728" s="47"/>
      <c r="E728" s="47"/>
      <c r="F728" s="47"/>
      <c r="G728" s="47"/>
      <c r="H728" s="47"/>
      <c r="I728" s="47"/>
    </row>
    <row r="729">
      <c r="B729" s="47"/>
      <c r="C729" s="47"/>
      <c r="D729" s="47"/>
      <c r="E729" s="47"/>
      <c r="F729" s="47"/>
      <c r="G729" s="47"/>
      <c r="H729" s="47"/>
      <c r="I729" s="47"/>
    </row>
    <row r="730">
      <c r="B730" s="47"/>
      <c r="C730" s="47"/>
      <c r="D730" s="47"/>
      <c r="E730" s="47"/>
      <c r="F730" s="47"/>
      <c r="G730" s="47"/>
      <c r="H730" s="47"/>
      <c r="I730" s="47"/>
    </row>
    <row r="731">
      <c r="B731" s="47"/>
      <c r="C731" s="47"/>
      <c r="D731" s="47"/>
      <c r="E731" s="47"/>
      <c r="F731" s="47"/>
      <c r="G731" s="47"/>
      <c r="H731" s="47"/>
      <c r="I731" s="47"/>
    </row>
    <row r="732">
      <c r="B732" s="47"/>
      <c r="C732" s="47"/>
      <c r="D732" s="47"/>
      <c r="E732" s="47"/>
      <c r="F732" s="47"/>
      <c r="G732" s="47"/>
      <c r="H732" s="47"/>
      <c r="I732" s="47"/>
    </row>
    <row r="733">
      <c r="B733" s="47"/>
      <c r="C733" s="47"/>
      <c r="D733" s="47"/>
      <c r="E733" s="47"/>
      <c r="F733" s="47"/>
      <c r="G733" s="47"/>
      <c r="H733" s="47"/>
      <c r="I733" s="47"/>
    </row>
    <row r="734">
      <c r="B734" s="47"/>
      <c r="C734" s="47"/>
      <c r="D734" s="47"/>
      <c r="E734" s="47"/>
      <c r="F734" s="47"/>
      <c r="G734" s="47"/>
      <c r="H734" s="47"/>
      <c r="I734" s="47"/>
    </row>
    <row r="735">
      <c r="B735" s="47"/>
      <c r="C735" s="47"/>
      <c r="D735" s="47"/>
      <c r="E735" s="47"/>
      <c r="F735" s="47"/>
      <c r="G735" s="47"/>
      <c r="H735" s="47"/>
      <c r="I735" s="47"/>
    </row>
    <row r="736">
      <c r="B736" s="47"/>
      <c r="C736" s="47"/>
      <c r="D736" s="47"/>
      <c r="E736" s="47"/>
      <c r="F736" s="47"/>
      <c r="G736" s="47"/>
      <c r="H736" s="47"/>
      <c r="I736" s="47"/>
    </row>
    <row r="737">
      <c r="B737" s="47"/>
      <c r="C737" s="47"/>
      <c r="D737" s="47"/>
      <c r="E737" s="47"/>
      <c r="F737" s="47"/>
      <c r="G737" s="47"/>
      <c r="H737" s="47"/>
      <c r="I737" s="47"/>
    </row>
    <row r="738">
      <c r="B738" s="47"/>
      <c r="C738" s="47"/>
      <c r="D738" s="47"/>
      <c r="E738" s="47"/>
      <c r="F738" s="47"/>
      <c r="G738" s="47"/>
      <c r="H738" s="47"/>
      <c r="I738" s="47"/>
    </row>
    <row r="739">
      <c r="B739" s="47"/>
      <c r="C739" s="47"/>
      <c r="D739" s="47"/>
      <c r="E739" s="47"/>
      <c r="F739" s="47"/>
      <c r="G739" s="47"/>
      <c r="H739" s="47"/>
      <c r="I739" s="47"/>
    </row>
    <row r="740">
      <c r="B740" s="47"/>
      <c r="C740" s="47"/>
      <c r="D740" s="47"/>
      <c r="E740" s="47"/>
      <c r="F740" s="47"/>
      <c r="G740" s="47"/>
      <c r="H740" s="47"/>
      <c r="I740" s="47"/>
    </row>
    <row r="741">
      <c r="B741" s="47"/>
      <c r="C741" s="47"/>
      <c r="D741" s="47"/>
      <c r="E741" s="47"/>
      <c r="F741" s="47"/>
      <c r="G741" s="47"/>
      <c r="H741" s="47"/>
      <c r="I741" s="47"/>
    </row>
    <row r="742">
      <c r="B742" s="47"/>
      <c r="C742" s="47"/>
      <c r="D742" s="47"/>
      <c r="E742" s="47"/>
      <c r="F742" s="47"/>
      <c r="G742" s="47"/>
      <c r="H742" s="47"/>
      <c r="I742" s="47"/>
    </row>
    <row r="743">
      <c r="B743" s="47"/>
      <c r="C743" s="47"/>
      <c r="D743" s="47"/>
      <c r="E743" s="47"/>
      <c r="F743" s="47"/>
      <c r="G743" s="47"/>
      <c r="H743" s="47"/>
      <c r="I743" s="47"/>
    </row>
    <row r="744">
      <c r="B744" s="47"/>
      <c r="C744" s="47"/>
      <c r="D744" s="47"/>
      <c r="E744" s="47"/>
      <c r="F744" s="47"/>
      <c r="G744" s="47"/>
      <c r="H744" s="47"/>
      <c r="I744" s="47"/>
    </row>
    <row r="745">
      <c r="B745" s="47"/>
      <c r="C745" s="47"/>
      <c r="D745" s="47"/>
      <c r="E745" s="47"/>
      <c r="F745" s="47"/>
      <c r="G745" s="47"/>
      <c r="H745" s="47"/>
      <c r="I745" s="47"/>
    </row>
    <row r="746">
      <c r="B746" s="47"/>
      <c r="C746" s="47"/>
      <c r="D746" s="47"/>
      <c r="E746" s="47"/>
      <c r="F746" s="47"/>
      <c r="G746" s="47"/>
      <c r="H746" s="47"/>
      <c r="I746" s="47"/>
    </row>
    <row r="747">
      <c r="B747" s="47"/>
      <c r="C747" s="47"/>
      <c r="D747" s="47"/>
      <c r="E747" s="47"/>
      <c r="F747" s="47"/>
      <c r="G747" s="47"/>
      <c r="H747" s="47"/>
      <c r="I747" s="47"/>
    </row>
    <row r="748">
      <c r="B748" s="47"/>
      <c r="C748" s="47"/>
      <c r="D748" s="47"/>
      <c r="E748" s="47"/>
      <c r="F748" s="47"/>
      <c r="G748" s="47"/>
      <c r="H748" s="47"/>
      <c r="I748" s="47"/>
    </row>
    <row r="749">
      <c r="B749" s="47"/>
      <c r="C749" s="47"/>
      <c r="D749" s="47"/>
      <c r="E749" s="47"/>
      <c r="F749" s="47"/>
      <c r="G749" s="47"/>
      <c r="H749" s="47"/>
      <c r="I749" s="47"/>
    </row>
    <row r="750">
      <c r="B750" s="47"/>
      <c r="C750" s="47"/>
      <c r="D750" s="47"/>
      <c r="E750" s="47"/>
      <c r="F750" s="47"/>
      <c r="G750" s="47"/>
      <c r="H750" s="47"/>
      <c r="I750" s="47"/>
    </row>
    <row r="751">
      <c r="B751" s="47"/>
      <c r="C751" s="47"/>
      <c r="D751" s="47"/>
      <c r="E751" s="47"/>
      <c r="F751" s="47"/>
      <c r="G751" s="47"/>
      <c r="H751" s="47"/>
      <c r="I751" s="47"/>
    </row>
    <row r="752">
      <c r="B752" s="47"/>
      <c r="C752" s="47"/>
      <c r="D752" s="47"/>
      <c r="E752" s="47"/>
      <c r="F752" s="47"/>
      <c r="G752" s="47"/>
      <c r="H752" s="47"/>
      <c r="I752" s="47"/>
    </row>
    <row r="753">
      <c r="B753" s="47"/>
      <c r="C753" s="47"/>
      <c r="D753" s="47"/>
      <c r="E753" s="47"/>
      <c r="F753" s="47"/>
      <c r="G753" s="47"/>
      <c r="H753" s="47"/>
      <c r="I753" s="47"/>
    </row>
    <row r="754">
      <c r="B754" s="47"/>
      <c r="C754" s="47"/>
      <c r="D754" s="47"/>
      <c r="E754" s="47"/>
      <c r="F754" s="47"/>
      <c r="G754" s="47"/>
      <c r="H754" s="47"/>
      <c r="I754" s="47"/>
    </row>
    <row r="755">
      <c r="B755" s="47"/>
      <c r="C755" s="47"/>
      <c r="D755" s="47"/>
      <c r="E755" s="47"/>
      <c r="F755" s="47"/>
      <c r="G755" s="47"/>
      <c r="H755" s="47"/>
      <c r="I755" s="47"/>
    </row>
    <row r="756">
      <c r="B756" s="47"/>
      <c r="C756" s="47"/>
      <c r="D756" s="47"/>
      <c r="E756" s="47"/>
      <c r="F756" s="47"/>
      <c r="G756" s="47"/>
      <c r="H756" s="47"/>
      <c r="I756" s="47"/>
    </row>
    <row r="757">
      <c r="B757" s="47"/>
      <c r="C757" s="47"/>
      <c r="D757" s="47"/>
      <c r="E757" s="47"/>
      <c r="F757" s="47"/>
      <c r="G757" s="47"/>
      <c r="H757" s="47"/>
      <c r="I757" s="47"/>
    </row>
    <row r="758">
      <c r="B758" s="47"/>
      <c r="C758" s="47"/>
      <c r="D758" s="47"/>
      <c r="E758" s="47"/>
      <c r="F758" s="47"/>
      <c r="G758" s="47"/>
      <c r="H758" s="47"/>
      <c r="I758" s="47"/>
    </row>
    <row r="759">
      <c r="B759" s="47"/>
      <c r="C759" s="47"/>
      <c r="D759" s="47"/>
      <c r="E759" s="47"/>
      <c r="F759" s="47"/>
      <c r="G759" s="47"/>
      <c r="H759" s="47"/>
      <c r="I759" s="47"/>
    </row>
    <row r="760">
      <c r="B760" s="47"/>
      <c r="C760" s="47"/>
      <c r="D760" s="47"/>
      <c r="E760" s="47"/>
      <c r="F760" s="47"/>
      <c r="G760" s="47"/>
      <c r="H760" s="47"/>
      <c r="I760" s="47"/>
    </row>
    <row r="761">
      <c r="B761" s="47"/>
      <c r="C761" s="47"/>
      <c r="D761" s="47"/>
      <c r="E761" s="47"/>
      <c r="F761" s="47"/>
      <c r="G761" s="47"/>
      <c r="H761" s="47"/>
      <c r="I761" s="47"/>
    </row>
    <row r="762">
      <c r="B762" s="47"/>
      <c r="C762" s="47"/>
      <c r="D762" s="47"/>
      <c r="E762" s="47"/>
      <c r="F762" s="47"/>
      <c r="G762" s="47"/>
      <c r="H762" s="47"/>
      <c r="I762" s="47"/>
    </row>
    <row r="763">
      <c r="B763" s="47"/>
      <c r="C763" s="47"/>
      <c r="D763" s="47"/>
      <c r="E763" s="47"/>
      <c r="F763" s="47"/>
      <c r="G763" s="47"/>
      <c r="H763" s="47"/>
      <c r="I763" s="47"/>
    </row>
    <row r="764">
      <c r="B764" s="47"/>
      <c r="C764" s="47"/>
      <c r="D764" s="47"/>
      <c r="E764" s="47"/>
      <c r="F764" s="47"/>
      <c r="G764" s="47"/>
      <c r="H764" s="47"/>
      <c r="I764" s="47"/>
    </row>
    <row r="765">
      <c r="B765" s="47"/>
      <c r="C765" s="47"/>
      <c r="D765" s="47"/>
      <c r="E765" s="47"/>
      <c r="F765" s="47"/>
      <c r="G765" s="47"/>
      <c r="H765" s="47"/>
      <c r="I765" s="47"/>
    </row>
    <row r="766">
      <c r="B766" s="47"/>
      <c r="C766" s="47"/>
      <c r="D766" s="47"/>
      <c r="E766" s="47"/>
      <c r="F766" s="47"/>
      <c r="G766" s="47"/>
      <c r="H766" s="47"/>
      <c r="I766" s="47"/>
    </row>
    <row r="767">
      <c r="B767" s="47"/>
      <c r="C767" s="47"/>
      <c r="D767" s="47"/>
      <c r="E767" s="47"/>
      <c r="F767" s="47"/>
      <c r="G767" s="47"/>
      <c r="H767" s="47"/>
      <c r="I767" s="47"/>
    </row>
    <row r="768">
      <c r="B768" s="47"/>
      <c r="C768" s="47"/>
      <c r="D768" s="47"/>
      <c r="E768" s="47"/>
      <c r="F768" s="47"/>
      <c r="G768" s="47"/>
      <c r="H768" s="47"/>
      <c r="I768" s="47"/>
    </row>
    <row r="769">
      <c r="B769" s="47"/>
      <c r="C769" s="47"/>
      <c r="D769" s="47"/>
      <c r="E769" s="47"/>
      <c r="F769" s="47"/>
      <c r="G769" s="47"/>
      <c r="H769" s="47"/>
      <c r="I769" s="47"/>
    </row>
    <row r="770">
      <c r="B770" s="47"/>
      <c r="C770" s="47"/>
      <c r="D770" s="47"/>
      <c r="E770" s="47"/>
      <c r="F770" s="47"/>
      <c r="G770" s="47"/>
      <c r="H770" s="47"/>
      <c r="I770" s="47"/>
    </row>
    <row r="771">
      <c r="B771" s="47"/>
      <c r="C771" s="47"/>
      <c r="D771" s="47"/>
      <c r="E771" s="47"/>
      <c r="F771" s="47"/>
      <c r="G771" s="47"/>
      <c r="H771" s="47"/>
      <c r="I771" s="47"/>
    </row>
    <row r="772">
      <c r="B772" s="47"/>
      <c r="C772" s="47"/>
      <c r="D772" s="47"/>
      <c r="E772" s="47"/>
      <c r="F772" s="47"/>
      <c r="G772" s="47"/>
      <c r="H772" s="47"/>
      <c r="I772" s="47"/>
    </row>
    <row r="773">
      <c r="B773" s="47"/>
      <c r="C773" s="47"/>
      <c r="D773" s="47"/>
      <c r="E773" s="47"/>
      <c r="F773" s="47"/>
      <c r="G773" s="47"/>
      <c r="H773" s="47"/>
      <c r="I773" s="47"/>
    </row>
    <row r="774">
      <c r="B774" s="47"/>
      <c r="C774" s="47"/>
      <c r="D774" s="47"/>
      <c r="E774" s="47"/>
      <c r="F774" s="47"/>
      <c r="G774" s="47"/>
      <c r="H774" s="47"/>
      <c r="I774" s="47"/>
    </row>
    <row r="775">
      <c r="B775" s="47"/>
      <c r="C775" s="47"/>
      <c r="D775" s="47"/>
      <c r="E775" s="47"/>
      <c r="F775" s="47"/>
      <c r="G775" s="47"/>
      <c r="H775" s="47"/>
      <c r="I775" s="47"/>
    </row>
    <row r="776">
      <c r="B776" s="47"/>
      <c r="C776" s="47"/>
      <c r="D776" s="47"/>
      <c r="E776" s="47"/>
      <c r="F776" s="47"/>
      <c r="G776" s="47"/>
      <c r="H776" s="47"/>
      <c r="I776" s="47"/>
    </row>
    <row r="777">
      <c r="B777" s="47"/>
      <c r="C777" s="47"/>
      <c r="D777" s="47"/>
      <c r="E777" s="47"/>
      <c r="F777" s="47"/>
      <c r="G777" s="47"/>
      <c r="H777" s="47"/>
      <c r="I777" s="47"/>
    </row>
    <row r="778">
      <c r="B778" s="47"/>
      <c r="C778" s="47"/>
      <c r="D778" s="47"/>
      <c r="E778" s="47"/>
      <c r="F778" s="47"/>
      <c r="G778" s="47"/>
      <c r="H778" s="47"/>
      <c r="I778" s="47"/>
    </row>
    <row r="779">
      <c r="B779" s="47"/>
      <c r="C779" s="47"/>
      <c r="D779" s="47"/>
      <c r="E779" s="47"/>
      <c r="F779" s="47"/>
      <c r="G779" s="47"/>
      <c r="H779" s="47"/>
      <c r="I779" s="47"/>
    </row>
    <row r="780">
      <c r="B780" s="47"/>
      <c r="C780" s="47"/>
      <c r="D780" s="47"/>
      <c r="E780" s="47"/>
      <c r="F780" s="47"/>
      <c r="G780" s="47"/>
      <c r="H780" s="47"/>
      <c r="I780" s="47"/>
    </row>
    <row r="781">
      <c r="B781" s="47"/>
      <c r="C781" s="47"/>
      <c r="D781" s="47"/>
      <c r="E781" s="47"/>
      <c r="F781" s="47"/>
      <c r="G781" s="47"/>
      <c r="H781" s="47"/>
      <c r="I781" s="47"/>
    </row>
    <row r="782">
      <c r="B782" s="47"/>
      <c r="C782" s="47"/>
      <c r="D782" s="47"/>
      <c r="E782" s="47"/>
      <c r="F782" s="47"/>
      <c r="G782" s="47"/>
      <c r="H782" s="47"/>
      <c r="I782" s="47"/>
    </row>
    <row r="783">
      <c r="B783" s="47"/>
      <c r="C783" s="47"/>
      <c r="D783" s="47"/>
      <c r="E783" s="47"/>
      <c r="F783" s="47"/>
      <c r="G783" s="47"/>
      <c r="H783" s="47"/>
      <c r="I783" s="47"/>
    </row>
    <row r="784">
      <c r="B784" s="47"/>
      <c r="C784" s="47"/>
      <c r="D784" s="47"/>
      <c r="E784" s="47"/>
      <c r="F784" s="47"/>
      <c r="G784" s="47"/>
      <c r="H784" s="47"/>
      <c r="I784" s="47"/>
    </row>
    <row r="785">
      <c r="B785" s="47"/>
      <c r="C785" s="47"/>
      <c r="D785" s="47"/>
      <c r="E785" s="47"/>
      <c r="F785" s="47"/>
      <c r="G785" s="47"/>
      <c r="H785" s="47"/>
      <c r="I785" s="47"/>
    </row>
    <row r="786">
      <c r="B786" s="47"/>
      <c r="C786" s="47"/>
      <c r="D786" s="47"/>
      <c r="E786" s="47"/>
      <c r="F786" s="47"/>
      <c r="G786" s="47"/>
      <c r="H786" s="47"/>
      <c r="I786" s="47"/>
    </row>
    <row r="787">
      <c r="B787" s="47"/>
      <c r="C787" s="47"/>
      <c r="D787" s="47"/>
      <c r="E787" s="47"/>
      <c r="F787" s="47"/>
      <c r="G787" s="47"/>
      <c r="H787" s="47"/>
      <c r="I787" s="47"/>
    </row>
    <row r="788">
      <c r="B788" s="47"/>
      <c r="C788" s="47"/>
      <c r="D788" s="47"/>
      <c r="E788" s="47"/>
      <c r="F788" s="47"/>
      <c r="G788" s="47"/>
      <c r="H788" s="47"/>
      <c r="I788" s="47"/>
    </row>
    <row r="789">
      <c r="B789" s="47"/>
      <c r="C789" s="47"/>
      <c r="D789" s="47"/>
      <c r="E789" s="47"/>
      <c r="F789" s="47"/>
      <c r="G789" s="47"/>
      <c r="H789" s="47"/>
      <c r="I789" s="47"/>
    </row>
    <row r="790">
      <c r="B790" s="47"/>
      <c r="C790" s="47"/>
      <c r="D790" s="47"/>
      <c r="E790" s="47"/>
      <c r="F790" s="47"/>
      <c r="G790" s="47"/>
      <c r="H790" s="47"/>
      <c r="I790" s="47"/>
    </row>
    <row r="791">
      <c r="B791" s="47"/>
      <c r="C791" s="47"/>
      <c r="D791" s="47"/>
      <c r="E791" s="47"/>
      <c r="F791" s="47"/>
      <c r="G791" s="47"/>
      <c r="H791" s="47"/>
      <c r="I791" s="47"/>
    </row>
    <row r="792">
      <c r="B792" s="47"/>
      <c r="C792" s="47"/>
      <c r="D792" s="47"/>
      <c r="E792" s="47"/>
      <c r="F792" s="47"/>
      <c r="G792" s="47"/>
      <c r="H792" s="47"/>
      <c r="I792" s="47"/>
    </row>
    <row r="793">
      <c r="B793" s="47"/>
      <c r="C793" s="47"/>
      <c r="D793" s="47"/>
      <c r="E793" s="47"/>
      <c r="F793" s="47"/>
      <c r="G793" s="47"/>
      <c r="H793" s="47"/>
      <c r="I793" s="47"/>
    </row>
    <row r="794">
      <c r="B794" s="47"/>
      <c r="C794" s="47"/>
      <c r="D794" s="47"/>
      <c r="E794" s="47"/>
      <c r="F794" s="47"/>
      <c r="G794" s="47"/>
      <c r="H794" s="47"/>
      <c r="I794" s="47"/>
    </row>
    <row r="795">
      <c r="B795" s="47"/>
      <c r="C795" s="47"/>
      <c r="D795" s="47"/>
      <c r="E795" s="47"/>
      <c r="F795" s="47"/>
      <c r="G795" s="47"/>
      <c r="H795" s="47"/>
      <c r="I795" s="47"/>
    </row>
    <row r="796">
      <c r="B796" s="47"/>
      <c r="C796" s="47"/>
      <c r="D796" s="47"/>
      <c r="E796" s="47"/>
      <c r="F796" s="47"/>
      <c r="G796" s="47"/>
      <c r="H796" s="47"/>
      <c r="I796" s="47"/>
    </row>
    <row r="797">
      <c r="B797" s="47"/>
      <c r="C797" s="47"/>
      <c r="D797" s="47"/>
      <c r="E797" s="47"/>
      <c r="F797" s="47"/>
      <c r="G797" s="47"/>
      <c r="H797" s="47"/>
      <c r="I797" s="47"/>
    </row>
    <row r="798">
      <c r="B798" s="47"/>
      <c r="C798" s="47"/>
      <c r="D798" s="47"/>
      <c r="E798" s="47"/>
      <c r="F798" s="47"/>
      <c r="G798" s="47"/>
      <c r="H798" s="47"/>
      <c r="I798" s="47"/>
    </row>
    <row r="799">
      <c r="B799" s="47"/>
      <c r="C799" s="47"/>
      <c r="D799" s="47"/>
      <c r="E799" s="47"/>
      <c r="F799" s="47"/>
      <c r="G799" s="47"/>
      <c r="H799" s="47"/>
      <c r="I799" s="47"/>
    </row>
    <row r="800">
      <c r="B800" s="47"/>
      <c r="C800" s="47"/>
      <c r="D800" s="47"/>
      <c r="E800" s="47"/>
      <c r="F800" s="47"/>
      <c r="G800" s="47"/>
      <c r="H800" s="47"/>
      <c r="I800" s="47"/>
    </row>
    <row r="801">
      <c r="B801" s="47"/>
      <c r="C801" s="47"/>
      <c r="D801" s="47"/>
      <c r="E801" s="47"/>
      <c r="F801" s="47"/>
      <c r="G801" s="47"/>
      <c r="H801" s="47"/>
      <c r="I801" s="47"/>
    </row>
    <row r="802">
      <c r="B802" s="47"/>
      <c r="C802" s="47"/>
      <c r="D802" s="47"/>
      <c r="E802" s="47"/>
      <c r="F802" s="47"/>
      <c r="G802" s="47"/>
      <c r="H802" s="47"/>
      <c r="I802" s="47"/>
    </row>
    <row r="803">
      <c r="B803" s="47"/>
      <c r="C803" s="47"/>
      <c r="D803" s="47"/>
      <c r="E803" s="47"/>
      <c r="F803" s="47"/>
      <c r="G803" s="47"/>
      <c r="H803" s="47"/>
      <c r="I803" s="47"/>
    </row>
    <row r="804">
      <c r="B804" s="47"/>
      <c r="C804" s="47"/>
      <c r="D804" s="47"/>
      <c r="E804" s="47"/>
      <c r="F804" s="47"/>
      <c r="G804" s="47"/>
      <c r="H804" s="47"/>
      <c r="I804" s="47"/>
    </row>
    <row r="805">
      <c r="B805" s="47"/>
      <c r="C805" s="47"/>
      <c r="D805" s="47"/>
      <c r="E805" s="47"/>
      <c r="F805" s="47"/>
      <c r="G805" s="47"/>
      <c r="H805" s="47"/>
      <c r="I805" s="47"/>
    </row>
    <row r="806">
      <c r="B806" s="47"/>
      <c r="C806" s="47"/>
      <c r="D806" s="47"/>
      <c r="E806" s="47"/>
      <c r="F806" s="47"/>
      <c r="G806" s="47"/>
      <c r="H806" s="47"/>
      <c r="I806" s="47"/>
    </row>
    <row r="807">
      <c r="B807" s="47"/>
      <c r="C807" s="47"/>
      <c r="D807" s="47"/>
      <c r="E807" s="47"/>
      <c r="F807" s="47"/>
      <c r="G807" s="47"/>
      <c r="H807" s="47"/>
      <c r="I807" s="47"/>
    </row>
    <row r="808">
      <c r="B808" s="47"/>
      <c r="C808" s="47"/>
      <c r="D808" s="47"/>
      <c r="E808" s="47"/>
      <c r="F808" s="47"/>
      <c r="G808" s="47"/>
      <c r="H808" s="47"/>
      <c r="I808" s="47"/>
    </row>
    <row r="809">
      <c r="B809" s="47"/>
      <c r="C809" s="47"/>
      <c r="D809" s="47"/>
      <c r="E809" s="47"/>
      <c r="F809" s="47"/>
      <c r="G809" s="47"/>
      <c r="H809" s="47"/>
      <c r="I809" s="47"/>
    </row>
    <row r="810">
      <c r="B810" s="47"/>
      <c r="C810" s="47"/>
      <c r="D810" s="47"/>
      <c r="E810" s="47"/>
      <c r="F810" s="47"/>
      <c r="G810" s="47"/>
      <c r="H810" s="47"/>
      <c r="I810" s="47"/>
    </row>
    <row r="811">
      <c r="B811" s="47"/>
      <c r="C811" s="47"/>
      <c r="D811" s="47"/>
      <c r="E811" s="47"/>
      <c r="F811" s="47"/>
      <c r="G811" s="47"/>
      <c r="H811" s="47"/>
      <c r="I811" s="47"/>
    </row>
    <row r="812">
      <c r="B812" s="47"/>
      <c r="C812" s="47"/>
      <c r="D812" s="47"/>
      <c r="E812" s="47"/>
      <c r="F812" s="47"/>
      <c r="G812" s="47"/>
      <c r="H812" s="47"/>
      <c r="I812" s="47"/>
    </row>
    <row r="813">
      <c r="B813" s="47"/>
      <c r="C813" s="47"/>
      <c r="D813" s="47"/>
      <c r="E813" s="47"/>
      <c r="F813" s="47"/>
      <c r="G813" s="47"/>
      <c r="H813" s="47"/>
      <c r="I813" s="47"/>
    </row>
    <row r="814">
      <c r="B814" s="47"/>
      <c r="C814" s="47"/>
      <c r="D814" s="47"/>
      <c r="E814" s="47"/>
      <c r="F814" s="47"/>
      <c r="G814" s="47"/>
      <c r="H814" s="47"/>
      <c r="I814" s="47"/>
    </row>
    <row r="815">
      <c r="B815" s="47"/>
      <c r="C815" s="47"/>
      <c r="D815" s="47"/>
      <c r="E815" s="47"/>
      <c r="F815" s="47"/>
      <c r="G815" s="47"/>
      <c r="H815" s="47"/>
      <c r="I815" s="47"/>
    </row>
    <row r="816">
      <c r="B816" s="47"/>
      <c r="C816" s="47"/>
      <c r="D816" s="47"/>
      <c r="E816" s="47"/>
      <c r="F816" s="47"/>
      <c r="G816" s="47"/>
      <c r="H816" s="47"/>
      <c r="I816" s="47"/>
    </row>
    <row r="817">
      <c r="B817" s="47"/>
      <c r="C817" s="47"/>
      <c r="D817" s="47"/>
      <c r="E817" s="47"/>
      <c r="F817" s="47"/>
      <c r="G817" s="47"/>
      <c r="H817" s="47"/>
      <c r="I817" s="47"/>
    </row>
    <row r="818">
      <c r="B818" s="47"/>
      <c r="C818" s="47"/>
      <c r="D818" s="47"/>
      <c r="E818" s="47"/>
      <c r="F818" s="47"/>
      <c r="G818" s="47"/>
      <c r="H818" s="47"/>
      <c r="I818" s="47"/>
    </row>
    <row r="819">
      <c r="B819" s="47"/>
      <c r="C819" s="47"/>
      <c r="D819" s="47"/>
      <c r="E819" s="47"/>
      <c r="F819" s="47"/>
      <c r="G819" s="47"/>
      <c r="H819" s="47"/>
      <c r="I819" s="47"/>
    </row>
    <row r="820">
      <c r="B820" s="47"/>
      <c r="C820" s="47"/>
      <c r="D820" s="47"/>
      <c r="E820" s="47"/>
      <c r="F820" s="47"/>
      <c r="G820" s="47"/>
      <c r="H820" s="47"/>
      <c r="I820" s="47"/>
    </row>
    <row r="821">
      <c r="B821" s="47"/>
      <c r="C821" s="47"/>
      <c r="D821" s="47"/>
      <c r="E821" s="47"/>
      <c r="F821" s="47"/>
      <c r="G821" s="47"/>
      <c r="H821" s="47"/>
      <c r="I821" s="47"/>
    </row>
    <row r="822">
      <c r="B822" s="47"/>
      <c r="C822" s="47"/>
      <c r="D822" s="47"/>
      <c r="E822" s="47"/>
      <c r="F822" s="47"/>
      <c r="G822" s="47"/>
      <c r="H822" s="47"/>
      <c r="I822" s="47"/>
    </row>
    <row r="823">
      <c r="B823" s="47"/>
      <c r="C823" s="47"/>
      <c r="D823" s="47"/>
      <c r="E823" s="47"/>
      <c r="F823" s="47"/>
      <c r="G823" s="47"/>
      <c r="H823" s="47"/>
      <c r="I823" s="47"/>
    </row>
    <row r="824">
      <c r="B824" s="47"/>
      <c r="C824" s="47"/>
      <c r="D824" s="47"/>
      <c r="E824" s="47"/>
      <c r="F824" s="47"/>
      <c r="G824" s="47"/>
      <c r="H824" s="47"/>
      <c r="I824" s="47"/>
    </row>
    <row r="825">
      <c r="B825" s="47"/>
      <c r="C825" s="47"/>
      <c r="D825" s="47"/>
      <c r="E825" s="47"/>
      <c r="F825" s="47"/>
      <c r="G825" s="47"/>
      <c r="H825" s="47"/>
      <c r="I825" s="47"/>
    </row>
    <row r="826">
      <c r="B826" s="47"/>
      <c r="C826" s="47"/>
      <c r="D826" s="47"/>
      <c r="E826" s="47"/>
      <c r="F826" s="47"/>
      <c r="G826" s="47"/>
      <c r="H826" s="47"/>
      <c r="I826" s="47"/>
    </row>
    <row r="827">
      <c r="B827" s="47"/>
      <c r="C827" s="47"/>
      <c r="D827" s="47"/>
      <c r="E827" s="47"/>
      <c r="F827" s="47"/>
      <c r="G827" s="47"/>
      <c r="H827" s="47"/>
      <c r="I827" s="47"/>
    </row>
    <row r="828">
      <c r="B828" s="47"/>
      <c r="C828" s="47"/>
      <c r="D828" s="47"/>
      <c r="E828" s="47"/>
      <c r="F828" s="47"/>
      <c r="G828" s="47"/>
      <c r="H828" s="47"/>
      <c r="I828" s="47"/>
    </row>
    <row r="829">
      <c r="B829" s="47"/>
      <c r="C829" s="47"/>
      <c r="D829" s="47"/>
      <c r="E829" s="47"/>
      <c r="F829" s="47"/>
      <c r="G829" s="47"/>
      <c r="H829" s="47"/>
      <c r="I829" s="47"/>
    </row>
    <row r="830">
      <c r="B830" s="47"/>
      <c r="C830" s="47"/>
      <c r="D830" s="47"/>
      <c r="E830" s="47"/>
      <c r="F830" s="47"/>
      <c r="G830" s="47"/>
      <c r="H830" s="47"/>
      <c r="I830" s="47"/>
    </row>
    <row r="831">
      <c r="B831" s="47"/>
      <c r="C831" s="47"/>
      <c r="D831" s="47"/>
      <c r="E831" s="47"/>
      <c r="F831" s="47"/>
      <c r="G831" s="47"/>
      <c r="H831" s="47"/>
      <c r="I831" s="47"/>
    </row>
    <row r="832">
      <c r="B832" s="47"/>
      <c r="C832" s="47"/>
      <c r="D832" s="47"/>
      <c r="E832" s="47"/>
      <c r="F832" s="47"/>
      <c r="G832" s="47"/>
      <c r="H832" s="47"/>
      <c r="I832" s="47"/>
    </row>
    <row r="833">
      <c r="B833" s="47"/>
      <c r="C833" s="47"/>
      <c r="D833" s="47"/>
      <c r="E833" s="47"/>
      <c r="F833" s="47"/>
      <c r="G833" s="47"/>
      <c r="H833" s="47"/>
      <c r="I833" s="47"/>
    </row>
    <row r="834">
      <c r="B834" s="47"/>
      <c r="C834" s="47"/>
      <c r="D834" s="47"/>
      <c r="E834" s="47"/>
      <c r="F834" s="47"/>
      <c r="G834" s="47"/>
      <c r="H834" s="47"/>
      <c r="I834" s="47"/>
    </row>
    <row r="835">
      <c r="B835" s="47"/>
      <c r="C835" s="47"/>
      <c r="D835" s="47"/>
      <c r="E835" s="47"/>
      <c r="F835" s="47"/>
      <c r="G835" s="47"/>
      <c r="H835" s="47"/>
      <c r="I835" s="47"/>
    </row>
    <row r="836">
      <c r="B836" s="47"/>
      <c r="C836" s="47"/>
      <c r="D836" s="47"/>
      <c r="E836" s="47"/>
      <c r="F836" s="47"/>
      <c r="G836" s="47"/>
      <c r="H836" s="47"/>
      <c r="I836" s="47"/>
    </row>
    <row r="837">
      <c r="B837" s="47"/>
      <c r="C837" s="47"/>
      <c r="D837" s="47"/>
      <c r="E837" s="47"/>
      <c r="F837" s="47"/>
      <c r="G837" s="47"/>
      <c r="H837" s="47"/>
      <c r="I837" s="47"/>
    </row>
    <row r="838">
      <c r="B838" s="47"/>
      <c r="C838" s="47"/>
      <c r="D838" s="47"/>
      <c r="E838" s="47"/>
      <c r="F838" s="47"/>
      <c r="G838" s="47"/>
      <c r="H838" s="47"/>
      <c r="I838" s="47"/>
    </row>
    <row r="839">
      <c r="B839" s="47"/>
      <c r="C839" s="47"/>
      <c r="D839" s="47"/>
      <c r="E839" s="47"/>
      <c r="F839" s="47"/>
      <c r="G839" s="47"/>
      <c r="H839" s="47"/>
      <c r="I839" s="47"/>
    </row>
    <row r="840">
      <c r="B840" s="47"/>
      <c r="C840" s="47"/>
      <c r="D840" s="47"/>
      <c r="E840" s="47"/>
      <c r="F840" s="47"/>
      <c r="G840" s="47"/>
      <c r="H840" s="47"/>
      <c r="I840" s="47"/>
    </row>
    <row r="841">
      <c r="B841" s="47"/>
      <c r="C841" s="47"/>
      <c r="D841" s="47"/>
      <c r="E841" s="47"/>
      <c r="F841" s="47"/>
      <c r="G841" s="47"/>
      <c r="H841" s="47"/>
      <c r="I841" s="47"/>
    </row>
    <row r="842">
      <c r="B842" s="47"/>
      <c r="C842" s="47"/>
      <c r="D842" s="47"/>
      <c r="E842" s="47"/>
      <c r="F842" s="47"/>
      <c r="G842" s="47"/>
      <c r="H842" s="47"/>
      <c r="I842" s="47"/>
    </row>
    <row r="843">
      <c r="B843" s="47"/>
      <c r="C843" s="47"/>
      <c r="D843" s="47"/>
      <c r="E843" s="47"/>
      <c r="F843" s="47"/>
      <c r="G843" s="47"/>
      <c r="H843" s="47"/>
      <c r="I843" s="47"/>
    </row>
    <row r="844">
      <c r="B844" s="47"/>
      <c r="C844" s="47"/>
      <c r="D844" s="47"/>
      <c r="E844" s="47"/>
      <c r="F844" s="47"/>
      <c r="G844" s="47"/>
      <c r="H844" s="47"/>
      <c r="I844" s="47"/>
    </row>
    <row r="845">
      <c r="B845" s="47"/>
      <c r="C845" s="47"/>
      <c r="D845" s="47"/>
      <c r="E845" s="47"/>
      <c r="F845" s="47"/>
      <c r="G845" s="47"/>
      <c r="H845" s="47"/>
      <c r="I845" s="47"/>
    </row>
    <row r="846">
      <c r="B846" s="47"/>
      <c r="C846" s="47"/>
      <c r="D846" s="47"/>
      <c r="E846" s="47"/>
      <c r="F846" s="47"/>
      <c r="G846" s="47"/>
      <c r="H846" s="47"/>
      <c r="I846" s="47"/>
    </row>
    <row r="847">
      <c r="B847" s="47"/>
      <c r="C847" s="47"/>
      <c r="D847" s="47"/>
      <c r="E847" s="47"/>
      <c r="F847" s="47"/>
      <c r="G847" s="47"/>
      <c r="H847" s="47"/>
      <c r="I847" s="47"/>
    </row>
    <row r="848">
      <c r="B848" s="47"/>
      <c r="C848" s="47"/>
      <c r="D848" s="47"/>
      <c r="E848" s="47"/>
      <c r="F848" s="47"/>
      <c r="G848" s="47"/>
      <c r="H848" s="47"/>
      <c r="I848" s="47"/>
    </row>
    <row r="849">
      <c r="B849" s="47"/>
      <c r="C849" s="47"/>
      <c r="D849" s="47"/>
      <c r="E849" s="47"/>
      <c r="F849" s="47"/>
      <c r="G849" s="47"/>
      <c r="H849" s="47"/>
      <c r="I849" s="47"/>
    </row>
    <row r="850">
      <c r="B850" s="47"/>
      <c r="C850" s="47"/>
      <c r="D850" s="47"/>
      <c r="E850" s="47"/>
      <c r="F850" s="47"/>
      <c r="G850" s="47"/>
      <c r="H850" s="47"/>
      <c r="I850" s="47"/>
    </row>
    <row r="851">
      <c r="B851" s="47"/>
      <c r="C851" s="47"/>
      <c r="D851" s="47"/>
      <c r="E851" s="47"/>
      <c r="F851" s="47"/>
      <c r="G851" s="47"/>
      <c r="H851" s="47"/>
      <c r="I851" s="47"/>
    </row>
    <row r="852">
      <c r="B852" s="47"/>
      <c r="C852" s="47"/>
      <c r="D852" s="47"/>
      <c r="E852" s="47"/>
      <c r="F852" s="47"/>
      <c r="G852" s="47"/>
      <c r="H852" s="47"/>
      <c r="I852" s="47"/>
    </row>
    <row r="853">
      <c r="B853" s="47"/>
      <c r="C853" s="47"/>
      <c r="D853" s="47"/>
      <c r="E853" s="47"/>
      <c r="F853" s="47"/>
      <c r="G853" s="47"/>
      <c r="H853" s="47"/>
      <c r="I853" s="47"/>
    </row>
    <row r="854">
      <c r="B854" s="47"/>
      <c r="C854" s="47"/>
      <c r="D854" s="47"/>
      <c r="E854" s="47"/>
      <c r="F854" s="47"/>
      <c r="G854" s="47"/>
      <c r="H854" s="47"/>
      <c r="I854" s="47"/>
    </row>
    <row r="855">
      <c r="B855" s="47"/>
      <c r="C855" s="47"/>
      <c r="D855" s="47"/>
      <c r="E855" s="47"/>
      <c r="F855" s="47"/>
      <c r="G855" s="47"/>
      <c r="H855" s="47"/>
      <c r="I855" s="47"/>
    </row>
    <row r="856">
      <c r="B856" s="47"/>
      <c r="C856" s="47"/>
      <c r="D856" s="47"/>
      <c r="E856" s="47"/>
      <c r="F856" s="47"/>
      <c r="G856" s="47"/>
      <c r="H856" s="47"/>
      <c r="I856" s="47"/>
    </row>
    <row r="857">
      <c r="B857" s="47"/>
      <c r="C857" s="47"/>
      <c r="D857" s="47"/>
      <c r="E857" s="47"/>
      <c r="F857" s="47"/>
      <c r="G857" s="47"/>
      <c r="H857" s="47"/>
      <c r="I857" s="47"/>
    </row>
    <row r="858">
      <c r="B858" s="47"/>
      <c r="C858" s="47"/>
      <c r="D858" s="47"/>
      <c r="E858" s="47"/>
      <c r="F858" s="47"/>
      <c r="G858" s="47"/>
      <c r="H858" s="47"/>
      <c r="I858" s="47"/>
    </row>
    <row r="859">
      <c r="B859" s="47"/>
      <c r="C859" s="47"/>
      <c r="D859" s="47"/>
      <c r="E859" s="47"/>
      <c r="F859" s="47"/>
      <c r="G859" s="47"/>
      <c r="H859" s="47"/>
      <c r="I859" s="47"/>
    </row>
    <row r="860">
      <c r="B860" s="47"/>
      <c r="C860" s="47"/>
      <c r="D860" s="47"/>
      <c r="E860" s="47"/>
      <c r="F860" s="47"/>
      <c r="G860" s="47"/>
      <c r="H860" s="47"/>
      <c r="I860" s="47"/>
    </row>
    <row r="861">
      <c r="B861" s="47"/>
      <c r="C861" s="47"/>
      <c r="D861" s="47"/>
      <c r="E861" s="47"/>
      <c r="F861" s="47"/>
      <c r="G861" s="47"/>
      <c r="H861" s="47"/>
      <c r="I861" s="47"/>
    </row>
    <row r="862">
      <c r="B862" s="47"/>
      <c r="C862" s="47"/>
      <c r="D862" s="47"/>
      <c r="E862" s="47"/>
      <c r="F862" s="47"/>
      <c r="G862" s="47"/>
      <c r="H862" s="47"/>
      <c r="I862" s="47"/>
    </row>
    <row r="863">
      <c r="B863" s="47"/>
      <c r="C863" s="47"/>
      <c r="D863" s="47"/>
      <c r="E863" s="47"/>
      <c r="F863" s="47"/>
      <c r="G863" s="47"/>
      <c r="H863" s="47"/>
      <c r="I863" s="47"/>
    </row>
    <row r="864">
      <c r="B864" s="47"/>
      <c r="C864" s="47"/>
      <c r="D864" s="47"/>
      <c r="E864" s="47"/>
      <c r="F864" s="47"/>
      <c r="G864" s="47"/>
      <c r="H864" s="47"/>
      <c r="I864" s="47"/>
    </row>
    <row r="865">
      <c r="B865" s="47"/>
      <c r="C865" s="47"/>
      <c r="D865" s="47"/>
      <c r="E865" s="47"/>
      <c r="F865" s="47"/>
      <c r="G865" s="47"/>
      <c r="H865" s="47"/>
      <c r="I865" s="47"/>
    </row>
    <row r="866">
      <c r="B866" s="47"/>
      <c r="C866" s="47"/>
      <c r="D866" s="47"/>
      <c r="E866" s="47"/>
      <c r="F866" s="47"/>
      <c r="G866" s="47"/>
      <c r="H866" s="47"/>
      <c r="I866" s="47"/>
    </row>
    <row r="867">
      <c r="B867" s="47"/>
      <c r="C867" s="47"/>
      <c r="D867" s="47"/>
      <c r="E867" s="47"/>
      <c r="F867" s="47"/>
      <c r="G867" s="47"/>
      <c r="H867" s="47"/>
      <c r="I867" s="47"/>
    </row>
    <row r="868">
      <c r="B868" s="47"/>
      <c r="C868" s="47"/>
      <c r="D868" s="47"/>
      <c r="E868" s="47"/>
      <c r="F868" s="47"/>
      <c r="G868" s="47"/>
      <c r="H868" s="47"/>
      <c r="I868" s="47"/>
    </row>
    <row r="869">
      <c r="B869" s="47"/>
      <c r="C869" s="47"/>
      <c r="D869" s="47"/>
      <c r="E869" s="47"/>
      <c r="F869" s="47"/>
      <c r="G869" s="47"/>
      <c r="H869" s="47"/>
      <c r="I869" s="47"/>
    </row>
    <row r="870">
      <c r="B870" s="47"/>
      <c r="C870" s="47"/>
      <c r="D870" s="47"/>
      <c r="E870" s="47"/>
      <c r="F870" s="47"/>
      <c r="G870" s="47"/>
      <c r="H870" s="47"/>
      <c r="I870" s="47"/>
    </row>
    <row r="871">
      <c r="B871" s="47"/>
      <c r="C871" s="47"/>
      <c r="D871" s="47"/>
      <c r="E871" s="47"/>
      <c r="F871" s="47"/>
      <c r="G871" s="47"/>
      <c r="H871" s="47"/>
      <c r="I871" s="47"/>
    </row>
    <row r="872">
      <c r="B872" s="47"/>
      <c r="C872" s="47"/>
      <c r="D872" s="47"/>
      <c r="E872" s="47"/>
      <c r="F872" s="47"/>
      <c r="G872" s="47"/>
      <c r="H872" s="47"/>
      <c r="I872" s="47"/>
    </row>
    <row r="873">
      <c r="B873" s="47"/>
      <c r="C873" s="47"/>
      <c r="D873" s="47"/>
      <c r="E873" s="47"/>
      <c r="F873" s="47"/>
      <c r="G873" s="47"/>
      <c r="H873" s="47"/>
      <c r="I873" s="47"/>
    </row>
    <row r="874">
      <c r="B874" s="47"/>
      <c r="C874" s="47"/>
      <c r="D874" s="47"/>
      <c r="E874" s="47"/>
      <c r="F874" s="47"/>
      <c r="G874" s="47"/>
      <c r="H874" s="47"/>
      <c r="I874" s="47"/>
    </row>
    <row r="875">
      <c r="B875" s="47"/>
      <c r="C875" s="47"/>
      <c r="D875" s="47"/>
      <c r="E875" s="47"/>
      <c r="F875" s="47"/>
      <c r="G875" s="47"/>
      <c r="H875" s="47"/>
      <c r="I875" s="47"/>
    </row>
    <row r="876">
      <c r="B876" s="47"/>
      <c r="C876" s="47"/>
      <c r="D876" s="47"/>
      <c r="E876" s="47"/>
      <c r="F876" s="47"/>
      <c r="G876" s="47"/>
      <c r="H876" s="47"/>
      <c r="I876" s="47"/>
    </row>
    <row r="877">
      <c r="B877" s="47"/>
      <c r="C877" s="47"/>
      <c r="D877" s="47"/>
      <c r="E877" s="47"/>
      <c r="F877" s="47"/>
      <c r="G877" s="47"/>
      <c r="H877" s="47"/>
      <c r="I877" s="47"/>
    </row>
    <row r="878">
      <c r="B878" s="47"/>
      <c r="C878" s="47"/>
      <c r="D878" s="47"/>
      <c r="E878" s="47"/>
      <c r="F878" s="47"/>
      <c r="G878" s="47"/>
      <c r="H878" s="47"/>
      <c r="I878" s="47"/>
    </row>
    <row r="879">
      <c r="B879" s="47"/>
      <c r="C879" s="47"/>
      <c r="D879" s="47"/>
      <c r="E879" s="47"/>
      <c r="F879" s="47"/>
      <c r="G879" s="47"/>
      <c r="H879" s="47"/>
      <c r="I879" s="47"/>
    </row>
    <row r="880">
      <c r="B880" s="47"/>
      <c r="C880" s="47"/>
      <c r="D880" s="47"/>
      <c r="E880" s="47"/>
      <c r="F880" s="47"/>
      <c r="G880" s="47"/>
      <c r="H880" s="47"/>
      <c r="I880" s="47"/>
    </row>
    <row r="881">
      <c r="B881" s="47"/>
      <c r="C881" s="47"/>
      <c r="D881" s="47"/>
      <c r="E881" s="47"/>
      <c r="F881" s="47"/>
      <c r="G881" s="47"/>
      <c r="H881" s="47"/>
      <c r="I881" s="47"/>
    </row>
    <row r="882">
      <c r="B882" s="47"/>
      <c r="C882" s="47"/>
      <c r="D882" s="47"/>
      <c r="E882" s="47"/>
      <c r="F882" s="47"/>
      <c r="G882" s="47"/>
      <c r="H882" s="47"/>
      <c r="I882" s="47"/>
    </row>
    <row r="883">
      <c r="B883" s="47"/>
      <c r="C883" s="47"/>
      <c r="D883" s="47"/>
      <c r="E883" s="47"/>
      <c r="F883" s="47"/>
      <c r="G883" s="47"/>
      <c r="H883" s="47"/>
      <c r="I883" s="47"/>
    </row>
    <row r="884">
      <c r="B884" s="47"/>
      <c r="C884" s="47"/>
      <c r="D884" s="47"/>
      <c r="E884" s="47"/>
      <c r="F884" s="47"/>
      <c r="G884" s="47"/>
      <c r="H884" s="47"/>
      <c r="I884" s="47"/>
    </row>
    <row r="885">
      <c r="B885" s="47"/>
      <c r="C885" s="47"/>
      <c r="D885" s="47"/>
      <c r="E885" s="47"/>
      <c r="F885" s="47"/>
      <c r="G885" s="47"/>
      <c r="H885" s="47"/>
      <c r="I885" s="47"/>
    </row>
    <row r="886">
      <c r="B886" s="47"/>
      <c r="C886" s="47"/>
      <c r="D886" s="47"/>
      <c r="E886" s="47"/>
      <c r="F886" s="47"/>
      <c r="G886" s="47"/>
      <c r="H886" s="47"/>
      <c r="I886" s="47"/>
    </row>
    <row r="887">
      <c r="B887" s="47"/>
      <c r="C887" s="47"/>
      <c r="D887" s="47"/>
      <c r="E887" s="47"/>
      <c r="F887" s="47"/>
      <c r="G887" s="47"/>
      <c r="H887" s="47"/>
      <c r="I887" s="47"/>
    </row>
    <row r="888">
      <c r="B888" s="47"/>
      <c r="C888" s="47"/>
      <c r="D888" s="47"/>
      <c r="E888" s="47"/>
      <c r="F888" s="47"/>
      <c r="G888" s="47"/>
      <c r="H888" s="47"/>
      <c r="I888" s="47"/>
    </row>
    <row r="889">
      <c r="B889" s="47"/>
      <c r="C889" s="47"/>
      <c r="D889" s="47"/>
      <c r="E889" s="47"/>
      <c r="F889" s="47"/>
      <c r="G889" s="47"/>
      <c r="H889" s="47"/>
      <c r="I889" s="47"/>
    </row>
    <row r="890">
      <c r="B890" s="47"/>
      <c r="C890" s="47"/>
      <c r="D890" s="47"/>
      <c r="E890" s="47"/>
      <c r="F890" s="47"/>
      <c r="G890" s="47"/>
      <c r="H890" s="47"/>
      <c r="I890" s="47"/>
    </row>
    <row r="891">
      <c r="B891" s="47"/>
      <c r="C891" s="47"/>
      <c r="D891" s="47"/>
      <c r="E891" s="47"/>
      <c r="F891" s="47"/>
      <c r="G891" s="47"/>
      <c r="H891" s="47"/>
      <c r="I891" s="47"/>
    </row>
    <row r="892">
      <c r="B892" s="47"/>
      <c r="C892" s="47"/>
      <c r="D892" s="47"/>
      <c r="E892" s="47"/>
      <c r="F892" s="47"/>
      <c r="G892" s="47"/>
      <c r="H892" s="47"/>
      <c r="I892" s="47"/>
    </row>
    <row r="893">
      <c r="B893" s="47"/>
      <c r="C893" s="47"/>
      <c r="D893" s="47"/>
      <c r="E893" s="47"/>
      <c r="F893" s="47"/>
      <c r="G893" s="47"/>
      <c r="H893" s="47"/>
      <c r="I893" s="47"/>
    </row>
    <row r="894">
      <c r="B894" s="47"/>
      <c r="C894" s="47"/>
      <c r="D894" s="47"/>
      <c r="E894" s="47"/>
      <c r="F894" s="47"/>
      <c r="G894" s="47"/>
      <c r="H894" s="47"/>
      <c r="I894" s="47"/>
    </row>
    <row r="895">
      <c r="B895" s="47"/>
      <c r="C895" s="47"/>
      <c r="D895" s="47"/>
      <c r="E895" s="47"/>
      <c r="F895" s="47"/>
      <c r="G895" s="47"/>
      <c r="H895" s="47"/>
      <c r="I895" s="47"/>
    </row>
    <row r="896">
      <c r="B896" s="47"/>
      <c r="C896" s="47"/>
      <c r="D896" s="47"/>
      <c r="E896" s="47"/>
      <c r="F896" s="47"/>
      <c r="G896" s="47"/>
      <c r="H896" s="47"/>
      <c r="I896" s="47"/>
    </row>
    <row r="897">
      <c r="B897" s="47"/>
      <c r="C897" s="47"/>
      <c r="D897" s="47"/>
      <c r="E897" s="47"/>
      <c r="F897" s="47"/>
      <c r="G897" s="47"/>
      <c r="H897" s="47"/>
      <c r="I897" s="47"/>
    </row>
    <row r="898">
      <c r="B898" s="47"/>
      <c r="C898" s="47"/>
      <c r="D898" s="47"/>
      <c r="E898" s="47"/>
      <c r="F898" s="47"/>
      <c r="G898" s="47"/>
      <c r="H898" s="47"/>
      <c r="I898" s="47"/>
    </row>
    <row r="899">
      <c r="B899" s="47"/>
      <c r="C899" s="47"/>
      <c r="D899" s="47"/>
      <c r="E899" s="47"/>
      <c r="F899" s="47"/>
      <c r="G899" s="47"/>
      <c r="H899" s="47"/>
      <c r="I899" s="47"/>
    </row>
    <row r="900">
      <c r="B900" s="47"/>
      <c r="C900" s="47"/>
      <c r="D900" s="47"/>
      <c r="E900" s="47"/>
      <c r="F900" s="47"/>
      <c r="G900" s="47"/>
      <c r="H900" s="47"/>
      <c r="I900" s="47"/>
    </row>
    <row r="901">
      <c r="B901" s="47"/>
      <c r="C901" s="47"/>
      <c r="D901" s="47"/>
      <c r="E901" s="47"/>
      <c r="F901" s="47"/>
      <c r="G901" s="47"/>
      <c r="H901" s="47"/>
      <c r="I901" s="47"/>
    </row>
    <row r="902">
      <c r="B902" s="47"/>
      <c r="C902" s="47"/>
      <c r="D902" s="47"/>
      <c r="E902" s="47"/>
      <c r="F902" s="47"/>
      <c r="G902" s="47"/>
      <c r="H902" s="47"/>
      <c r="I902" s="47"/>
    </row>
    <row r="903">
      <c r="B903" s="47"/>
      <c r="C903" s="47"/>
      <c r="D903" s="47"/>
      <c r="E903" s="47"/>
      <c r="F903" s="47"/>
      <c r="G903" s="47"/>
      <c r="H903" s="47"/>
      <c r="I903" s="47"/>
    </row>
    <row r="904">
      <c r="B904" s="47"/>
      <c r="C904" s="47"/>
      <c r="D904" s="47"/>
      <c r="E904" s="47"/>
      <c r="F904" s="47"/>
      <c r="G904" s="47"/>
      <c r="H904" s="47"/>
      <c r="I904" s="47"/>
    </row>
    <row r="905">
      <c r="B905" s="47"/>
      <c r="C905" s="47"/>
      <c r="D905" s="47"/>
      <c r="E905" s="47"/>
      <c r="F905" s="47"/>
      <c r="G905" s="47"/>
      <c r="H905" s="47"/>
      <c r="I905" s="47"/>
    </row>
    <row r="906">
      <c r="B906" s="47"/>
      <c r="C906" s="47"/>
      <c r="D906" s="47"/>
      <c r="E906" s="47"/>
      <c r="F906" s="47"/>
      <c r="G906" s="47"/>
      <c r="H906" s="47"/>
      <c r="I906" s="47"/>
    </row>
    <row r="907">
      <c r="B907" s="47"/>
      <c r="C907" s="47"/>
      <c r="D907" s="47"/>
      <c r="E907" s="47"/>
      <c r="F907" s="47"/>
      <c r="G907" s="47"/>
      <c r="H907" s="47"/>
      <c r="I907" s="47"/>
    </row>
    <row r="908">
      <c r="B908" s="47"/>
      <c r="C908" s="47"/>
      <c r="D908" s="47"/>
      <c r="E908" s="47"/>
      <c r="F908" s="47"/>
      <c r="G908" s="47"/>
      <c r="H908" s="47"/>
      <c r="I908" s="47"/>
    </row>
    <row r="909">
      <c r="B909" s="47"/>
      <c r="C909" s="47"/>
      <c r="D909" s="47"/>
      <c r="E909" s="47"/>
      <c r="F909" s="47"/>
      <c r="G909" s="47"/>
      <c r="H909" s="47"/>
      <c r="I909" s="47"/>
    </row>
    <row r="910">
      <c r="B910" s="47"/>
      <c r="C910" s="47"/>
      <c r="D910" s="47"/>
      <c r="E910" s="47"/>
      <c r="F910" s="47"/>
      <c r="G910" s="47"/>
      <c r="H910" s="47"/>
      <c r="I910" s="47"/>
    </row>
    <row r="911">
      <c r="B911" s="47"/>
      <c r="C911" s="47"/>
      <c r="D911" s="47"/>
      <c r="E911" s="47"/>
      <c r="F911" s="47"/>
      <c r="G911" s="47"/>
      <c r="H911" s="47"/>
      <c r="I911" s="47"/>
    </row>
    <row r="912">
      <c r="B912" s="47"/>
      <c r="C912" s="47"/>
      <c r="D912" s="47"/>
      <c r="E912" s="47"/>
      <c r="F912" s="47"/>
      <c r="G912" s="47"/>
      <c r="H912" s="47"/>
      <c r="I912" s="47"/>
    </row>
    <row r="913">
      <c r="B913" s="47"/>
      <c r="C913" s="47"/>
      <c r="D913" s="47"/>
      <c r="E913" s="47"/>
      <c r="F913" s="47"/>
      <c r="G913" s="47"/>
      <c r="H913" s="47"/>
      <c r="I913" s="47"/>
    </row>
    <row r="914">
      <c r="B914" s="47"/>
      <c r="C914" s="47"/>
      <c r="D914" s="47"/>
      <c r="E914" s="47"/>
      <c r="F914" s="47"/>
      <c r="G914" s="47"/>
      <c r="H914" s="47"/>
      <c r="I914" s="47"/>
    </row>
    <row r="915">
      <c r="B915" s="47"/>
      <c r="C915" s="47"/>
      <c r="D915" s="47"/>
      <c r="E915" s="47"/>
      <c r="F915" s="47"/>
      <c r="G915" s="47"/>
      <c r="H915" s="47"/>
      <c r="I915" s="47"/>
    </row>
    <row r="916">
      <c r="B916" s="47"/>
      <c r="C916" s="47"/>
      <c r="D916" s="47"/>
      <c r="E916" s="47"/>
      <c r="F916" s="47"/>
      <c r="G916" s="47"/>
      <c r="H916" s="47"/>
      <c r="I916" s="47"/>
    </row>
    <row r="917">
      <c r="B917" s="47"/>
      <c r="C917" s="47"/>
      <c r="D917" s="47"/>
      <c r="E917" s="47"/>
      <c r="F917" s="47"/>
      <c r="G917" s="47"/>
      <c r="H917" s="47"/>
      <c r="I917" s="47"/>
    </row>
    <row r="918">
      <c r="B918" s="47"/>
      <c r="C918" s="47"/>
      <c r="D918" s="47"/>
      <c r="E918" s="47"/>
      <c r="F918" s="47"/>
      <c r="G918" s="47"/>
      <c r="H918" s="47"/>
      <c r="I918" s="47"/>
    </row>
    <row r="919">
      <c r="B919" s="47"/>
      <c r="C919" s="47"/>
      <c r="D919" s="47"/>
      <c r="E919" s="47"/>
      <c r="F919" s="47"/>
      <c r="G919" s="47"/>
      <c r="H919" s="47"/>
      <c r="I919" s="47"/>
    </row>
    <row r="920">
      <c r="B920" s="47"/>
      <c r="C920" s="47"/>
      <c r="D920" s="47"/>
      <c r="E920" s="47"/>
      <c r="F920" s="47"/>
      <c r="G920" s="47"/>
      <c r="H920" s="47"/>
      <c r="I920" s="47"/>
    </row>
    <row r="921">
      <c r="B921" s="47"/>
      <c r="C921" s="47"/>
      <c r="D921" s="47"/>
      <c r="E921" s="47"/>
      <c r="F921" s="47"/>
      <c r="G921" s="47"/>
      <c r="H921" s="47"/>
      <c r="I921" s="47"/>
    </row>
    <row r="922">
      <c r="B922" s="47"/>
      <c r="C922" s="47"/>
      <c r="D922" s="47"/>
      <c r="E922" s="47"/>
      <c r="F922" s="47"/>
      <c r="G922" s="47"/>
      <c r="H922" s="47"/>
      <c r="I922" s="47"/>
    </row>
    <row r="923">
      <c r="B923" s="47"/>
      <c r="C923" s="47"/>
      <c r="D923" s="47"/>
      <c r="E923" s="47"/>
      <c r="F923" s="47"/>
      <c r="G923" s="47"/>
      <c r="H923" s="47"/>
      <c r="I923" s="47"/>
    </row>
    <row r="924">
      <c r="B924" s="47"/>
      <c r="C924" s="47"/>
      <c r="D924" s="47"/>
      <c r="E924" s="47"/>
      <c r="F924" s="47"/>
      <c r="G924" s="47"/>
      <c r="H924" s="47"/>
      <c r="I924" s="47"/>
    </row>
    <row r="925">
      <c r="B925" s="47"/>
      <c r="C925" s="47"/>
      <c r="D925" s="47"/>
      <c r="E925" s="47"/>
      <c r="F925" s="47"/>
      <c r="G925" s="47"/>
      <c r="H925" s="47"/>
      <c r="I925" s="47"/>
    </row>
    <row r="926">
      <c r="B926" s="47"/>
      <c r="C926" s="47"/>
      <c r="D926" s="47"/>
      <c r="E926" s="47"/>
      <c r="F926" s="47"/>
      <c r="G926" s="47"/>
      <c r="H926" s="47"/>
      <c r="I926" s="47"/>
    </row>
    <row r="927">
      <c r="B927" s="47"/>
      <c r="C927" s="47"/>
      <c r="D927" s="47"/>
      <c r="E927" s="47"/>
      <c r="F927" s="47"/>
      <c r="G927" s="47"/>
      <c r="H927" s="47"/>
      <c r="I927" s="47"/>
    </row>
    <row r="928">
      <c r="B928" s="47"/>
      <c r="C928" s="47"/>
      <c r="D928" s="47"/>
      <c r="E928" s="47"/>
      <c r="F928" s="47"/>
      <c r="G928" s="47"/>
      <c r="H928" s="47"/>
      <c r="I928" s="47"/>
    </row>
    <row r="929">
      <c r="B929" s="47"/>
      <c r="C929" s="47"/>
      <c r="D929" s="47"/>
      <c r="E929" s="47"/>
      <c r="F929" s="47"/>
      <c r="G929" s="47"/>
      <c r="H929" s="47"/>
      <c r="I929" s="47"/>
    </row>
    <row r="930">
      <c r="B930" s="47"/>
      <c r="C930" s="47"/>
      <c r="D930" s="47"/>
      <c r="E930" s="47"/>
      <c r="F930" s="47"/>
      <c r="G930" s="47"/>
      <c r="H930" s="47"/>
      <c r="I930" s="47"/>
    </row>
    <row r="931">
      <c r="B931" s="47"/>
      <c r="C931" s="47"/>
      <c r="D931" s="47"/>
      <c r="E931" s="47"/>
      <c r="F931" s="47"/>
      <c r="G931" s="47"/>
      <c r="H931" s="47"/>
      <c r="I931" s="47"/>
    </row>
    <row r="932">
      <c r="B932" s="47"/>
      <c r="C932" s="47"/>
      <c r="D932" s="47"/>
      <c r="E932" s="47"/>
      <c r="F932" s="47"/>
      <c r="G932" s="47"/>
      <c r="H932" s="47"/>
      <c r="I932" s="47"/>
    </row>
    <row r="933">
      <c r="B933" s="47"/>
      <c r="C933" s="47"/>
      <c r="D933" s="47"/>
      <c r="E933" s="47"/>
      <c r="F933" s="47"/>
      <c r="G933" s="47"/>
      <c r="H933" s="47"/>
      <c r="I933" s="47"/>
    </row>
    <row r="934">
      <c r="B934" s="47"/>
      <c r="C934" s="47"/>
      <c r="D934" s="47"/>
      <c r="E934" s="47"/>
      <c r="F934" s="47"/>
      <c r="G934" s="47"/>
      <c r="H934" s="47"/>
      <c r="I934" s="47"/>
    </row>
    <row r="935">
      <c r="B935" s="47"/>
      <c r="C935" s="47"/>
      <c r="D935" s="47"/>
      <c r="E935" s="47"/>
      <c r="F935" s="47"/>
      <c r="G935" s="47"/>
      <c r="H935" s="47"/>
      <c r="I935" s="47"/>
    </row>
    <row r="936">
      <c r="B936" s="47"/>
      <c r="C936" s="47"/>
      <c r="D936" s="47"/>
      <c r="E936" s="47"/>
      <c r="F936" s="47"/>
      <c r="G936" s="47"/>
      <c r="H936" s="47"/>
      <c r="I936" s="47"/>
    </row>
    <row r="937">
      <c r="B937" s="47"/>
      <c r="C937" s="47"/>
      <c r="D937" s="47"/>
      <c r="E937" s="47"/>
      <c r="F937" s="47"/>
      <c r="G937" s="47"/>
      <c r="H937" s="47"/>
      <c r="I937" s="47"/>
    </row>
    <row r="938">
      <c r="B938" s="47"/>
      <c r="C938" s="47"/>
      <c r="D938" s="47"/>
      <c r="E938" s="47"/>
      <c r="F938" s="47"/>
      <c r="G938" s="47"/>
      <c r="H938" s="47"/>
      <c r="I938" s="47"/>
    </row>
    <row r="939">
      <c r="B939" s="47"/>
      <c r="C939" s="47"/>
      <c r="D939" s="47"/>
      <c r="E939" s="47"/>
      <c r="F939" s="47"/>
      <c r="G939" s="47"/>
      <c r="H939" s="47"/>
      <c r="I939" s="47"/>
    </row>
    <row r="940">
      <c r="B940" s="47"/>
      <c r="C940" s="47"/>
      <c r="D940" s="47"/>
      <c r="E940" s="47"/>
      <c r="F940" s="47"/>
      <c r="G940" s="47"/>
      <c r="H940" s="47"/>
      <c r="I940" s="47"/>
    </row>
    <row r="941">
      <c r="B941" s="47"/>
      <c r="C941" s="47"/>
      <c r="D941" s="47"/>
      <c r="E941" s="47"/>
      <c r="F941" s="47"/>
      <c r="G941" s="47"/>
      <c r="H941" s="47"/>
      <c r="I941" s="47"/>
    </row>
    <row r="942">
      <c r="B942" s="47"/>
      <c r="C942" s="47"/>
      <c r="D942" s="47"/>
      <c r="E942" s="47"/>
      <c r="F942" s="47"/>
      <c r="G942" s="47"/>
      <c r="H942" s="47"/>
      <c r="I942" s="47"/>
    </row>
    <row r="943">
      <c r="B943" s="47"/>
      <c r="C943" s="47"/>
      <c r="D943" s="47"/>
      <c r="E943" s="47"/>
      <c r="F943" s="47"/>
      <c r="G943" s="47"/>
      <c r="H943" s="47"/>
      <c r="I943" s="47"/>
    </row>
    <row r="944">
      <c r="B944" s="47"/>
      <c r="C944" s="47"/>
      <c r="D944" s="47"/>
      <c r="E944" s="47"/>
      <c r="F944" s="47"/>
      <c r="G944" s="47"/>
      <c r="H944" s="47"/>
      <c r="I944" s="47"/>
    </row>
    <row r="945">
      <c r="B945" s="47"/>
      <c r="C945" s="47"/>
      <c r="D945" s="47"/>
      <c r="E945" s="47"/>
      <c r="F945" s="47"/>
      <c r="G945" s="47"/>
      <c r="H945" s="47"/>
      <c r="I945" s="47"/>
    </row>
    <row r="946">
      <c r="B946" s="47"/>
      <c r="C946" s="47"/>
      <c r="D946" s="47"/>
      <c r="E946" s="47"/>
      <c r="F946" s="47"/>
      <c r="G946" s="47"/>
      <c r="H946" s="47"/>
      <c r="I946" s="47"/>
    </row>
    <row r="947">
      <c r="B947" s="47"/>
      <c r="C947" s="47"/>
      <c r="D947" s="47"/>
      <c r="E947" s="47"/>
      <c r="F947" s="47"/>
      <c r="G947" s="47"/>
      <c r="H947" s="47"/>
      <c r="I947" s="47"/>
    </row>
    <row r="948">
      <c r="B948" s="47"/>
      <c r="C948" s="47"/>
      <c r="D948" s="47"/>
      <c r="E948" s="47"/>
      <c r="F948" s="47"/>
      <c r="G948" s="47"/>
      <c r="H948" s="47"/>
      <c r="I948" s="47"/>
    </row>
    <row r="949">
      <c r="B949" s="47"/>
      <c r="C949" s="47"/>
      <c r="D949" s="47"/>
      <c r="E949" s="47"/>
      <c r="F949" s="47"/>
      <c r="G949" s="47"/>
      <c r="H949" s="47"/>
      <c r="I949" s="47"/>
    </row>
    <row r="950">
      <c r="B950" s="47"/>
      <c r="C950" s="47"/>
      <c r="D950" s="47"/>
      <c r="E950" s="47"/>
      <c r="F950" s="47"/>
      <c r="G950" s="47"/>
      <c r="H950" s="47"/>
      <c r="I950" s="47"/>
    </row>
    <row r="951">
      <c r="B951" s="47"/>
      <c r="C951" s="47"/>
      <c r="D951" s="47"/>
      <c r="E951" s="47"/>
      <c r="F951" s="47"/>
      <c r="G951" s="47"/>
      <c r="H951" s="47"/>
      <c r="I951" s="47"/>
    </row>
    <row r="952">
      <c r="B952" s="47"/>
      <c r="C952" s="47"/>
      <c r="D952" s="47"/>
      <c r="E952" s="47"/>
      <c r="F952" s="47"/>
      <c r="G952" s="47"/>
      <c r="H952" s="47"/>
      <c r="I952" s="47"/>
    </row>
    <row r="953">
      <c r="B953" s="47"/>
      <c r="C953" s="47"/>
      <c r="D953" s="47"/>
      <c r="E953" s="47"/>
      <c r="F953" s="47"/>
      <c r="G953" s="47"/>
      <c r="H953" s="47"/>
      <c r="I953" s="47"/>
    </row>
    <row r="954">
      <c r="B954" s="47"/>
      <c r="C954" s="47"/>
      <c r="D954" s="47"/>
      <c r="E954" s="47"/>
      <c r="F954" s="47"/>
      <c r="G954" s="47"/>
      <c r="H954" s="47"/>
      <c r="I954" s="47"/>
    </row>
    <row r="955">
      <c r="B955" s="47"/>
      <c r="C955" s="47"/>
      <c r="D955" s="47"/>
      <c r="E955" s="47"/>
      <c r="F955" s="47"/>
      <c r="G955" s="47"/>
      <c r="H955" s="47"/>
      <c r="I955" s="47"/>
    </row>
    <row r="956">
      <c r="B956" s="47"/>
      <c r="C956" s="47"/>
      <c r="D956" s="47"/>
      <c r="E956" s="47"/>
      <c r="F956" s="47"/>
      <c r="G956" s="47"/>
      <c r="H956" s="47"/>
      <c r="I956" s="47"/>
    </row>
    <row r="957">
      <c r="B957" s="47"/>
      <c r="C957" s="47"/>
      <c r="D957" s="47"/>
      <c r="E957" s="47"/>
      <c r="F957" s="47"/>
      <c r="G957" s="47"/>
      <c r="H957" s="47"/>
      <c r="I957" s="47"/>
    </row>
    <row r="958">
      <c r="B958" s="47"/>
      <c r="C958" s="47"/>
      <c r="D958" s="47"/>
      <c r="E958" s="47"/>
      <c r="F958" s="47"/>
      <c r="G958" s="47"/>
      <c r="H958" s="47"/>
      <c r="I958" s="47"/>
    </row>
    <row r="959">
      <c r="B959" s="47"/>
      <c r="C959" s="47"/>
      <c r="D959" s="47"/>
      <c r="E959" s="47"/>
      <c r="F959" s="47"/>
      <c r="G959" s="47"/>
      <c r="H959" s="47"/>
      <c r="I959" s="47"/>
    </row>
    <row r="960">
      <c r="B960" s="47"/>
      <c r="C960" s="47"/>
      <c r="D960" s="47"/>
      <c r="E960" s="47"/>
      <c r="F960" s="47"/>
      <c r="G960" s="47"/>
      <c r="H960" s="47"/>
      <c r="I960" s="47"/>
    </row>
    <row r="961">
      <c r="B961" s="47"/>
      <c r="C961" s="47"/>
      <c r="D961" s="47"/>
      <c r="E961" s="47"/>
      <c r="F961" s="47"/>
      <c r="G961" s="47"/>
      <c r="H961" s="47"/>
      <c r="I961" s="47"/>
    </row>
    <row r="962">
      <c r="B962" s="47"/>
      <c r="C962" s="47"/>
      <c r="D962" s="47"/>
      <c r="E962" s="47"/>
      <c r="F962" s="47"/>
      <c r="G962" s="47"/>
      <c r="H962" s="47"/>
      <c r="I962" s="47"/>
    </row>
    <row r="963">
      <c r="B963" s="47"/>
      <c r="C963" s="47"/>
      <c r="D963" s="47"/>
      <c r="E963" s="47"/>
      <c r="F963" s="47"/>
      <c r="G963" s="47"/>
      <c r="H963" s="47"/>
      <c r="I963" s="47"/>
    </row>
    <row r="964">
      <c r="B964" s="47"/>
      <c r="C964" s="47"/>
      <c r="D964" s="47"/>
      <c r="E964" s="47"/>
      <c r="F964" s="47"/>
      <c r="G964" s="47"/>
      <c r="H964" s="47"/>
      <c r="I964" s="47"/>
    </row>
    <row r="965">
      <c r="B965" s="47"/>
      <c r="C965" s="47"/>
      <c r="D965" s="47"/>
      <c r="E965" s="47"/>
      <c r="F965" s="47"/>
      <c r="G965" s="47"/>
      <c r="H965" s="47"/>
      <c r="I965" s="47"/>
    </row>
    <row r="966">
      <c r="B966" s="47"/>
      <c r="C966" s="47"/>
      <c r="D966" s="47"/>
      <c r="E966" s="47"/>
      <c r="F966" s="47"/>
      <c r="G966" s="47"/>
      <c r="H966" s="47"/>
      <c r="I966" s="47"/>
    </row>
    <row r="967">
      <c r="B967" s="47"/>
      <c r="C967" s="47"/>
      <c r="D967" s="47"/>
      <c r="E967" s="47"/>
      <c r="F967" s="47"/>
      <c r="G967" s="47"/>
      <c r="H967" s="47"/>
      <c r="I967" s="47"/>
    </row>
    <row r="968">
      <c r="B968" s="47"/>
      <c r="C968" s="47"/>
      <c r="D968" s="47"/>
      <c r="E968" s="47"/>
      <c r="F968" s="47"/>
      <c r="G968" s="47"/>
      <c r="H968" s="47"/>
      <c r="I968" s="47"/>
    </row>
    <row r="969">
      <c r="B969" s="47"/>
      <c r="C969" s="47"/>
      <c r="D969" s="47"/>
      <c r="E969" s="47"/>
      <c r="F969" s="47"/>
      <c r="G969" s="47"/>
      <c r="H969" s="47"/>
      <c r="I969" s="47"/>
    </row>
    <row r="970">
      <c r="B970" s="47"/>
      <c r="C970" s="47"/>
      <c r="D970" s="47"/>
      <c r="E970" s="47"/>
      <c r="F970" s="47"/>
      <c r="G970" s="47"/>
      <c r="H970" s="47"/>
      <c r="I970" s="47"/>
    </row>
    <row r="971">
      <c r="B971" s="47"/>
      <c r="C971" s="47"/>
      <c r="D971" s="47"/>
      <c r="E971" s="47"/>
      <c r="F971" s="47"/>
      <c r="G971" s="47"/>
      <c r="H971" s="47"/>
      <c r="I971" s="47"/>
    </row>
    <row r="972">
      <c r="B972" s="47"/>
      <c r="C972" s="47"/>
      <c r="D972" s="47"/>
      <c r="E972" s="47"/>
      <c r="F972" s="47"/>
      <c r="G972" s="47"/>
      <c r="H972" s="47"/>
      <c r="I972" s="47"/>
    </row>
    <row r="973">
      <c r="B973" s="47"/>
      <c r="C973" s="47"/>
      <c r="D973" s="47"/>
      <c r="E973" s="47"/>
      <c r="F973" s="47"/>
      <c r="G973" s="47"/>
      <c r="H973" s="47"/>
      <c r="I973" s="47"/>
    </row>
    <row r="974">
      <c r="B974" s="47"/>
      <c r="C974" s="47"/>
      <c r="D974" s="47"/>
      <c r="E974" s="47"/>
      <c r="F974" s="47"/>
      <c r="G974" s="47"/>
      <c r="H974" s="47"/>
      <c r="I974" s="47"/>
    </row>
    <row r="975">
      <c r="B975" s="47"/>
      <c r="C975" s="47"/>
      <c r="D975" s="47"/>
      <c r="E975" s="47"/>
      <c r="F975" s="47"/>
      <c r="G975" s="47"/>
      <c r="H975" s="47"/>
      <c r="I975" s="47"/>
    </row>
    <row r="976">
      <c r="B976" s="47"/>
      <c r="C976" s="47"/>
      <c r="D976" s="47"/>
      <c r="E976" s="47"/>
      <c r="F976" s="47"/>
      <c r="G976" s="47"/>
      <c r="H976" s="47"/>
      <c r="I976" s="47"/>
    </row>
    <row r="977">
      <c r="B977" s="47"/>
      <c r="C977" s="47"/>
      <c r="D977" s="47"/>
      <c r="E977" s="47"/>
      <c r="F977" s="47"/>
      <c r="G977" s="47"/>
      <c r="H977" s="47"/>
      <c r="I977" s="47"/>
    </row>
    <row r="978">
      <c r="B978" s="47"/>
      <c r="C978" s="47"/>
      <c r="D978" s="47"/>
      <c r="E978" s="47"/>
      <c r="F978" s="47"/>
      <c r="G978" s="47"/>
      <c r="H978" s="47"/>
      <c r="I978" s="47"/>
    </row>
    <row r="979">
      <c r="B979" s="47"/>
      <c r="C979" s="47"/>
      <c r="D979" s="47"/>
      <c r="E979" s="47"/>
      <c r="F979" s="47"/>
      <c r="G979" s="47"/>
      <c r="H979" s="47"/>
      <c r="I979" s="47"/>
    </row>
    <row r="980">
      <c r="B980" s="47"/>
      <c r="C980" s="47"/>
      <c r="D980" s="47"/>
      <c r="E980" s="47"/>
      <c r="F980" s="47"/>
      <c r="G980" s="47"/>
      <c r="H980" s="47"/>
      <c r="I980" s="47"/>
    </row>
    <row r="981">
      <c r="B981" s="47"/>
      <c r="C981" s="47"/>
      <c r="D981" s="47"/>
      <c r="E981" s="47"/>
      <c r="F981" s="47"/>
      <c r="G981" s="47"/>
      <c r="H981" s="47"/>
      <c r="I981" s="47"/>
    </row>
    <row r="982">
      <c r="B982" s="47"/>
      <c r="C982" s="47"/>
      <c r="D982" s="47"/>
      <c r="E982" s="47"/>
      <c r="F982" s="47"/>
      <c r="G982" s="47"/>
      <c r="H982" s="47"/>
      <c r="I982" s="47"/>
    </row>
    <row r="983">
      <c r="B983" s="47"/>
      <c r="C983" s="47"/>
      <c r="D983" s="47"/>
      <c r="E983" s="47"/>
      <c r="F983" s="47"/>
      <c r="G983" s="47"/>
      <c r="H983" s="47"/>
      <c r="I983" s="47"/>
    </row>
    <row r="984">
      <c r="B984" s="47"/>
      <c r="C984" s="47"/>
      <c r="D984" s="47"/>
      <c r="E984" s="47"/>
      <c r="F984" s="47"/>
      <c r="G984" s="47"/>
      <c r="H984" s="47"/>
      <c r="I984" s="47"/>
    </row>
    <row r="985">
      <c r="B985" s="47"/>
      <c r="C985" s="47"/>
      <c r="D985" s="47"/>
      <c r="E985" s="47"/>
      <c r="F985" s="47"/>
      <c r="G985" s="47"/>
      <c r="H985" s="47"/>
      <c r="I985" s="47"/>
    </row>
    <row r="986">
      <c r="B986" s="47"/>
      <c r="C986" s="47"/>
      <c r="D986" s="47"/>
      <c r="E986" s="47"/>
      <c r="F986" s="47"/>
      <c r="G986" s="47"/>
      <c r="H986" s="47"/>
      <c r="I986" s="47"/>
    </row>
    <row r="987">
      <c r="B987" s="47"/>
      <c r="C987" s="47"/>
      <c r="D987" s="47"/>
      <c r="E987" s="47"/>
      <c r="F987" s="47"/>
      <c r="G987" s="47"/>
      <c r="H987" s="47"/>
      <c r="I987" s="47"/>
    </row>
    <row r="988">
      <c r="B988" s="47"/>
      <c r="C988" s="47"/>
      <c r="D988" s="47"/>
      <c r="E988" s="47"/>
      <c r="F988" s="47"/>
      <c r="G988" s="47"/>
      <c r="H988" s="47"/>
      <c r="I988" s="47"/>
    </row>
    <row r="989">
      <c r="B989" s="47"/>
      <c r="C989" s="47"/>
      <c r="D989" s="47"/>
      <c r="E989" s="47"/>
      <c r="F989" s="47"/>
      <c r="G989" s="47"/>
      <c r="H989" s="47"/>
      <c r="I989" s="47"/>
    </row>
    <row r="990">
      <c r="B990" s="47"/>
      <c r="C990" s="47"/>
      <c r="D990" s="47"/>
      <c r="E990" s="47"/>
      <c r="F990" s="47"/>
      <c r="G990" s="47"/>
      <c r="H990" s="47"/>
      <c r="I990" s="47"/>
    </row>
    <row r="991">
      <c r="B991" s="47"/>
      <c r="C991" s="47"/>
      <c r="D991" s="47"/>
      <c r="E991" s="47"/>
      <c r="F991" s="47"/>
      <c r="G991" s="47"/>
      <c r="H991" s="47"/>
      <c r="I991" s="47"/>
    </row>
    <row r="992">
      <c r="B992" s="47"/>
      <c r="C992" s="47"/>
      <c r="D992" s="47"/>
      <c r="E992" s="47"/>
      <c r="F992" s="47"/>
      <c r="G992" s="47"/>
      <c r="H992" s="47"/>
      <c r="I992" s="47"/>
    </row>
    <row r="993">
      <c r="B993" s="47"/>
      <c r="C993" s="47"/>
      <c r="D993" s="47"/>
      <c r="E993" s="47"/>
      <c r="F993" s="47"/>
      <c r="G993" s="47"/>
      <c r="H993" s="47"/>
      <c r="I993" s="47"/>
    </row>
    <row r="994">
      <c r="B994" s="47"/>
      <c r="C994" s="47"/>
      <c r="D994" s="47"/>
      <c r="E994" s="47"/>
      <c r="F994" s="47"/>
      <c r="G994" s="47"/>
      <c r="H994" s="47"/>
      <c r="I994" s="47"/>
    </row>
    <row r="995">
      <c r="B995" s="47"/>
      <c r="C995" s="47"/>
      <c r="D995" s="47"/>
      <c r="E995" s="47"/>
      <c r="F995" s="47"/>
      <c r="G995" s="47"/>
      <c r="H995" s="47"/>
      <c r="I995" s="47"/>
    </row>
    <row r="996">
      <c r="B996" s="47"/>
      <c r="C996" s="47"/>
      <c r="D996" s="47"/>
      <c r="E996" s="47"/>
      <c r="F996" s="47"/>
      <c r="G996" s="47"/>
      <c r="H996" s="47"/>
      <c r="I996" s="47"/>
    </row>
    <row r="997">
      <c r="B997" s="47"/>
      <c r="C997" s="47"/>
      <c r="D997" s="47"/>
      <c r="E997" s="47"/>
      <c r="F997" s="47"/>
      <c r="G997" s="47"/>
      <c r="H997" s="47"/>
      <c r="I997" s="47"/>
    </row>
    <row r="998">
      <c r="B998" s="47"/>
      <c r="C998" s="47"/>
      <c r="D998" s="47"/>
      <c r="E998" s="47"/>
      <c r="F998" s="47"/>
      <c r="G998" s="47"/>
      <c r="H998" s="47"/>
      <c r="I998" s="47"/>
    </row>
    <row r="999">
      <c r="B999" s="47"/>
      <c r="C999" s="47"/>
      <c r="D999" s="47"/>
      <c r="E999" s="47"/>
      <c r="F999" s="47"/>
      <c r="G999" s="47"/>
      <c r="H999" s="47"/>
      <c r="I999" s="47"/>
    </row>
    <row r="1000">
      <c r="B1000" s="47"/>
      <c r="C1000" s="47"/>
      <c r="D1000" s="47"/>
      <c r="E1000" s="47"/>
      <c r="F1000" s="47"/>
      <c r="G1000" s="47"/>
      <c r="H1000" s="47"/>
      <c r="I1000" s="47"/>
    </row>
  </sheetData>
  <mergeCells count="3">
    <mergeCell ref="B1:H1"/>
    <mergeCell ref="B22:H22"/>
    <mergeCell ref="B41:H41"/>
  </mergeCells>
  <dataValidations>
    <dataValidation type="list" allowBlank="1" showErrorMessage="1" sqref="I3:I8 G3:G10 C3:C14 E3:E21 I24:I25 G24:G31 C24:C36 E24:E40 C43 E43 G43:G44">
      <formula1>"No respondió,No aceptó,Va a completar,Completado"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7.25"/>
    <col customWidth="1" min="3" max="3" width="7.13"/>
    <col customWidth="1" min="4" max="4" width="18.0"/>
    <col customWidth="1" min="5" max="5" width="7.5"/>
    <col customWidth="1" min="6" max="6" width="18.0"/>
    <col customWidth="1" min="7" max="7" width="7.25"/>
  </cols>
  <sheetData>
    <row r="1">
      <c r="A1" s="101"/>
      <c r="B1" s="101"/>
      <c r="C1" s="101"/>
      <c r="D1" s="101"/>
      <c r="E1" s="101"/>
      <c r="G1" s="102"/>
      <c r="H1" s="103">
        <v>46164.0</v>
      </c>
      <c r="I1" s="102"/>
      <c r="J1" s="103">
        <v>46206.0</v>
      </c>
    </row>
    <row r="2">
      <c r="A2" s="104"/>
      <c r="B2" s="105">
        <v>46108.0</v>
      </c>
      <c r="C2" s="104"/>
      <c r="D2" s="106">
        <v>46122.0</v>
      </c>
      <c r="E2" s="104"/>
      <c r="F2" s="107">
        <v>46150.0</v>
      </c>
      <c r="G2" s="108" t="s">
        <v>0</v>
      </c>
      <c r="H2" s="109"/>
      <c r="I2" s="108" t="s">
        <v>0</v>
      </c>
      <c r="J2" s="109"/>
    </row>
    <row r="3">
      <c r="A3" s="110" t="s">
        <v>0</v>
      </c>
      <c r="B3" s="111"/>
      <c r="C3" s="110" t="s">
        <v>0</v>
      </c>
      <c r="D3" s="111"/>
      <c r="E3" s="110" t="s">
        <v>0</v>
      </c>
      <c r="F3" s="111"/>
      <c r="G3" s="110" t="s">
        <v>5</v>
      </c>
      <c r="H3" s="112"/>
      <c r="I3" s="110" t="s">
        <v>5</v>
      </c>
      <c r="J3" s="112"/>
    </row>
    <row r="4">
      <c r="A4" s="113" t="s">
        <v>5</v>
      </c>
      <c r="B4" s="111"/>
      <c r="C4" s="113" t="s">
        <v>5</v>
      </c>
      <c r="D4" s="111"/>
      <c r="E4" s="113" t="s">
        <v>5</v>
      </c>
      <c r="F4" s="111"/>
      <c r="G4" s="113" t="s">
        <v>13</v>
      </c>
      <c r="H4" s="112"/>
      <c r="I4" s="113" t="s">
        <v>13</v>
      </c>
      <c r="J4" s="112"/>
    </row>
    <row r="5">
      <c r="A5" s="113" t="s">
        <v>13</v>
      </c>
      <c r="B5" s="111"/>
      <c r="C5" s="113" t="s">
        <v>13</v>
      </c>
      <c r="D5" s="111"/>
      <c r="E5" s="113" t="s">
        <v>13</v>
      </c>
      <c r="F5" s="111"/>
      <c r="G5" s="113" t="s">
        <v>19</v>
      </c>
      <c r="H5" s="114" t="s">
        <v>202</v>
      </c>
      <c r="I5" s="113" t="s">
        <v>19</v>
      </c>
      <c r="J5" s="114" t="s">
        <v>202</v>
      </c>
    </row>
    <row r="6">
      <c r="A6" s="113" t="s">
        <v>19</v>
      </c>
      <c r="B6" s="115" t="s">
        <v>202</v>
      </c>
      <c r="C6" s="113" t="s">
        <v>19</v>
      </c>
      <c r="D6" s="115" t="s">
        <v>202</v>
      </c>
      <c r="E6" s="113" t="s">
        <v>19</v>
      </c>
      <c r="F6" s="115" t="s">
        <v>202</v>
      </c>
      <c r="G6" s="113" t="s">
        <v>27</v>
      </c>
      <c r="H6" s="116"/>
      <c r="I6" s="113" t="s">
        <v>27</v>
      </c>
      <c r="J6" s="116"/>
    </row>
    <row r="7">
      <c r="A7" s="117" t="s">
        <v>27</v>
      </c>
      <c r="B7" s="111"/>
      <c r="C7" s="117" t="s">
        <v>27</v>
      </c>
      <c r="D7" s="111"/>
      <c r="E7" s="117" t="s">
        <v>27</v>
      </c>
      <c r="F7" s="111"/>
      <c r="G7" s="113" t="s">
        <v>33</v>
      </c>
      <c r="H7" s="112"/>
      <c r="I7" s="113" t="s">
        <v>33</v>
      </c>
      <c r="J7" s="112"/>
    </row>
    <row r="8">
      <c r="A8" s="117" t="s">
        <v>33</v>
      </c>
      <c r="B8" s="111"/>
      <c r="C8" s="117" t="s">
        <v>33</v>
      </c>
      <c r="D8" s="111"/>
      <c r="E8" s="117" t="s">
        <v>33</v>
      </c>
      <c r="F8" s="111"/>
      <c r="G8" s="113" t="s">
        <v>39</v>
      </c>
      <c r="H8" s="112"/>
      <c r="I8" s="113" t="s">
        <v>39</v>
      </c>
      <c r="J8" s="112"/>
    </row>
    <row r="9">
      <c r="A9" s="113" t="s">
        <v>39</v>
      </c>
      <c r="B9" s="111"/>
      <c r="C9" s="113" t="s">
        <v>39</v>
      </c>
      <c r="D9" s="111"/>
      <c r="E9" s="113" t="s">
        <v>39</v>
      </c>
      <c r="F9" s="111"/>
      <c r="G9" s="113" t="s">
        <v>45</v>
      </c>
      <c r="H9" s="112"/>
      <c r="I9" s="113" t="s">
        <v>45</v>
      </c>
      <c r="J9" s="112"/>
    </row>
    <row r="10">
      <c r="A10" s="113" t="s">
        <v>45</v>
      </c>
      <c r="B10" s="111"/>
      <c r="C10" s="113" t="s">
        <v>45</v>
      </c>
      <c r="D10" s="111"/>
      <c r="E10" s="113" t="s">
        <v>45</v>
      </c>
      <c r="F10" s="111"/>
      <c r="G10" s="113" t="s">
        <v>54</v>
      </c>
      <c r="H10" s="112"/>
      <c r="I10" s="113" t="s">
        <v>54</v>
      </c>
      <c r="J10" s="112"/>
    </row>
    <row r="11">
      <c r="A11" s="113" t="s">
        <v>54</v>
      </c>
      <c r="B11" s="111"/>
      <c r="C11" s="113" t="s">
        <v>54</v>
      </c>
      <c r="D11" s="111"/>
      <c r="E11" s="113" t="s">
        <v>54</v>
      </c>
      <c r="F11" s="111"/>
      <c r="G11" s="118">
        <v>0.7291666666666666</v>
      </c>
      <c r="H11" s="112"/>
      <c r="I11" s="118">
        <v>0.7291666666666666</v>
      </c>
      <c r="J11" s="112"/>
    </row>
    <row r="12">
      <c r="A12" s="119">
        <v>0.7291666666666666</v>
      </c>
      <c r="B12" s="111"/>
      <c r="C12" s="119">
        <v>0.7291666666666666</v>
      </c>
      <c r="D12" s="111"/>
      <c r="E12" s="119">
        <v>0.7291666666666666</v>
      </c>
      <c r="F12" s="111"/>
      <c r="G12" s="120" t="s">
        <v>71</v>
      </c>
      <c r="H12" s="112"/>
      <c r="I12" s="120" t="s">
        <v>71</v>
      </c>
      <c r="J12" s="112"/>
    </row>
    <row r="13">
      <c r="A13" s="113" t="s">
        <v>71</v>
      </c>
      <c r="B13" s="111"/>
      <c r="C13" s="113" t="s">
        <v>71</v>
      </c>
      <c r="D13" s="111"/>
      <c r="E13" s="113" t="s">
        <v>71</v>
      </c>
      <c r="F13" s="111"/>
      <c r="G13" s="113" t="s">
        <v>80</v>
      </c>
      <c r="H13" s="112"/>
      <c r="I13" s="113" t="s">
        <v>80</v>
      </c>
      <c r="J13" s="112"/>
    </row>
    <row r="14">
      <c r="A14" s="113" t="s">
        <v>80</v>
      </c>
      <c r="B14" s="111"/>
      <c r="C14" s="113" t="s">
        <v>80</v>
      </c>
      <c r="D14" s="111"/>
      <c r="E14" s="113" t="s">
        <v>80</v>
      </c>
      <c r="F14" s="111"/>
      <c r="G14" s="113" t="s">
        <v>95</v>
      </c>
      <c r="H14" s="112"/>
      <c r="I14" s="113" t="s">
        <v>95</v>
      </c>
      <c r="J14" s="112"/>
    </row>
    <row r="15">
      <c r="A15" s="113" t="s">
        <v>95</v>
      </c>
      <c r="B15" s="111"/>
      <c r="C15" s="113" t="s">
        <v>95</v>
      </c>
      <c r="D15" s="111"/>
      <c r="E15" s="113" t="s">
        <v>95</v>
      </c>
      <c r="F15" s="111"/>
      <c r="G15" s="113" t="s">
        <v>95</v>
      </c>
      <c r="H15" s="111"/>
      <c r="I15" s="113" t="s">
        <v>95</v>
      </c>
      <c r="J15" s="111"/>
    </row>
    <row r="16">
      <c r="A16" s="104"/>
      <c r="B16" s="121"/>
      <c r="C16" s="122"/>
      <c r="D16" s="123"/>
      <c r="E16" s="121"/>
      <c r="F16" s="124"/>
    </row>
    <row r="17">
      <c r="A17" s="104"/>
      <c r="B17" s="121"/>
      <c r="C17" s="122"/>
      <c r="D17" s="123"/>
      <c r="E17" s="121"/>
      <c r="F17" s="124"/>
    </row>
    <row r="18">
      <c r="A18" s="104"/>
      <c r="B18" s="121"/>
      <c r="C18" s="122"/>
      <c r="D18" s="123"/>
      <c r="E18" s="121"/>
      <c r="F18" s="124"/>
    </row>
    <row r="19">
      <c r="A19" s="104"/>
      <c r="B19" s="121"/>
      <c r="C19" s="122"/>
      <c r="D19" s="123"/>
      <c r="E19" s="121"/>
      <c r="F19" s="124"/>
    </row>
    <row r="20">
      <c r="A20" s="104"/>
      <c r="B20" s="121"/>
      <c r="C20" s="122"/>
      <c r="D20" s="123"/>
      <c r="E20" s="121"/>
      <c r="F20" s="124"/>
    </row>
    <row r="21">
      <c r="A21" s="104"/>
      <c r="B21" s="121"/>
      <c r="C21" s="122"/>
      <c r="D21" s="123"/>
      <c r="E21" s="121"/>
      <c r="F21" s="124"/>
    </row>
    <row r="22">
      <c r="A22" s="104"/>
      <c r="B22" s="121"/>
      <c r="C22" s="122"/>
      <c r="D22" s="123"/>
      <c r="E22" s="121"/>
      <c r="F22" s="124"/>
    </row>
    <row r="23">
      <c r="A23" s="104"/>
      <c r="B23" s="121"/>
      <c r="C23" s="122"/>
      <c r="D23" s="123"/>
      <c r="E23" s="121"/>
      <c r="F23" s="124"/>
    </row>
    <row r="24">
      <c r="A24" s="104"/>
      <c r="B24" s="121"/>
      <c r="C24" s="122"/>
      <c r="D24" s="123"/>
      <c r="E24" s="121"/>
      <c r="F24" s="124"/>
    </row>
    <row r="25">
      <c r="A25" s="104"/>
      <c r="B25" s="121"/>
      <c r="C25" s="122"/>
      <c r="D25" s="123"/>
      <c r="E25" s="121"/>
      <c r="F25" s="124"/>
    </row>
    <row r="26">
      <c r="A26" s="104"/>
      <c r="B26" s="121"/>
      <c r="C26" s="122"/>
      <c r="D26" s="123"/>
      <c r="E26" s="121"/>
      <c r="F26" s="124"/>
    </row>
    <row r="27">
      <c r="A27" s="104"/>
      <c r="B27" s="121"/>
      <c r="C27" s="122"/>
      <c r="D27" s="123"/>
      <c r="E27" s="121"/>
      <c r="F27" s="124"/>
    </row>
    <row r="28">
      <c r="A28" s="104"/>
      <c r="B28" s="121"/>
      <c r="C28" s="122"/>
      <c r="D28" s="123"/>
      <c r="E28" s="121"/>
      <c r="F28" s="124"/>
    </row>
    <row r="29">
      <c r="A29" s="104"/>
      <c r="B29" s="121"/>
      <c r="C29" s="122"/>
      <c r="D29" s="123"/>
      <c r="E29" s="121"/>
      <c r="F29" s="124"/>
    </row>
    <row r="30">
      <c r="A30" s="104"/>
      <c r="B30" s="121"/>
      <c r="C30" s="122"/>
      <c r="D30" s="123"/>
      <c r="E30" s="121"/>
      <c r="F30" s="124"/>
    </row>
    <row r="31">
      <c r="A31" s="104"/>
      <c r="B31" s="121"/>
      <c r="C31" s="122"/>
      <c r="D31" s="123"/>
      <c r="E31" s="121"/>
      <c r="F31" s="124"/>
    </row>
    <row r="32">
      <c r="A32" s="104"/>
      <c r="B32" s="121"/>
      <c r="C32" s="122"/>
      <c r="D32" s="123"/>
      <c r="E32" s="121"/>
      <c r="F32" s="124"/>
    </row>
    <row r="33">
      <c r="A33" s="104"/>
      <c r="B33" s="121"/>
      <c r="C33" s="122"/>
      <c r="D33" s="123"/>
      <c r="E33" s="121"/>
      <c r="F33" s="124"/>
    </row>
    <row r="34">
      <c r="A34" s="104"/>
      <c r="B34" s="121"/>
      <c r="C34" s="122"/>
      <c r="D34" s="123"/>
      <c r="E34" s="121"/>
      <c r="F34" s="124"/>
    </row>
    <row r="35">
      <c r="A35" s="104"/>
      <c r="B35" s="121"/>
      <c r="C35" s="122"/>
      <c r="D35" s="123"/>
      <c r="E35" s="121"/>
      <c r="F35" s="124"/>
    </row>
    <row r="36">
      <c r="A36" s="104"/>
      <c r="B36" s="121"/>
      <c r="C36" s="122"/>
      <c r="D36" s="123"/>
      <c r="E36" s="121"/>
      <c r="F36" s="124"/>
    </row>
    <row r="37">
      <c r="A37" s="104"/>
      <c r="B37" s="121"/>
      <c r="C37" s="122"/>
      <c r="D37" s="123"/>
      <c r="E37" s="121"/>
      <c r="F37" s="124"/>
    </row>
    <row r="38">
      <c r="A38" s="104"/>
      <c r="B38" s="121"/>
      <c r="C38" s="122"/>
      <c r="D38" s="123"/>
      <c r="E38" s="121"/>
      <c r="F38" s="124"/>
    </row>
    <row r="39">
      <c r="A39" s="104"/>
      <c r="B39" s="121"/>
      <c r="C39" s="122"/>
      <c r="D39" s="123"/>
      <c r="E39" s="121"/>
      <c r="F39" s="124"/>
    </row>
    <row r="40">
      <c r="A40" s="104"/>
      <c r="B40" s="121"/>
      <c r="C40" s="122"/>
      <c r="D40" s="123"/>
      <c r="E40" s="121"/>
      <c r="F40" s="124"/>
    </row>
    <row r="41">
      <c r="A41" s="104"/>
      <c r="B41" s="121"/>
      <c r="C41" s="122"/>
      <c r="D41" s="123"/>
      <c r="E41" s="121"/>
      <c r="F41" s="124"/>
    </row>
    <row r="42">
      <c r="A42" s="104"/>
      <c r="B42" s="121"/>
      <c r="C42" s="122"/>
      <c r="D42" s="123"/>
      <c r="E42" s="121"/>
      <c r="F42" s="124"/>
    </row>
    <row r="43">
      <c r="A43" s="104"/>
      <c r="B43" s="121"/>
      <c r="C43" s="122"/>
      <c r="D43" s="123"/>
      <c r="E43" s="121"/>
      <c r="F43" s="124"/>
    </row>
    <row r="44">
      <c r="A44" s="104"/>
      <c r="B44" s="121"/>
      <c r="C44" s="122"/>
      <c r="D44" s="123"/>
      <c r="E44" s="121"/>
      <c r="F44" s="124"/>
    </row>
    <row r="45">
      <c r="A45" s="104"/>
      <c r="B45" s="121"/>
      <c r="C45" s="122"/>
      <c r="D45" s="123"/>
      <c r="E45" s="121"/>
      <c r="F45" s="124"/>
    </row>
    <row r="46">
      <c r="A46" s="104"/>
      <c r="B46" s="121"/>
      <c r="C46" s="122"/>
      <c r="D46" s="123"/>
      <c r="E46" s="121"/>
      <c r="F46" s="124"/>
    </row>
    <row r="47">
      <c r="A47" s="104"/>
      <c r="B47" s="121"/>
      <c r="C47" s="122"/>
      <c r="D47" s="123"/>
      <c r="E47" s="121"/>
      <c r="F47" s="124"/>
    </row>
    <row r="48">
      <c r="A48" s="104"/>
      <c r="B48" s="121"/>
      <c r="C48" s="122"/>
      <c r="D48" s="123"/>
      <c r="E48" s="121"/>
      <c r="F48" s="124"/>
    </row>
    <row r="49">
      <c r="A49" s="104"/>
      <c r="B49" s="121"/>
      <c r="C49" s="122"/>
      <c r="D49" s="123"/>
      <c r="E49" s="121"/>
      <c r="F49" s="124"/>
    </row>
    <row r="50">
      <c r="A50" s="104"/>
      <c r="B50" s="121"/>
      <c r="C50" s="122"/>
      <c r="D50" s="123"/>
      <c r="E50" s="121"/>
      <c r="F50" s="124"/>
    </row>
    <row r="51">
      <c r="A51" s="104"/>
      <c r="B51" s="121"/>
      <c r="C51" s="122"/>
      <c r="D51" s="123"/>
      <c r="E51" s="121"/>
      <c r="F51" s="124"/>
    </row>
    <row r="52">
      <c r="A52" s="104"/>
      <c r="B52" s="121"/>
      <c r="C52" s="122"/>
      <c r="D52" s="123"/>
      <c r="E52" s="121"/>
      <c r="F52" s="124"/>
    </row>
    <row r="53">
      <c r="A53" s="104"/>
      <c r="B53" s="121"/>
      <c r="C53" s="122"/>
      <c r="D53" s="123"/>
      <c r="E53" s="121"/>
      <c r="F53" s="124"/>
    </row>
    <row r="54">
      <c r="A54" s="104"/>
      <c r="B54" s="121"/>
      <c r="C54" s="122"/>
      <c r="D54" s="123"/>
      <c r="E54" s="121"/>
      <c r="F54" s="124"/>
    </row>
    <row r="55">
      <c r="A55" s="104"/>
      <c r="B55" s="121"/>
      <c r="C55" s="122"/>
      <c r="D55" s="123"/>
      <c r="E55" s="121"/>
      <c r="F55" s="124"/>
    </row>
    <row r="56">
      <c r="A56" s="104"/>
      <c r="B56" s="121"/>
      <c r="C56" s="122"/>
      <c r="D56" s="123"/>
      <c r="E56" s="121"/>
      <c r="F56" s="124"/>
    </row>
    <row r="57">
      <c r="A57" s="104"/>
      <c r="B57" s="121"/>
      <c r="C57" s="122"/>
      <c r="D57" s="123"/>
      <c r="E57" s="121"/>
      <c r="F57" s="124"/>
    </row>
    <row r="58">
      <c r="A58" s="104"/>
      <c r="B58" s="121"/>
      <c r="C58" s="122"/>
      <c r="D58" s="123"/>
      <c r="E58" s="121"/>
      <c r="F58" s="124"/>
    </row>
    <row r="59">
      <c r="A59" s="104"/>
      <c r="B59" s="121"/>
      <c r="C59" s="122"/>
      <c r="D59" s="123"/>
      <c r="E59" s="121"/>
      <c r="F59" s="124"/>
    </row>
    <row r="60">
      <c r="A60" s="104"/>
      <c r="B60" s="121"/>
      <c r="C60" s="122"/>
      <c r="D60" s="123"/>
      <c r="E60" s="121"/>
      <c r="F60" s="124"/>
    </row>
    <row r="61">
      <c r="A61" s="104"/>
      <c r="B61" s="121"/>
      <c r="C61" s="122"/>
      <c r="D61" s="123"/>
      <c r="E61" s="121"/>
      <c r="F61" s="124"/>
    </row>
    <row r="62">
      <c r="A62" s="104"/>
      <c r="B62" s="121"/>
      <c r="C62" s="122"/>
      <c r="D62" s="123"/>
      <c r="E62" s="121"/>
      <c r="F62" s="124"/>
    </row>
    <row r="63">
      <c r="A63" s="104"/>
      <c r="B63" s="121"/>
      <c r="C63" s="122"/>
      <c r="D63" s="123"/>
      <c r="E63" s="121"/>
      <c r="F63" s="124"/>
    </row>
    <row r="64">
      <c r="A64" s="104"/>
      <c r="B64" s="121"/>
      <c r="C64" s="122"/>
      <c r="D64" s="123"/>
      <c r="E64" s="121"/>
      <c r="F64" s="124"/>
    </row>
    <row r="65">
      <c r="A65" s="104"/>
      <c r="B65" s="121"/>
      <c r="C65" s="122"/>
      <c r="D65" s="123"/>
      <c r="E65" s="121"/>
      <c r="F65" s="124"/>
    </row>
    <row r="66">
      <c r="A66" s="104"/>
      <c r="B66" s="121"/>
      <c r="C66" s="122"/>
      <c r="D66" s="123"/>
      <c r="E66" s="121"/>
      <c r="F66" s="124"/>
    </row>
    <row r="67">
      <c r="A67" s="104"/>
      <c r="B67" s="121"/>
      <c r="C67" s="122"/>
      <c r="D67" s="123"/>
      <c r="E67" s="121"/>
      <c r="F67" s="124"/>
    </row>
    <row r="68">
      <c r="A68" s="104"/>
      <c r="B68" s="121"/>
      <c r="C68" s="122"/>
      <c r="D68" s="121"/>
      <c r="E68" s="121"/>
      <c r="F68" s="124"/>
    </row>
    <row r="69">
      <c r="A69" s="104"/>
      <c r="B69" s="121"/>
      <c r="C69" s="122"/>
      <c r="D69" s="121"/>
      <c r="E69" s="121"/>
      <c r="F69" s="124"/>
    </row>
    <row r="70">
      <c r="A70" s="104"/>
      <c r="B70" s="121"/>
      <c r="C70" s="122"/>
      <c r="D70" s="121"/>
      <c r="E70" s="121"/>
      <c r="F70" s="124"/>
    </row>
    <row r="71">
      <c r="A71" s="104"/>
      <c r="B71" s="121"/>
      <c r="C71" s="122"/>
      <c r="D71" s="123"/>
      <c r="E71" s="121"/>
      <c r="F71" s="124"/>
    </row>
    <row r="72">
      <c r="A72" s="104"/>
      <c r="B72" s="121"/>
      <c r="C72" s="122"/>
      <c r="D72" s="123"/>
      <c r="E72" s="121"/>
      <c r="F72" s="124"/>
    </row>
    <row r="73">
      <c r="A73" s="104"/>
      <c r="B73" s="121"/>
      <c r="C73" s="122"/>
      <c r="D73" s="121"/>
      <c r="E73" s="121"/>
      <c r="F73" s="124"/>
    </row>
    <row r="74">
      <c r="A74" s="104"/>
      <c r="B74" s="121"/>
      <c r="C74" s="122"/>
      <c r="D74" s="121"/>
      <c r="E74" s="121"/>
      <c r="F74" s="124"/>
    </row>
    <row r="75">
      <c r="A75" s="104"/>
      <c r="B75" s="121"/>
      <c r="C75" s="122"/>
      <c r="D75" s="121"/>
      <c r="E75" s="121"/>
      <c r="F75" s="124"/>
    </row>
    <row r="76">
      <c r="A76" s="104"/>
      <c r="B76" s="121"/>
      <c r="C76" s="122"/>
      <c r="D76" s="121"/>
      <c r="E76" s="121"/>
      <c r="F76" s="124"/>
    </row>
    <row r="77">
      <c r="A77" s="104"/>
      <c r="B77" s="121"/>
      <c r="C77" s="122"/>
      <c r="D77" s="121"/>
      <c r="E77" s="121"/>
      <c r="F77" s="124"/>
    </row>
    <row r="78">
      <c r="A78" s="104"/>
      <c r="B78" s="121"/>
      <c r="C78" s="122"/>
      <c r="D78" s="121"/>
      <c r="E78" s="121"/>
      <c r="F78" s="124"/>
    </row>
    <row r="79">
      <c r="A79" s="104"/>
      <c r="B79" s="121"/>
      <c r="C79" s="122"/>
      <c r="D79" s="121"/>
      <c r="E79" s="121"/>
      <c r="F79" s="124"/>
    </row>
    <row r="80">
      <c r="A80" s="104"/>
      <c r="B80" s="121"/>
      <c r="C80" s="122"/>
      <c r="D80" s="121"/>
      <c r="E80" s="121"/>
      <c r="F80" s="124"/>
    </row>
    <row r="81">
      <c r="A81" s="104"/>
      <c r="B81" s="121"/>
      <c r="C81" s="122"/>
      <c r="D81" s="123"/>
      <c r="E81" s="121"/>
      <c r="F81" s="124"/>
    </row>
    <row r="82">
      <c r="A82" s="104"/>
      <c r="B82" s="121"/>
      <c r="C82" s="122"/>
      <c r="D82" s="123"/>
      <c r="E82" s="121"/>
      <c r="F82" s="124"/>
    </row>
    <row r="83">
      <c r="A83" s="104"/>
      <c r="B83" s="121"/>
      <c r="C83" s="122"/>
      <c r="D83" s="121"/>
      <c r="E83" s="121"/>
      <c r="F83" s="124"/>
    </row>
    <row r="84">
      <c r="A84" s="104"/>
      <c r="B84" s="121"/>
      <c r="C84" s="122"/>
      <c r="D84" s="121"/>
      <c r="E84" s="121"/>
      <c r="F84" s="124"/>
    </row>
    <row r="85">
      <c r="A85" s="104"/>
      <c r="B85" s="121"/>
      <c r="C85" s="122"/>
      <c r="D85" s="121"/>
      <c r="E85" s="121"/>
      <c r="F85" s="124"/>
    </row>
    <row r="86">
      <c r="A86" s="104"/>
      <c r="B86" s="121"/>
      <c r="C86" s="122"/>
      <c r="D86" s="121"/>
      <c r="E86" s="121"/>
      <c r="F86" s="124"/>
    </row>
    <row r="87">
      <c r="A87" s="104"/>
      <c r="B87" s="121"/>
      <c r="C87" s="122"/>
      <c r="D87" s="121"/>
      <c r="E87" s="121"/>
      <c r="F87" s="124"/>
    </row>
    <row r="88">
      <c r="A88" s="104"/>
      <c r="B88" s="121"/>
      <c r="C88" s="122"/>
      <c r="D88" s="121"/>
      <c r="E88" s="121"/>
      <c r="F88" s="124"/>
    </row>
    <row r="89">
      <c r="A89" s="104"/>
      <c r="B89" s="121"/>
      <c r="C89" s="122"/>
      <c r="D89" s="121"/>
      <c r="E89" s="121"/>
      <c r="F89" s="124"/>
    </row>
    <row r="90">
      <c r="A90" s="104"/>
      <c r="B90" s="121"/>
      <c r="C90" s="122"/>
      <c r="D90" s="121"/>
      <c r="E90" s="121"/>
      <c r="F90" s="124"/>
    </row>
    <row r="91">
      <c r="A91" s="104"/>
      <c r="B91" s="121"/>
      <c r="C91" s="122"/>
      <c r="D91" s="121"/>
      <c r="E91" s="121"/>
      <c r="F91" s="124"/>
    </row>
    <row r="92">
      <c r="A92" s="104"/>
      <c r="B92" s="121"/>
      <c r="C92" s="122"/>
      <c r="D92" s="121"/>
      <c r="E92" s="121"/>
      <c r="F92" s="124"/>
    </row>
    <row r="93">
      <c r="A93" s="104"/>
      <c r="B93" s="121"/>
      <c r="C93" s="122"/>
      <c r="D93" s="121"/>
      <c r="E93" s="121"/>
      <c r="F93" s="124"/>
    </row>
    <row r="94">
      <c r="A94" s="104"/>
      <c r="B94" s="121"/>
      <c r="C94" s="122"/>
      <c r="D94" s="121"/>
      <c r="E94" s="121"/>
      <c r="F94" s="124"/>
    </row>
    <row r="95">
      <c r="A95" s="104"/>
      <c r="B95" s="121"/>
      <c r="C95" s="122"/>
      <c r="D95" s="121"/>
      <c r="E95" s="121"/>
      <c r="F95" s="124"/>
    </row>
    <row r="96">
      <c r="A96" s="104"/>
      <c r="B96" s="121"/>
      <c r="C96" s="122"/>
      <c r="D96" s="121"/>
      <c r="E96" s="121"/>
      <c r="F96" s="124"/>
    </row>
    <row r="97">
      <c r="A97" s="104"/>
      <c r="B97" s="121"/>
      <c r="C97" s="122"/>
      <c r="D97" s="121"/>
      <c r="E97" s="121"/>
      <c r="F97" s="124"/>
    </row>
    <row r="98">
      <c r="A98" s="104"/>
      <c r="B98" s="121"/>
      <c r="C98" s="122"/>
      <c r="D98" s="121"/>
      <c r="E98" s="121"/>
      <c r="F98" s="124"/>
    </row>
    <row r="99">
      <c r="A99" s="104"/>
      <c r="B99" s="121"/>
      <c r="C99" s="122"/>
      <c r="D99" s="121"/>
      <c r="E99" s="121"/>
      <c r="F99" s="124"/>
    </row>
    <row r="100">
      <c r="A100" s="104"/>
      <c r="B100" s="121"/>
      <c r="C100" s="122"/>
      <c r="D100" s="121"/>
      <c r="E100" s="121"/>
      <c r="F100" s="124"/>
    </row>
    <row r="101">
      <c r="A101" s="104"/>
      <c r="B101" s="121"/>
      <c r="C101" s="122"/>
      <c r="D101" s="121"/>
      <c r="E101" s="121"/>
      <c r="F101" s="124"/>
    </row>
    <row r="102">
      <c r="A102" s="104"/>
      <c r="B102" s="121"/>
      <c r="C102" s="122"/>
      <c r="D102" s="121"/>
      <c r="E102" s="121"/>
      <c r="F102" s="124"/>
    </row>
    <row r="103">
      <c r="A103" s="104"/>
      <c r="B103" s="121"/>
      <c r="C103" s="122"/>
      <c r="D103" s="121"/>
      <c r="E103" s="121"/>
      <c r="F103" s="124"/>
    </row>
    <row r="104">
      <c r="A104" s="104"/>
      <c r="B104" s="121"/>
      <c r="C104" s="122"/>
      <c r="D104" s="121"/>
      <c r="E104" s="121"/>
      <c r="F104" s="124"/>
    </row>
    <row r="105">
      <c r="A105" s="104"/>
      <c r="B105" s="121"/>
      <c r="C105" s="122"/>
      <c r="D105" s="121"/>
      <c r="E105" s="121"/>
      <c r="F105" s="124"/>
    </row>
    <row r="106">
      <c r="A106" s="104"/>
      <c r="B106" s="121"/>
      <c r="C106" s="122"/>
      <c r="D106" s="121"/>
      <c r="E106" s="121"/>
      <c r="F106" s="124"/>
    </row>
    <row r="107">
      <c r="A107" s="104"/>
      <c r="B107" s="121"/>
      <c r="C107" s="122"/>
      <c r="D107" s="121"/>
      <c r="E107" s="121"/>
      <c r="F107" s="124"/>
    </row>
    <row r="108">
      <c r="A108" s="104"/>
      <c r="B108" s="121"/>
      <c r="C108" s="122"/>
      <c r="D108" s="121"/>
      <c r="E108" s="121"/>
      <c r="F108" s="124"/>
    </row>
    <row r="109">
      <c r="A109" s="104"/>
      <c r="B109" s="121"/>
      <c r="C109" s="122"/>
      <c r="D109" s="121"/>
      <c r="E109" s="121"/>
      <c r="F109" s="124"/>
    </row>
    <row r="110">
      <c r="A110" s="104"/>
      <c r="B110" s="121"/>
      <c r="C110" s="122"/>
      <c r="D110" s="121"/>
      <c r="E110" s="121"/>
      <c r="F110" s="124"/>
    </row>
    <row r="111">
      <c r="A111" s="104"/>
      <c r="B111" s="121"/>
      <c r="C111" s="122"/>
      <c r="D111" s="121"/>
      <c r="E111" s="121"/>
      <c r="F111" s="124"/>
    </row>
    <row r="112">
      <c r="A112" s="104"/>
      <c r="B112" s="121"/>
      <c r="C112" s="122"/>
      <c r="D112" s="121"/>
      <c r="E112" s="121"/>
      <c r="F112" s="124"/>
    </row>
    <row r="113">
      <c r="A113" s="104"/>
      <c r="B113" s="121"/>
      <c r="C113" s="122"/>
      <c r="D113" s="121"/>
      <c r="E113" s="121"/>
      <c r="F113" s="124"/>
    </row>
    <row r="114">
      <c r="A114" s="104"/>
      <c r="B114" s="121"/>
      <c r="C114" s="122"/>
      <c r="D114" s="121"/>
      <c r="E114" s="121"/>
      <c r="F114" s="124"/>
    </row>
    <row r="115">
      <c r="A115" s="104"/>
      <c r="B115" s="121"/>
      <c r="C115" s="122"/>
      <c r="D115" s="121"/>
      <c r="E115" s="121"/>
      <c r="F115" s="124"/>
    </row>
    <row r="116">
      <c r="A116" s="104"/>
      <c r="B116" s="121"/>
      <c r="C116" s="122"/>
      <c r="D116" s="121"/>
      <c r="E116" s="121"/>
      <c r="F116" s="124"/>
    </row>
    <row r="117">
      <c r="A117" s="104"/>
      <c r="B117" s="121"/>
      <c r="C117" s="122"/>
      <c r="D117" s="121"/>
      <c r="E117" s="121"/>
      <c r="F117" s="124"/>
    </row>
    <row r="118">
      <c r="A118" s="104"/>
      <c r="B118" s="121"/>
      <c r="C118" s="122"/>
      <c r="D118" s="121"/>
      <c r="E118" s="121"/>
      <c r="F118" s="124"/>
    </row>
    <row r="119">
      <c r="A119" s="104"/>
      <c r="B119" s="121"/>
      <c r="C119" s="122"/>
      <c r="D119" s="121"/>
      <c r="E119" s="121"/>
      <c r="F119" s="124"/>
    </row>
    <row r="120">
      <c r="A120" s="104"/>
      <c r="B120" s="121"/>
      <c r="C120" s="122"/>
      <c r="D120" s="121"/>
      <c r="E120" s="121"/>
      <c r="F120" s="124"/>
    </row>
    <row r="121">
      <c r="A121" s="104"/>
      <c r="B121" s="121"/>
      <c r="C121" s="122"/>
      <c r="D121" s="121"/>
      <c r="E121" s="121"/>
      <c r="F121" s="124"/>
    </row>
    <row r="122">
      <c r="A122" s="104"/>
      <c r="B122" s="121"/>
      <c r="C122" s="122"/>
      <c r="D122" s="121"/>
      <c r="E122" s="121"/>
      <c r="F122" s="124"/>
    </row>
    <row r="123">
      <c r="A123" s="104"/>
      <c r="B123" s="121"/>
      <c r="C123" s="122"/>
      <c r="D123" s="121"/>
      <c r="E123" s="121"/>
      <c r="F123" s="124"/>
    </row>
    <row r="124">
      <c r="A124" s="104"/>
      <c r="B124" s="121"/>
      <c r="C124" s="122"/>
      <c r="D124" s="121"/>
      <c r="E124" s="121"/>
      <c r="F124" s="124"/>
    </row>
    <row r="125">
      <c r="A125" s="104"/>
      <c r="B125" s="121"/>
      <c r="C125" s="122"/>
      <c r="D125" s="123"/>
      <c r="E125" s="121"/>
      <c r="F125" s="124"/>
    </row>
    <row r="126">
      <c r="A126" s="104"/>
      <c r="B126" s="121"/>
      <c r="C126" s="122"/>
      <c r="D126" s="123"/>
      <c r="E126" s="121"/>
      <c r="F126" s="124"/>
    </row>
    <row r="127">
      <c r="A127" s="104"/>
      <c r="B127" s="121"/>
      <c r="C127" s="122"/>
      <c r="D127" s="123"/>
      <c r="E127" s="125"/>
      <c r="F127" s="124"/>
    </row>
    <row r="128">
      <c r="A128" s="104"/>
      <c r="B128" s="121"/>
      <c r="C128" s="122"/>
      <c r="D128" s="123"/>
      <c r="E128" s="125"/>
      <c r="F128" s="124"/>
    </row>
    <row r="129">
      <c r="A129" s="104"/>
      <c r="B129" s="121"/>
      <c r="C129" s="122"/>
      <c r="D129" s="123"/>
      <c r="E129" s="125"/>
      <c r="F129" s="124"/>
    </row>
    <row r="130">
      <c r="A130" s="104"/>
      <c r="B130" s="121"/>
      <c r="C130" s="122"/>
      <c r="D130" s="123"/>
      <c r="E130" s="125"/>
      <c r="F130" s="124"/>
    </row>
    <row r="131">
      <c r="A131" s="104"/>
      <c r="B131" s="121"/>
      <c r="C131" s="122"/>
      <c r="D131" s="123"/>
      <c r="E131" s="125"/>
      <c r="F131" s="124"/>
    </row>
    <row r="132">
      <c r="A132" s="104"/>
      <c r="B132" s="121"/>
      <c r="C132" s="122"/>
      <c r="D132" s="123"/>
      <c r="E132" s="125"/>
      <c r="F132" s="124"/>
    </row>
    <row r="133">
      <c r="A133" s="104"/>
      <c r="B133" s="121"/>
      <c r="C133" s="122"/>
      <c r="D133" s="123"/>
      <c r="E133" s="125"/>
      <c r="F133" s="124"/>
    </row>
    <row r="134">
      <c r="A134" s="104"/>
      <c r="B134" s="121"/>
      <c r="C134" s="122"/>
      <c r="D134" s="123"/>
      <c r="E134" s="125"/>
      <c r="F134" s="124"/>
    </row>
    <row r="135">
      <c r="A135" s="104"/>
      <c r="B135" s="121"/>
      <c r="C135" s="122"/>
      <c r="D135" s="123"/>
      <c r="E135" s="125"/>
      <c r="F135" s="124"/>
    </row>
    <row r="136">
      <c r="A136" s="104"/>
      <c r="B136" s="121"/>
      <c r="C136" s="122"/>
      <c r="D136" s="123"/>
      <c r="E136" s="125"/>
      <c r="F136" s="124"/>
    </row>
    <row r="137">
      <c r="A137" s="104"/>
      <c r="B137" s="121"/>
      <c r="C137" s="122"/>
      <c r="D137" s="123"/>
      <c r="E137" s="125"/>
      <c r="F137" s="124"/>
    </row>
    <row r="138">
      <c r="A138" s="104"/>
      <c r="B138" s="121"/>
      <c r="C138" s="122"/>
      <c r="D138" s="123"/>
      <c r="E138" s="125"/>
      <c r="F138" s="124"/>
    </row>
    <row r="139">
      <c r="A139" s="104"/>
      <c r="B139" s="121"/>
      <c r="C139" s="122"/>
      <c r="D139" s="123"/>
      <c r="E139" s="125"/>
      <c r="F139" s="124"/>
    </row>
    <row r="140">
      <c r="A140" s="104"/>
      <c r="B140" s="121"/>
      <c r="C140" s="122"/>
      <c r="D140" s="123"/>
      <c r="E140" s="125"/>
      <c r="F140" s="124"/>
    </row>
    <row r="141">
      <c r="A141" s="104"/>
      <c r="B141" s="121"/>
      <c r="C141" s="122"/>
      <c r="D141" s="123"/>
      <c r="E141" s="125"/>
      <c r="F141" s="124"/>
    </row>
    <row r="142">
      <c r="A142" s="104"/>
      <c r="B142" s="121"/>
      <c r="C142" s="122"/>
      <c r="D142" s="123"/>
      <c r="E142" s="125"/>
      <c r="F142" s="124"/>
    </row>
    <row r="143">
      <c r="A143" s="104"/>
      <c r="B143" s="121"/>
      <c r="C143" s="122"/>
      <c r="D143" s="123"/>
      <c r="E143" s="125"/>
      <c r="F143" s="124"/>
    </row>
    <row r="144">
      <c r="A144" s="104"/>
      <c r="B144" s="121"/>
      <c r="C144" s="122"/>
      <c r="D144" s="123"/>
      <c r="E144" s="125"/>
      <c r="F144" s="124"/>
    </row>
    <row r="145">
      <c r="A145" s="104"/>
      <c r="B145" s="121"/>
      <c r="C145" s="122"/>
      <c r="D145" s="123"/>
      <c r="E145" s="125"/>
      <c r="F145" s="124"/>
    </row>
    <row r="146">
      <c r="A146" s="104"/>
      <c r="B146" s="121"/>
      <c r="C146" s="122"/>
      <c r="D146" s="123"/>
      <c r="E146" s="125"/>
      <c r="F146" s="124"/>
    </row>
    <row r="147">
      <c r="A147" s="104"/>
      <c r="B147" s="121"/>
      <c r="C147" s="122"/>
      <c r="D147" s="123"/>
      <c r="E147" s="125"/>
      <c r="F147" s="124"/>
    </row>
    <row r="148">
      <c r="A148" s="104"/>
      <c r="B148" s="121"/>
      <c r="C148" s="122"/>
      <c r="D148" s="122"/>
      <c r="E148" s="125"/>
      <c r="F148" s="124"/>
    </row>
    <row r="149">
      <c r="A149" s="104"/>
      <c r="B149" s="121"/>
      <c r="C149" s="122"/>
      <c r="D149" s="123"/>
      <c r="E149" s="125"/>
      <c r="F149" s="124"/>
    </row>
    <row r="150">
      <c r="A150" s="104"/>
      <c r="B150" s="121"/>
      <c r="C150" s="122"/>
      <c r="D150" s="123"/>
      <c r="E150" s="125"/>
      <c r="F150" s="124"/>
    </row>
    <row r="151">
      <c r="A151" s="104"/>
      <c r="B151" s="121"/>
      <c r="C151" s="122"/>
      <c r="D151" s="123"/>
      <c r="E151" s="125"/>
      <c r="F151" s="124"/>
    </row>
    <row r="152">
      <c r="A152" s="104"/>
      <c r="B152" s="121"/>
      <c r="C152" s="122"/>
      <c r="D152" s="122"/>
      <c r="E152" s="125"/>
      <c r="F152" s="124"/>
    </row>
    <row r="153">
      <c r="A153" s="104"/>
      <c r="B153" s="121"/>
      <c r="C153" s="122"/>
      <c r="D153" s="122"/>
      <c r="E153" s="125"/>
      <c r="F153" s="124"/>
    </row>
    <row r="154">
      <c r="A154" s="104"/>
      <c r="B154" s="121"/>
      <c r="C154" s="122"/>
      <c r="D154" s="123"/>
      <c r="E154" s="125"/>
      <c r="F154" s="124"/>
    </row>
    <row r="155">
      <c r="A155" s="104"/>
      <c r="B155" s="121"/>
      <c r="C155" s="122"/>
      <c r="D155" s="123"/>
      <c r="E155" s="125"/>
      <c r="F155" s="124"/>
    </row>
    <row r="156">
      <c r="A156" s="104"/>
      <c r="B156" s="121"/>
      <c r="C156" s="122"/>
      <c r="D156" s="123"/>
      <c r="E156" s="125"/>
      <c r="F156" s="124"/>
    </row>
    <row r="157">
      <c r="A157" s="104"/>
      <c r="B157" s="121"/>
      <c r="C157" s="122"/>
      <c r="D157" s="123"/>
      <c r="E157" s="125"/>
      <c r="F157" s="124"/>
    </row>
    <row r="158">
      <c r="A158" s="104"/>
      <c r="B158" s="121"/>
      <c r="C158" s="122"/>
      <c r="D158" s="123"/>
      <c r="E158" s="125"/>
      <c r="F158" s="124"/>
    </row>
    <row r="159">
      <c r="A159" s="104"/>
      <c r="B159" s="121"/>
      <c r="C159" s="122"/>
      <c r="D159" s="123"/>
      <c r="E159" s="125"/>
      <c r="F159" s="124"/>
    </row>
    <row r="160">
      <c r="A160" s="104"/>
      <c r="B160" s="121"/>
      <c r="C160" s="122"/>
      <c r="D160" s="123"/>
      <c r="E160" s="125"/>
      <c r="F160" s="124"/>
    </row>
    <row r="161">
      <c r="A161" s="104"/>
      <c r="B161" s="121"/>
      <c r="C161" s="122"/>
      <c r="D161" s="123"/>
      <c r="E161" s="125"/>
      <c r="F161" s="124"/>
    </row>
    <row r="162">
      <c r="A162" s="104"/>
      <c r="B162" s="121"/>
      <c r="C162" s="122"/>
      <c r="D162" s="123"/>
      <c r="E162" s="125"/>
      <c r="F162" s="124"/>
    </row>
    <row r="163">
      <c r="A163" s="104"/>
      <c r="B163" s="121"/>
      <c r="C163" s="122"/>
      <c r="D163" s="123"/>
      <c r="E163" s="125"/>
      <c r="F163" s="124"/>
    </row>
    <row r="164">
      <c r="A164" s="104"/>
      <c r="B164" s="121"/>
      <c r="C164" s="122"/>
      <c r="D164" s="123"/>
      <c r="E164" s="125"/>
      <c r="F164" s="124"/>
    </row>
    <row r="165">
      <c r="A165" s="104"/>
      <c r="B165" s="121"/>
      <c r="C165" s="122"/>
      <c r="D165" s="123"/>
      <c r="E165" s="125"/>
      <c r="F165" s="124"/>
    </row>
    <row r="166">
      <c r="A166" s="104"/>
      <c r="B166" s="121"/>
      <c r="C166" s="122"/>
      <c r="D166" s="123"/>
      <c r="E166" s="125"/>
      <c r="F166" s="124"/>
    </row>
    <row r="167">
      <c r="A167" s="104"/>
      <c r="B167" s="121"/>
      <c r="C167" s="122"/>
      <c r="D167" s="123"/>
      <c r="E167" s="125"/>
      <c r="F167" s="124"/>
    </row>
    <row r="168">
      <c r="A168" s="104"/>
      <c r="B168" s="121"/>
      <c r="C168" s="122"/>
      <c r="D168" s="123"/>
      <c r="E168" s="125"/>
      <c r="F168" s="124"/>
    </row>
    <row r="169">
      <c r="A169" s="104"/>
      <c r="B169" s="121"/>
      <c r="C169" s="122"/>
      <c r="D169" s="123"/>
      <c r="E169" s="125"/>
      <c r="F169" s="124"/>
    </row>
    <row r="170">
      <c r="A170" s="104"/>
      <c r="B170" s="121"/>
      <c r="C170" s="122"/>
      <c r="D170" s="123"/>
      <c r="E170" s="125"/>
      <c r="F170" s="124"/>
    </row>
    <row r="171">
      <c r="A171" s="104"/>
      <c r="B171" s="121"/>
      <c r="C171" s="122"/>
      <c r="D171" s="123"/>
      <c r="E171" s="125"/>
      <c r="F171" s="124"/>
    </row>
    <row r="172">
      <c r="A172" s="104"/>
      <c r="B172" s="121"/>
      <c r="C172" s="122"/>
      <c r="D172" s="123"/>
      <c r="E172" s="125"/>
      <c r="F172" s="124"/>
    </row>
    <row r="173">
      <c r="A173" s="104"/>
      <c r="B173" s="121"/>
      <c r="C173" s="121"/>
      <c r="D173" s="121"/>
      <c r="E173" s="125"/>
      <c r="F173" s="124"/>
    </row>
    <row r="174">
      <c r="A174" s="104"/>
      <c r="B174" s="121"/>
      <c r="C174" s="121"/>
      <c r="D174" s="121"/>
      <c r="E174" s="125"/>
      <c r="F174" s="124"/>
    </row>
    <row r="175">
      <c r="A175" s="104"/>
      <c r="B175" s="121"/>
      <c r="C175" s="121"/>
      <c r="D175" s="121"/>
      <c r="E175" s="125"/>
      <c r="F175" s="124"/>
    </row>
    <row r="176">
      <c r="A176" s="126"/>
      <c r="B176" s="121"/>
      <c r="C176" s="121"/>
      <c r="D176" s="121"/>
      <c r="E176" s="125"/>
      <c r="F176" s="124"/>
    </row>
    <row r="177">
      <c r="A177" s="126"/>
      <c r="B177" s="121"/>
      <c r="C177" s="121"/>
      <c r="D177" s="121"/>
      <c r="E177" s="125"/>
      <c r="F177" s="124"/>
    </row>
    <row r="178">
      <c r="A178" s="126"/>
      <c r="B178" s="121"/>
      <c r="C178" s="125"/>
      <c r="D178" s="121"/>
      <c r="E178" s="125"/>
      <c r="F178" s="124"/>
    </row>
    <row r="179">
      <c r="A179" s="126"/>
      <c r="B179" s="121"/>
      <c r="C179" s="125"/>
      <c r="D179" s="127"/>
      <c r="E179" s="125"/>
      <c r="F179" s="124"/>
    </row>
    <row r="180">
      <c r="A180" s="126"/>
      <c r="B180" s="121"/>
      <c r="C180" s="125"/>
      <c r="D180" s="121"/>
      <c r="E180" s="125"/>
      <c r="F180" s="124"/>
    </row>
    <row r="181">
      <c r="A181" s="126"/>
      <c r="B181" s="121"/>
      <c r="C181" s="125"/>
      <c r="D181" s="121"/>
      <c r="E181" s="125"/>
      <c r="F181" s="124"/>
    </row>
    <row r="182">
      <c r="A182" s="126"/>
      <c r="B182" s="121"/>
      <c r="C182" s="125"/>
      <c r="D182" s="121"/>
      <c r="E182" s="125"/>
      <c r="F182" s="124"/>
    </row>
    <row r="183">
      <c r="A183" s="126"/>
      <c r="B183" s="121"/>
      <c r="C183" s="125"/>
      <c r="D183" s="121"/>
      <c r="E183" s="125"/>
      <c r="F183" s="124"/>
    </row>
    <row r="184">
      <c r="A184" s="126"/>
      <c r="B184" s="121"/>
      <c r="C184" s="125"/>
      <c r="D184" s="121"/>
      <c r="E184" s="125"/>
      <c r="F184" s="124"/>
    </row>
    <row r="185">
      <c r="A185" s="126"/>
      <c r="B185" s="121"/>
      <c r="C185" s="125"/>
      <c r="D185" s="121"/>
      <c r="E185" s="125"/>
      <c r="F185" s="124"/>
    </row>
    <row r="186">
      <c r="A186" s="126"/>
      <c r="B186" s="121"/>
      <c r="C186" s="125"/>
      <c r="D186" s="121"/>
      <c r="E186" s="125"/>
      <c r="F186" s="124"/>
    </row>
    <row r="187">
      <c r="A187" s="126"/>
      <c r="B187" s="121"/>
      <c r="C187" s="125"/>
      <c r="D187" s="121"/>
      <c r="E187" s="125"/>
      <c r="F187" s="124"/>
    </row>
    <row r="188">
      <c r="A188" s="126"/>
      <c r="B188" s="121"/>
      <c r="C188" s="125"/>
      <c r="D188" s="121"/>
      <c r="E188" s="125"/>
      <c r="F188" s="124"/>
    </row>
    <row r="189">
      <c r="A189" s="126"/>
      <c r="B189" s="121"/>
      <c r="C189" s="125"/>
      <c r="D189" s="121"/>
      <c r="E189" s="125"/>
      <c r="F189" s="124"/>
    </row>
    <row r="190">
      <c r="A190" s="126"/>
      <c r="B190" s="121"/>
      <c r="C190" s="125"/>
      <c r="D190" s="121"/>
      <c r="E190" s="125"/>
      <c r="F190" s="124"/>
    </row>
    <row r="191">
      <c r="A191" s="126"/>
      <c r="B191" s="121"/>
      <c r="C191" s="125"/>
      <c r="D191" s="121"/>
      <c r="E191" s="125"/>
      <c r="F191" s="124"/>
    </row>
    <row r="192">
      <c r="A192" s="126"/>
      <c r="B192" s="121"/>
      <c r="C192" s="125"/>
      <c r="D192" s="121"/>
      <c r="E192" s="125"/>
      <c r="F192" s="124"/>
    </row>
    <row r="193">
      <c r="A193" s="126"/>
      <c r="B193" s="121"/>
      <c r="C193" s="125"/>
      <c r="D193" s="121"/>
      <c r="E193" s="125"/>
      <c r="F193" s="124"/>
    </row>
    <row r="194">
      <c r="A194" s="126"/>
      <c r="B194" s="121"/>
      <c r="C194" s="125"/>
      <c r="D194" s="121"/>
      <c r="E194" s="125"/>
      <c r="F194" s="124"/>
    </row>
    <row r="195">
      <c r="A195" s="126"/>
      <c r="B195" s="121"/>
      <c r="C195" s="125"/>
      <c r="D195" s="121"/>
      <c r="E195" s="125"/>
      <c r="F195" s="124"/>
    </row>
    <row r="196">
      <c r="A196" s="126"/>
      <c r="B196" s="121"/>
      <c r="C196" s="125"/>
      <c r="D196" s="121"/>
      <c r="E196" s="125"/>
      <c r="F196" s="124"/>
    </row>
    <row r="197">
      <c r="A197" s="126"/>
      <c r="B197" s="121"/>
      <c r="C197" s="125"/>
      <c r="D197" s="121"/>
      <c r="E197" s="125"/>
      <c r="F197" s="124"/>
    </row>
    <row r="198">
      <c r="A198" s="126"/>
      <c r="B198" s="121"/>
      <c r="C198" s="125"/>
      <c r="D198" s="121"/>
      <c r="E198" s="125"/>
      <c r="F198" s="124"/>
    </row>
    <row r="199">
      <c r="A199" s="126"/>
      <c r="B199" s="121"/>
      <c r="C199" s="125"/>
      <c r="D199" s="121"/>
      <c r="E199" s="125"/>
      <c r="F199" s="124"/>
    </row>
    <row r="200">
      <c r="A200" s="126"/>
      <c r="B200" s="121"/>
      <c r="C200" s="125"/>
      <c r="D200" s="121"/>
      <c r="E200" s="125"/>
      <c r="F200" s="124"/>
    </row>
    <row r="201">
      <c r="A201" s="126"/>
      <c r="B201" s="121"/>
      <c r="C201" s="125"/>
      <c r="D201" s="121"/>
      <c r="E201" s="125"/>
      <c r="F201" s="124"/>
    </row>
    <row r="202">
      <c r="A202" s="126"/>
      <c r="B202" s="121"/>
      <c r="C202" s="125"/>
      <c r="D202" s="121"/>
      <c r="E202" s="125"/>
      <c r="F202" s="124"/>
    </row>
    <row r="203">
      <c r="A203" s="126"/>
      <c r="B203" s="121"/>
      <c r="C203" s="125"/>
      <c r="D203" s="121"/>
      <c r="E203" s="125"/>
      <c r="F203" s="124"/>
    </row>
    <row r="204">
      <c r="A204" s="126"/>
      <c r="B204" s="121"/>
      <c r="C204" s="125"/>
      <c r="D204" s="121"/>
      <c r="E204" s="125"/>
      <c r="F204" s="124"/>
    </row>
    <row r="205">
      <c r="A205" s="126"/>
      <c r="B205" s="121"/>
      <c r="C205" s="125"/>
      <c r="D205" s="121"/>
      <c r="E205" s="125"/>
      <c r="F205" s="124"/>
    </row>
    <row r="206">
      <c r="A206" s="126"/>
      <c r="B206" s="121"/>
      <c r="C206" s="125"/>
      <c r="D206" s="121"/>
      <c r="E206" s="125"/>
      <c r="F206" s="124"/>
    </row>
    <row r="207">
      <c r="A207" s="126"/>
      <c r="B207" s="121"/>
      <c r="C207" s="125"/>
      <c r="D207" s="121"/>
      <c r="E207" s="125"/>
      <c r="F207" s="124"/>
    </row>
    <row r="208">
      <c r="A208" s="126"/>
      <c r="B208" s="121"/>
      <c r="C208" s="125"/>
      <c r="D208" s="121"/>
      <c r="E208" s="125"/>
      <c r="F208" s="124"/>
    </row>
    <row r="209">
      <c r="A209" s="126"/>
      <c r="B209" s="121"/>
      <c r="C209" s="125"/>
      <c r="D209" s="121"/>
      <c r="E209" s="125"/>
      <c r="F209" s="124"/>
    </row>
    <row r="210">
      <c r="A210" s="126"/>
      <c r="B210" s="121"/>
      <c r="C210" s="125"/>
      <c r="D210" s="121"/>
      <c r="E210" s="125"/>
      <c r="F210" s="124"/>
    </row>
    <row r="211">
      <c r="A211" s="126"/>
      <c r="B211" s="121"/>
      <c r="C211" s="125"/>
      <c r="D211" s="121"/>
      <c r="E211" s="125"/>
      <c r="F211" s="124"/>
    </row>
    <row r="212">
      <c r="A212" s="126"/>
      <c r="B212" s="121"/>
      <c r="C212" s="125"/>
      <c r="D212" s="121"/>
      <c r="E212" s="125"/>
      <c r="F212" s="124"/>
    </row>
    <row r="213">
      <c r="A213" s="126"/>
      <c r="B213" s="121"/>
      <c r="C213" s="125"/>
      <c r="D213" s="121"/>
      <c r="E213" s="125"/>
      <c r="F213" s="124"/>
    </row>
    <row r="214">
      <c r="A214" s="126"/>
      <c r="B214" s="121"/>
      <c r="C214" s="125"/>
      <c r="D214" s="121"/>
      <c r="E214" s="125"/>
      <c r="F214" s="124"/>
    </row>
    <row r="215">
      <c r="A215" s="126"/>
      <c r="B215" s="121"/>
      <c r="C215" s="125"/>
      <c r="D215" s="121"/>
      <c r="E215" s="125"/>
      <c r="F215" s="124"/>
    </row>
    <row r="216">
      <c r="A216" s="126"/>
      <c r="B216" s="121"/>
      <c r="C216" s="125"/>
      <c r="D216" s="121"/>
      <c r="E216" s="125"/>
      <c r="F216" s="124"/>
    </row>
    <row r="217">
      <c r="A217" s="126"/>
      <c r="B217" s="121"/>
      <c r="C217" s="125"/>
      <c r="D217" s="121"/>
      <c r="E217" s="125"/>
      <c r="F217" s="124"/>
    </row>
    <row r="218">
      <c r="A218" s="126"/>
      <c r="B218" s="121"/>
      <c r="C218" s="125"/>
      <c r="D218" s="121"/>
      <c r="E218" s="125"/>
      <c r="F218" s="124"/>
    </row>
    <row r="219">
      <c r="A219" s="126"/>
      <c r="B219" s="121"/>
      <c r="C219" s="125"/>
      <c r="D219" s="121"/>
      <c r="E219" s="125"/>
      <c r="F219" s="124"/>
    </row>
    <row r="220">
      <c r="A220" s="126"/>
      <c r="B220" s="121"/>
      <c r="C220" s="125"/>
      <c r="D220" s="121"/>
      <c r="E220" s="125"/>
      <c r="F220" s="124"/>
    </row>
    <row r="221">
      <c r="A221" s="126"/>
      <c r="B221" s="121"/>
      <c r="C221" s="125"/>
      <c r="D221" s="121"/>
      <c r="E221" s="125"/>
      <c r="F221" s="124"/>
    </row>
    <row r="222">
      <c r="A222" s="126"/>
      <c r="B222" s="121"/>
      <c r="C222" s="125"/>
      <c r="D222" s="121"/>
      <c r="E222" s="125"/>
      <c r="F222" s="124"/>
    </row>
    <row r="223">
      <c r="A223" s="126"/>
      <c r="B223" s="121"/>
      <c r="C223" s="125"/>
      <c r="D223" s="121"/>
      <c r="E223" s="125"/>
      <c r="F223" s="124"/>
    </row>
    <row r="224">
      <c r="A224" s="125"/>
      <c r="B224" s="125"/>
      <c r="C224" s="125"/>
      <c r="D224" s="125"/>
      <c r="E224" s="125"/>
      <c r="F224" s="124"/>
    </row>
    <row r="225">
      <c r="A225" s="125"/>
      <c r="B225" s="125"/>
      <c r="C225" s="125"/>
      <c r="D225" s="125"/>
      <c r="E225" s="125"/>
      <c r="F225" s="124"/>
    </row>
    <row r="226">
      <c r="A226" s="125"/>
      <c r="B226" s="125"/>
      <c r="C226" s="125"/>
      <c r="D226" s="125"/>
      <c r="E226" s="125"/>
      <c r="F226" s="124"/>
    </row>
    <row r="227">
      <c r="A227" s="125"/>
      <c r="B227" s="125"/>
      <c r="C227" s="125"/>
      <c r="D227" s="125"/>
      <c r="E227" s="125"/>
      <c r="F227" s="124"/>
    </row>
    <row r="228">
      <c r="A228" s="125"/>
      <c r="B228" s="125"/>
      <c r="C228" s="125"/>
      <c r="D228" s="125"/>
      <c r="E228" s="125"/>
      <c r="F228" s="124"/>
    </row>
    <row r="229">
      <c r="A229" s="125"/>
      <c r="B229" s="125"/>
      <c r="C229" s="125"/>
      <c r="D229" s="125"/>
      <c r="E229" s="125"/>
      <c r="F229" s="124"/>
    </row>
    <row r="230">
      <c r="A230" s="125"/>
      <c r="B230" s="125"/>
      <c r="C230" s="125"/>
      <c r="D230" s="125"/>
      <c r="E230" s="125"/>
      <c r="F230" s="124"/>
    </row>
    <row r="231">
      <c r="A231" s="125"/>
      <c r="B231" s="125"/>
      <c r="C231" s="125"/>
      <c r="D231" s="125"/>
      <c r="E231" s="125"/>
      <c r="F231" s="124"/>
    </row>
    <row r="232">
      <c r="A232" s="125"/>
      <c r="B232" s="125"/>
      <c r="C232" s="125"/>
      <c r="D232" s="125"/>
      <c r="E232" s="125"/>
      <c r="F232" s="124"/>
    </row>
    <row r="233">
      <c r="A233" s="125"/>
      <c r="B233" s="125"/>
      <c r="C233" s="125"/>
      <c r="D233" s="125"/>
      <c r="E233" s="125"/>
      <c r="F233" s="124"/>
    </row>
    <row r="234">
      <c r="A234" s="125"/>
      <c r="B234" s="125"/>
      <c r="C234" s="125"/>
      <c r="D234" s="125"/>
      <c r="E234" s="125"/>
      <c r="F234" s="124"/>
    </row>
    <row r="235">
      <c r="A235" s="125"/>
      <c r="B235" s="125"/>
      <c r="C235" s="125"/>
      <c r="D235" s="125"/>
      <c r="E235" s="125"/>
      <c r="F235" s="124"/>
    </row>
    <row r="236">
      <c r="A236" s="125"/>
      <c r="B236" s="125"/>
      <c r="C236" s="125"/>
      <c r="D236" s="125"/>
      <c r="E236" s="125"/>
      <c r="F236" s="124"/>
    </row>
    <row r="237">
      <c r="A237" s="125"/>
      <c r="B237" s="125"/>
      <c r="C237" s="125"/>
      <c r="D237" s="125"/>
      <c r="E237" s="125"/>
      <c r="F237" s="124"/>
    </row>
    <row r="238">
      <c r="A238" s="125"/>
      <c r="B238" s="125"/>
      <c r="C238" s="125"/>
      <c r="D238" s="125"/>
      <c r="E238" s="125"/>
      <c r="F238" s="124"/>
    </row>
    <row r="239">
      <c r="A239" s="125"/>
      <c r="B239" s="125"/>
      <c r="C239" s="125"/>
      <c r="D239" s="125"/>
      <c r="E239" s="125"/>
      <c r="F239" s="124"/>
    </row>
    <row r="240">
      <c r="A240" s="125"/>
      <c r="B240" s="125"/>
      <c r="C240" s="125"/>
      <c r="D240" s="125"/>
      <c r="E240" s="125"/>
      <c r="F240" s="124"/>
    </row>
    <row r="241">
      <c r="A241" s="125"/>
      <c r="B241" s="125"/>
      <c r="C241" s="125"/>
      <c r="D241" s="125"/>
      <c r="E241" s="125"/>
      <c r="F241" s="124"/>
    </row>
    <row r="242">
      <c r="A242" s="125"/>
      <c r="B242" s="125"/>
      <c r="C242" s="125"/>
      <c r="D242" s="125"/>
      <c r="E242" s="125"/>
      <c r="F242" s="124"/>
    </row>
    <row r="243">
      <c r="A243" s="125"/>
      <c r="B243" s="125"/>
      <c r="C243" s="125"/>
      <c r="D243" s="125"/>
      <c r="E243" s="125"/>
      <c r="F243" s="124"/>
    </row>
    <row r="244">
      <c r="A244" s="125"/>
      <c r="B244" s="125"/>
      <c r="C244" s="125"/>
      <c r="D244" s="125"/>
      <c r="E244" s="125"/>
      <c r="F244" s="124"/>
    </row>
    <row r="245">
      <c r="A245" s="125"/>
      <c r="B245" s="125"/>
      <c r="C245" s="125"/>
      <c r="D245" s="125"/>
      <c r="E245" s="125"/>
      <c r="F245" s="124"/>
    </row>
    <row r="246">
      <c r="A246" s="125"/>
      <c r="B246" s="125"/>
      <c r="C246" s="125"/>
      <c r="D246" s="125"/>
      <c r="E246" s="125"/>
      <c r="F246" s="124"/>
    </row>
    <row r="247">
      <c r="A247" s="125"/>
      <c r="B247" s="125"/>
      <c r="C247" s="125"/>
      <c r="D247" s="125"/>
      <c r="E247" s="125"/>
      <c r="F247" s="124"/>
    </row>
    <row r="248">
      <c r="A248" s="125"/>
      <c r="B248" s="125"/>
      <c r="C248" s="125"/>
      <c r="D248" s="125"/>
      <c r="E248" s="125"/>
      <c r="F248" s="124"/>
    </row>
    <row r="249">
      <c r="A249" s="125"/>
      <c r="B249" s="125"/>
      <c r="C249" s="125"/>
      <c r="D249" s="125"/>
      <c r="E249" s="125"/>
      <c r="F249" s="124"/>
    </row>
    <row r="250">
      <c r="A250" s="125"/>
      <c r="B250" s="125"/>
      <c r="C250" s="125"/>
      <c r="D250" s="125"/>
      <c r="E250" s="125"/>
      <c r="F250" s="124"/>
    </row>
    <row r="251">
      <c r="A251" s="125"/>
      <c r="B251" s="125"/>
      <c r="C251" s="125"/>
      <c r="D251" s="125"/>
      <c r="E251" s="125"/>
      <c r="F251" s="124"/>
    </row>
    <row r="252">
      <c r="A252" s="125"/>
      <c r="B252" s="125"/>
      <c r="C252" s="125"/>
      <c r="D252" s="125"/>
      <c r="E252" s="125"/>
      <c r="F252" s="124"/>
    </row>
    <row r="253">
      <c r="A253" s="125"/>
      <c r="B253" s="125"/>
      <c r="C253" s="125"/>
      <c r="D253" s="125"/>
      <c r="E253" s="125"/>
      <c r="F253" s="124"/>
    </row>
    <row r="254">
      <c r="A254" s="125"/>
      <c r="B254" s="125"/>
      <c r="C254" s="125"/>
      <c r="D254" s="125"/>
      <c r="E254" s="125"/>
      <c r="F254" s="124"/>
    </row>
    <row r="255">
      <c r="A255" s="125"/>
      <c r="B255" s="125"/>
      <c r="C255" s="125"/>
      <c r="D255" s="125"/>
      <c r="E255" s="125"/>
      <c r="F255" s="124"/>
    </row>
    <row r="256">
      <c r="A256" s="125"/>
      <c r="B256" s="125"/>
      <c r="C256" s="125"/>
      <c r="D256" s="125"/>
      <c r="E256" s="125"/>
      <c r="F256" s="124"/>
    </row>
    <row r="257">
      <c r="A257" s="125"/>
      <c r="B257" s="125"/>
      <c r="C257" s="125"/>
      <c r="D257" s="125"/>
      <c r="E257" s="125"/>
      <c r="F257" s="124"/>
    </row>
    <row r="258">
      <c r="A258" s="125"/>
      <c r="B258" s="125"/>
      <c r="C258" s="125"/>
      <c r="D258" s="125"/>
      <c r="E258" s="125"/>
      <c r="F258" s="124"/>
    </row>
    <row r="259">
      <c r="A259" s="125"/>
      <c r="B259" s="125"/>
      <c r="C259" s="125"/>
      <c r="D259" s="125"/>
      <c r="E259" s="125"/>
      <c r="F259" s="124"/>
    </row>
    <row r="260">
      <c r="A260" s="125"/>
      <c r="B260" s="125"/>
      <c r="C260" s="125"/>
      <c r="D260" s="125"/>
      <c r="E260" s="125"/>
      <c r="F260" s="124"/>
    </row>
    <row r="261">
      <c r="A261" s="125"/>
      <c r="B261" s="125"/>
      <c r="C261" s="125"/>
      <c r="D261" s="125"/>
      <c r="E261" s="125"/>
      <c r="F261" s="124"/>
    </row>
    <row r="262">
      <c r="A262" s="125"/>
      <c r="B262" s="125"/>
      <c r="C262" s="125"/>
      <c r="D262" s="125"/>
      <c r="E262" s="125"/>
      <c r="F262" s="124"/>
    </row>
    <row r="263">
      <c r="A263" s="125"/>
      <c r="B263" s="125"/>
      <c r="C263" s="125"/>
      <c r="D263" s="125"/>
      <c r="E263" s="125"/>
      <c r="F263" s="124"/>
    </row>
    <row r="264">
      <c r="A264" s="125"/>
      <c r="B264" s="125"/>
      <c r="C264" s="125"/>
      <c r="D264" s="125"/>
      <c r="E264" s="125"/>
      <c r="F264" s="124"/>
    </row>
    <row r="265">
      <c r="A265" s="125"/>
      <c r="B265" s="125"/>
      <c r="C265" s="125"/>
      <c r="D265" s="125"/>
      <c r="E265" s="125"/>
      <c r="F265" s="124"/>
    </row>
    <row r="266">
      <c r="A266" s="125"/>
      <c r="B266" s="125"/>
      <c r="C266" s="125"/>
      <c r="D266" s="125"/>
      <c r="E266" s="125"/>
      <c r="F266" s="124"/>
    </row>
    <row r="267">
      <c r="A267" s="125"/>
      <c r="B267" s="125"/>
      <c r="C267" s="125"/>
      <c r="D267" s="125"/>
      <c r="E267" s="125"/>
      <c r="F267" s="124"/>
    </row>
    <row r="268">
      <c r="A268" s="125"/>
      <c r="B268" s="125"/>
      <c r="C268" s="125"/>
      <c r="D268" s="125"/>
      <c r="E268" s="125"/>
      <c r="F268" s="124"/>
    </row>
    <row r="269">
      <c r="A269" s="125"/>
      <c r="B269" s="125"/>
      <c r="C269" s="125"/>
      <c r="D269" s="125"/>
      <c r="E269" s="125"/>
      <c r="F269" s="124"/>
    </row>
    <row r="270">
      <c r="A270" s="125"/>
      <c r="B270" s="125"/>
      <c r="C270" s="125"/>
      <c r="D270" s="125"/>
      <c r="E270" s="125"/>
      <c r="F270" s="124"/>
    </row>
    <row r="271">
      <c r="A271" s="125"/>
      <c r="B271" s="125"/>
      <c r="C271" s="125"/>
      <c r="D271" s="125"/>
      <c r="E271" s="125"/>
      <c r="F271" s="124"/>
    </row>
    <row r="272">
      <c r="A272" s="125"/>
      <c r="B272" s="125"/>
      <c r="C272" s="125"/>
      <c r="D272" s="125"/>
      <c r="E272" s="125"/>
      <c r="F272" s="124"/>
    </row>
    <row r="273">
      <c r="A273" s="125"/>
      <c r="B273" s="125"/>
      <c r="C273" s="125"/>
      <c r="D273" s="125"/>
      <c r="E273" s="125"/>
      <c r="F273" s="124"/>
    </row>
    <row r="274">
      <c r="A274" s="125"/>
      <c r="B274" s="125"/>
      <c r="C274" s="125"/>
      <c r="D274" s="125"/>
      <c r="E274" s="125"/>
      <c r="F274" s="124"/>
    </row>
    <row r="275">
      <c r="A275" s="125"/>
      <c r="B275" s="125"/>
      <c r="C275" s="125"/>
      <c r="D275" s="125"/>
      <c r="E275" s="125"/>
      <c r="F275" s="124"/>
    </row>
    <row r="276">
      <c r="A276" s="125"/>
      <c r="B276" s="125"/>
      <c r="C276" s="125"/>
      <c r="D276" s="125"/>
      <c r="E276" s="125"/>
      <c r="F276" s="124"/>
    </row>
    <row r="277">
      <c r="A277" s="125"/>
      <c r="B277" s="125"/>
      <c r="C277" s="125"/>
      <c r="D277" s="125"/>
      <c r="E277" s="125"/>
      <c r="F277" s="124"/>
    </row>
    <row r="278">
      <c r="A278" s="125"/>
      <c r="B278" s="125"/>
      <c r="C278" s="125"/>
      <c r="D278" s="125"/>
      <c r="E278" s="125"/>
      <c r="F278" s="124"/>
    </row>
    <row r="279">
      <c r="A279" s="125"/>
      <c r="B279" s="125"/>
      <c r="C279" s="125"/>
      <c r="D279" s="125"/>
      <c r="E279" s="125"/>
      <c r="F279" s="124"/>
    </row>
    <row r="280">
      <c r="A280" s="125"/>
      <c r="B280" s="125"/>
      <c r="C280" s="125"/>
      <c r="D280" s="125"/>
      <c r="E280" s="125"/>
      <c r="F280" s="124"/>
    </row>
    <row r="281">
      <c r="A281" s="125"/>
      <c r="B281" s="125"/>
      <c r="C281" s="125"/>
      <c r="D281" s="125"/>
      <c r="E281" s="125"/>
      <c r="F281" s="124"/>
    </row>
    <row r="282">
      <c r="A282" s="125"/>
      <c r="B282" s="125"/>
      <c r="C282" s="125"/>
      <c r="D282" s="125"/>
      <c r="E282" s="125"/>
      <c r="F282" s="124"/>
    </row>
    <row r="283">
      <c r="A283" s="125"/>
      <c r="B283" s="125"/>
      <c r="C283" s="125"/>
      <c r="D283" s="125"/>
      <c r="E283" s="125"/>
      <c r="F283" s="124"/>
    </row>
    <row r="284">
      <c r="A284" s="125"/>
      <c r="B284" s="125"/>
      <c r="C284" s="125"/>
      <c r="D284" s="125"/>
      <c r="E284" s="125"/>
      <c r="F284" s="124"/>
    </row>
    <row r="285">
      <c r="A285" s="125"/>
      <c r="B285" s="125"/>
      <c r="C285" s="125"/>
      <c r="D285" s="125"/>
      <c r="E285" s="125"/>
      <c r="F285" s="124"/>
    </row>
    <row r="286">
      <c r="A286" s="125"/>
      <c r="B286" s="125"/>
      <c r="C286" s="125"/>
      <c r="D286" s="125"/>
      <c r="E286" s="125"/>
      <c r="F286" s="124"/>
    </row>
    <row r="287">
      <c r="A287" s="125"/>
      <c r="B287" s="125"/>
      <c r="C287" s="125"/>
      <c r="D287" s="125"/>
      <c r="E287" s="125"/>
      <c r="F287" s="124"/>
    </row>
    <row r="288">
      <c r="A288" s="125"/>
      <c r="B288" s="125"/>
      <c r="C288" s="125"/>
      <c r="D288" s="125"/>
      <c r="E288" s="125"/>
      <c r="F288" s="124"/>
    </row>
    <row r="289">
      <c r="A289" s="125"/>
      <c r="B289" s="125"/>
      <c r="C289" s="125"/>
      <c r="D289" s="125"/>
      <c r="E289" s="125"/>
      <c r="F289" s="124"/>
    </row>
    <row r="290">
      <c r="A290" s="125"/>
      <c r="B290" s="125"/>
      <c r="C290" s="125"/>
      <c r="D290" s="125"/>
      <c r="E290" s="125"/>
      <c r="F290" s="124"/>
    </row>
    <row r="291">
      <c r="A291" s="125"/>
      <c r="B291" s="125"/>
      <c r="C291" s="125"/>
      <c r="D291" s="125"/>
      <c r="E291" s="125"/>
      <c r="F291" s="124"/>
    </row>
    <row r="292">
      <c r="A292" s="125"/>
      <c r="B292" s="125"/>
      <c r="C292" s="125"/>
      <c r="D292" s="125"/>
      <c r="E292" s="125"/>
      <c r="F292" s="124"/>
    </row>
    <row r="293">
      <c r="A293" s="125"/>
      <c r="B293" s="125"/>
      <c r="C293" s="125"/>
      <c r="D293" s="125"/>
      <c r="E293" s="125"/>
      <c r="F293" s="124"/>
    </row>
    <row r="294">
      <c r="A294" s="125"/>
      <c r="B294" s="125"/>
      <c r="C294" s="125"/>
      <c r="D294" s="125"/>
      <c r="E294" s="125"/>
      <c r="F294" s="124"/>
    </row>
    <row r="295">
      <c r="A295" s="125"/>
      <c r="B295" s="125"/>
      <c r="C295" s="125"/>
      <c r="D295" s="125"/>
      <c r="E295" s="125"/>
      <c r="F295" s="124"/>
    </row>
    <row r="296">
      <c r="A296" s="125"/>
      <c r="B296" s="125"/>
      <c r="C296" s="125"/>
      <c r="D296" s="125"/>
      <c r="E296" s="125"/>
      <c r="F296" s="124"/>
    </row>
    <row r="297">
      <c r="A297" s="125"/>
      <c r="B297" s="125"/>
      <c r="C297" s="125"/>
      <c r="D297" s="125"/>
      <c r="E297" s="125"/>
      <c r="F297" s="124"/>
    </row>
    <row r="298">
      <c r="A298" s="125"/>
      <c r="B298" s="125"/>
      <c r="C298" s="125"/>
      <c r="D298" s="125"/>
      <c r="E298" s="125"/>
      <c r="F298" s="124"/>
    </row>
    <row r="299">
      <c r="A299" s="125"/>
      <c r="B299" s="125"/>
      <c r="C299" s="125"/>
      <c r="D299" s="125"/>
      <c r="E299" s="125"/>
      <c r="F299" s="124"/>
    </row>
    <row r="300">
      <c r="A300" s="125"/>
      <c r="B300" s="125"/>
      <c r="C300" s="125"/>
      <c r="D300" s="125"/>
      <c r="E300" s="125"/>
      <c r="F300" s="124"/>
    </row>
    <row r="301">
      <c r="A301" s="125"/>
      <c r="B301" s="125"/>
      <c r="C301" s="125"/>
      <c r="D301" s="125"/>
      <c r="E301" s="125"/>
      <c r="F301" s="124"/>
    </row>
    <row r="302">
      <c r="A302" s="125"/>
      <c r="B302" s="125"/>
      <c r="C302" s="125"/>
      <c r="D302" s="125"/>
      <c r="E302" s="125"/>
      <c r="F302" s="124"/>
    </row>
    <row r="303">
      <c r="A303" s="125"/>
      <c r="B303" s="125"/>
      <c r="C303" s="125"/>
      <c r="D303" s="125"/>
      <c r="E303" s="125"/>
      <c r="F303" s="124"/>
    </row>
    <row r="304">
      <c r="A304" s="125"/>
      <c r="B304" s="125"/>
      <c r="C304" s="125"/>
      <c r="D304" s="125"/>
      <c r="E304" s="125"/>
      <c r="F304" s="124"/>
    </row>
    <row r="305">
      <c r="A305" s="125"/>
      <c r="B305" s="125"/>
      <c r="C305" s="125"/>
      <c r="D305" s="125"/>
      <c r="E305" s="125"/>
      <c r="F305" s="124"/>
    </row>
    <row r="306">
      <c r="A306" s="125"/>
      <c r="B306" s="125"/>
      <c r="C306" s="125"/>
      <c r="D306" s="125"/>
      <c r="E306" s="125"/>
      <c r="F306" s="124"/>
    </row>
    <row r="307">
      <c r="A307" s="125"/>
      <c r="B307" s="125"/>
      <c r="C307" s="125"/>
      <c r="D307" s="125"/>
      <c r="E307" s="125"/>
      <c r="F307" s="124"/>
    </row>
    <row r="308">
      <c r="A308" s="125"/>
      <c r="B308" s="125"/>
      <c r="C308" s="125"/>
      <c r="D308" s="125"/>
      <c r="E308" s="125"/>
      <c r="F308" s="124"/>
    </row>
    <row r="309">
      <c r="A309" s="125"/>
      <c r="B309" s="125"/>
      <c r="C309" s="125"/>
      <c r="D309" s="125"/>
      <c r="E309" s="125"/>
      <c r="F309" s="124"/>
    </row>
    <row r="310">
      <c r="A310" s="125"/>
      <c r="B310" s="125"/>
      <c r="C310" s="125"/>
      <c r="D310" s="125"/>
      <c r="E310" s="125"/>
      <c r="F310" s="124"/>
    </row>
    <row r="311">
      <c r="A311" s="125"/>
      <c r="B311" s="125"/>
      <c r="C311" s="125"/>
      <c r="D311" s="125"/>
      <c r="E311" s="125"/>
      <c r="F311" s="124"/>
    </row>
    <row r="312">
      <c r="A312" s="125"/>
      <c r="B312" s="125"/>
      <c r="C312" s="125"/>
      <c r="D312" s="125"/>
      <c r="E312" s="125"/>
      <c r="F312" s="124"/>
    </row>
    <row r="313">
      <c r="A313" s="125"/>
      <c r="B313" s="125"/>
      <c r="C313" s="125"/>
      <c r="D313" s="125"/>
      <c r="E313" s="125"/>
      <c r="F313" s="124"/>
    </row>
    <row r="314">
      <c r="A314" s="125"/>
      <c r="B314" s="125"/>
      <c r="C314" s="125"/>
      <c r="D314" s="125"/>
      <c r="E314" s="125"/>
      <c r="F314" s="124"/>
    </row>
    <row r="315">
      <c r="A315" s="125"/>
      <c r="B315" s="125"/>
      <c r="C315" s="125"/>
      <c r="D315" s="125"/>
      <c r="E315" s="125"/>
      <c r="F315" s="124"/>
    </row>
    <row r="316">
      <c r="A316" s="125"/>
      <c r="B316" s="125"/>
      <c r="C316" s="125"/>
      <c r="D316" s="125"/>
      <c r="E316" s="125"/>
      <c r="F316" s="124"/>
    </row>
    <row r="317">
      <c r="A317" s="125"/>
      <c r="B317" s="125"/>
      <c r="C317" s="125"/>
      <c r="D317" s="125"/>
      <c r="E317" s="125"/>
      <c r="F317" s="124"/>
    </row>
    <row r="318">
      <c r="A318" s="125"/>
      <c r="B318" s="125"/>
      <c r="C318" s="125"/>
      <c r="D318" s="125"/>
      <c r="E318" s="125"/>
      <c r="F318" s="124"/>
    </row>
    <row r="319">
      <c r="A319" s="125"/>
      <c r="B319" s="125"/>
      <c r="C319" s="125"/>
      <c r="D319" s="125"/>
      <c r="E319" s="125"/>
      <c r="F319" s="124"/>
    </row>
    <row r="320">
      <c r="A320" s="125"/>
      <c r="B320" s="125"/>
      <c r="C320" s="125"/>
      <c r="D320" s="125"/>
      <c r="E320" s="125"/>
      <c r="F320" s="124"/>
    </row>
    <row r="321">
      <c r="A321" s="125"/>
      <c r="B321" s="125"/>
      <c r="C321" s="125"/>
      <c r="D321" s="125"/>
      <c r="E321" s="125"/>
      <c r="F321" s="124"/>
    </row>
    <row r="322">
      <c r="A322" s="125"/>
      <c r="B322" s="125"/>
      <c r="C322" s="125"/>
      <c r="D322" s="125"/>
      <c r="E322" s="125"/>
      <c r="F322" s="124"/>
    </row>
    <row r="323">
      <c r="A323" s="125"/>
      <c r="B323" s="125"/>
      <c r="C323" s="125"/>
      <c r="D323" s="125"/>
      <c r="E323" s="125"/>
      <c r="F323" s="124"/>
    </row>
    <row r="324">
      <c r="A324" s="125"/>
      <c r="B324" s="125"/>
      <c r="C324" s="125"/>
      <c r="D324" s="125"/>
      <c r="E324" s="125"/>
      <c r="F324" s="124"/>
    </row>
    <row r="325">
      <c r="A325" s="125"/>
      <c r="B325" s="125"/>
      <c r="C325" s="125"/>
      <c r="D325" s="125"/>
      <c r="E325" s="125"/>
      <c r="F325" s="124"/>
    </row>
    <row r="326">
      <c r="A326" s="125"/>
      <c r="B326" s="125"/>
      <c r="C326" s="125"/>
      <c r="D326" s="125"/>
      <c r="E326" s="125"/>
      <c r="F326" s="124"/>
    </row>
    <row r="327">
      <c r="A327" s="125"/>
      <c r="B327" s="125"/>
      <c r="C327" s="125"/>
      <c r="D327" s="125"/>
      <c r="E327" s="125"/>
      <c r="F327" s="124"/>
    </row>
    <row r="328">
      <c r="A328" s="125"/>
      <c r="B328" s="125"/>
      <c r="C328" s="125"/>
      <c r="D328" s="125"/>
      <c r="E328" s="125"/>
      <c r="F328" s="124"/>
    </row>
    <row r="329">
      <c r="A329" s="125"/>
      <c r="B329" s="125"/>
      <c r="C329" s="125"/>
      <c r="D329" s="125"/>
      <c r="E329" s="125"/>
      <c r="F329" s="124"/>
    </row>
    <row r="330">
      <c r="A330" s="125"/>
      <c r="B330" s="125"/>
      <c r="C330" s="125"/>
      <c r="D330" s="125"/>
      <c r="E330" s="125"/>
      <c r="F330" s="124"/>
    </row>
    <row r="331">
      <c r="A331" s="125"/>
      <c r="B331" s="125"/>
      <c r="C331" s="125"/>
      <c r="D331" s="125"/>
      <c r="E331" s="125"/>
      <c r="F331" s="124"/>
    </row>
    <row r="332">
      <c r="A332" s="125"/>
      <c r="B332" s="125"/>
      <c r="C332" s="125"/>
      <c r="D332" s="125"/>
      <c r="E332" s="125"/>
      <c r="F332" s="124"/>
    </row>
    <row r="333">
      <c r="A333" s="125"/>
      <c r="B333" s="125"/>
      <c r="C333" s="125"/>
      <c r="D333" s="125"/>
      <c r="E333" s="125"/>
      <c r="F333" s="124"/>
    </row>
    <row r="334">
      <c r="A334" s="125"/>
      <c r="B334" s="125"/>
      <c r="C334" s="125"/>
      <c r="D334" s="125"/>
      <c r="E334" s="125"/>
      <c r="F334" s="124"/>
    </row>
    <row r="335">
      <c r="A335" s="125"/>
      <c r="B335" s="125"/>
      <c r="C335" s="125"/>
      <c r="D335" s="125"/>
      <c r="E335" s="125"/>
      <c r="F335" s="124"/>
    </row>
    <row r="336">
      <c r="A336" s="125"/>
      <c r="B336" s="125"/>
      <c r="C336" s="125"/>
      <c r="D336" s="125"/>
      <c r="E336" s="125"/>
      <c r="F336" s="124"/>
    </row>
    <row r="337">
      <c r="A337" s="125"/>
      <c r="B337" s="125"/>
      <c r="C337" s="125"/>
      <c r="D337" s="125"/>
      <c r="E337" s="125"/>
      <c r="F337" s="124"/>
    </row>
    <row r="338">
      <c r="A338" s="125"/>
      <c r="B338" s="125"/>
      <c r="C338" s="125"/>
      <c r="D338" s="125"/>
      <c r="E338" s="125"/>
      <c r="F338" s="124"/>
    </row>
    <row r="339">
      <c r="A339" s="125"/>
      <c r="B339" s="125"/>
      <c r="C339" s="125"/>
      <c r="D339" s="125"/>
      <c r="E339" s="125"/>
      <c r="F339" s="124"/>
    </row>
    <row r="340">
      <c r="A340" s="125"/>
      <c r="B340" s="125"/>
      <c r="C340" s="125"/>
      <c r="D340" s="125"/>
      <c r="E340" s="125"/>
      <c r="F340" s="124"/>
    </row>
    <row r="341">
      <c r="A341" s="125"/>
      <c r="B341" s="125"/>
      <c r="C341" s="125"/>
      <c r="D341" s="125"/>
      <c r="E341" s="125"/>
      <c r="F341" s="124"/>
    </row>
    <row r="342">
      <c r="A342" s="125"/>
      <c r="B342" s="125"/>
      <c r="C342" s="125"/>
      <c r="D342" s="125"/>
      <c r="E342" s="125"/>
      <c r="F342" s="124"/>
    </row>
    <row r="343">
      <c r="A343" s="125"/>
      <c r="B343" s="125"/>
      <c r="C343" s="125"/>
      <c r="D343" s="125"/>
      <c r="E343" s="125"/>
      <c r="F343" s="124"/>
    </row>
    <row r="344">
      <c r="A344" s="125"/>
      <c r="B344" s="125"/>
      <c r="C344" s="125"/>
      <c r="D344" s="125"/>
      <c r="E344" s="125"/>
      <c r="F344" s="124"/>
    </row>
    <row r="345">
      <c r="A345" s="125"/>
      <c r="B345" s="125"/>
      <c r="C345" s="125"/>
      <c r="D345" s="125"/>
      <c r="E345" s="125"/>
      <c r="F345" s="124"/>
    </row>
    <row r="346">
      <c r="A346" s="125"/>
      <c r="B346" s="125"/>
      <c r="C346" s="125"/>
      <c r="D346" s="125"/>
      <c r="E346" s="125"/>
      <c r="F346" s="124"/>
    </row>
    <row r="347">
      <c r="A347" s="125"/>
      <c r="B347" s="125"/>
      <c r="C347" s="125"/>
      <c r="D347" s="125"/>
      <c r="E347" s="125"/>
      <c r="F347" s="124"/>
    </row>
    <row r="348">
      <c r="A348" s="125"/>
      <c r="B348" s="125"/>
      <c r="C348" s="125"/>
      <c r="D348" s="125"/>
      <c r="E348" s="125"/>
      <c r="F348" s="124"/>
    </row>
    <row r="349">
      <c r="A349" s="125"/>
      <c r="B349" s="125"/>
      <c r="C349" s="125"/>
      <c r="D349" s="125"/>
      <c r="E349" s="125"/>
      <c r="F349" s="124"/>
    </row>
    <row r="350">
      <c r="A350" s="125"/>
      <c r="B350" s="125"/>
      <c r="C350" s="125"/>
      <c r="D350" s="125"/>
      <c r="E350" s="125"/>
      <c r="F350" s="124"/>
    </row>
    <row r="351">
      <c r="A351" s="125"/>
      <c r="B351" s="125"/>
      <c r="C351" s="125"/>
      <c r="D351" s="125"/>
      <c r="E351" s="125"/>
      <c r="F351" s="124"/>
    </row>
    <row r="352">
      <c r="A352" s="125"/>
      <c r="B352" s="125"/>
      <c r="C352" s="125"/>
      <c r="D352" s="125"/>
      <c r="E352" s="125"/>
      <c r="F352" s="124"/>
    </row>
    <row r="353">
      <c r="A353" s="125"/>
      <c r="B353" s="125"/>
      <c r="C353" s="125"/>
      <c r="D353" s="125"/>
      <c r="E353" s="125"/>
      <c r="F353" s="124"/>
    </row>
    <row r="354">
      <c r="A354" s="125"/>
      <c r="B354" s="125"/>
      <c r="C354" s="125"/>
      <c r="D354" s="125"/>
      <c r="E354" s="125"/>
      <c r="F354" s="124"/>
    </row>
    <row r="355">
      <c r="A355" s="125"/>
      <c r="B355" s="125"/>
      <c r="C355" s="125"/>
      <c r="D355" s="125"/>
      <c r="E355" s="125"/>
      <c r="F355" s="124"/>
    </row>
    <row r="356">
      <c r="A356" s="125"/>
      <c r="B356" s="125"/>
      <c r="C356" s="125"/>
      <c r="D356" s="125"/>
      <c r="E356" s="125"/>
      <c r="F356" s="124"/>
    </row>
    <row r="357">
      <c r="A357" s="125"/>
      <c r="B357" s="125"/>
      <c r="C357" s="125"/>
      <c r="D357" s="125"/>
      <c r="E357" s="125"/>
      <c r="F357" s="124"/>
    </row>
    <row r="358">
      <c r="A358" s="125"/>
      <c r="B358" s="125"/>
      <c r="C358" s="125"/>
      <c r="D358" s="125"/>
      <c r="E358" s="125"/>
      <c r="F358" s="124"/>
    </row>
    <row r="359">
      <c r="A359" s="125"/>
      <c r="B359" s="125"/>
      <c r="C359" s="125"/>
      <c r="D359" s="125"/>
      <c r="E359" s="125"/>
      <c r="F359" s="124"/>
    </row>
    <row r="360">
      <c r="A360" s="125"/>
      <c r="B360" s="125"/>
      <c r="C360" s="125"/>
      <c r="D360" s="125"/>
      <c r="E360" s="125"/>
      <c r="F360" s="124"/>
    </row>
    <row r="361">
      <c r="A361" s="125"/>
      <c r="B361" s="125"/>
      <c r="C361" s="125"/>
      <c r="D361" s="125"/>
      <c r="E361" s="125"/>
      <c r="F361" s="124"/>
    </row>
    <row r="362">
      <c r="A362" s="125"/>
      <c r="B362" s="125"/>
      <c r="C362" s="125"/>
      <c r="D362" s="125"/>
      <c r="E362" s="125"/>
      <c r="F362" s="124"/>
    </row>
    <row r="363">
      <c r="A363" s="125"/>
      <c r="B363" s="125"/>
      <c r="C363" s="125"/>
      <c r="D363" s="125"/>
      <c r="E363" s="125"/>
      <c r="F363" s="124"/>
    </row>
    <row r="364">
      <c r="A364" s="125"/>
      <c r="B364" s="125"/>
      <c r="C364" s="125"/>
      <c r="D364" s="125"/>
      <c r="E364" s="125"/>
      <c r="F364" s="124"/>
    </row>
    <row r="365">
      <c r="A365" s="125"/>
      <c r="B365" s="125"/>
      <c r="C365" s="125"/>
      <c r="D365" s="125"/>
      <c r="E365" s="125"/>
      <c r="F365" s="124"/>
    </row>
    <row r="366">
      <c r="A366" s="125"/>
      <c r="B366" s="125"/>
      <c r="C366" s="125"/>
      <c r="D366" s="125"/>
      <c r="E366" s="125"/>
      <c r="F366" s="124"/>
    </row>
    <row r="367">
      <c r="A367" s="125"/>
      <c r="B367" s="125"/>
      <c r="C367" s="125"/>
      <c r="D367" s="125"/>
      <c r="E367" s="125"/>
      <c r="F367" s="124"/>
    </row>
    <row r="368">
      <c r="A368" s="125"/>
      <c r="B368" s="125"/>
      <c r="C368" s="125"/>
      <c r="D368" s="125"/>
      <c r="E368" s="125"/>
      <c r="F368" s="124"/>
    </row>
    <row r="369">
      <c r="A369" s="125"/>
      <c r="B369" s="125"/>
      <c r="C369" s="125"/>
      <c r="D369" s="125"/>
      <c r="E369" s="125"/>
      <c r="F369" s="124"/>
    </row>
    <row r="370">
      <c r="A370" s="125"/>
      <c r="B370" s="125"/>
      <c r="C370" s="125"/>
      <c r="D370" s="125"/>
      <c r="E370" s="125"/>
      <c r="F370" s="124"/>
    </row>
    <row r="371">
      <c r="A371" s="125"/>
      <c r="B371" s="125"/>
      <c r="C371" s="125"/>
      <c r="D371" s="125"/>
      <c r="E371" s="125"/>
      <c r="F371" s="124"/>
    </row>
    <row r="372">
      <c r="A372" s="125"/>
      <c r="B372" s="125"/>
      <c r="C372" s="125"/>
      <c r="D372" s="125"/>
      <c r="E372" s="125"/>
      <c r="F372" s="124"/>
    </row>
    <row r="373">
      <c r="A373" s="125"/>
      <c r="B373" s="125"/>
      <c r="C373" s="125"/>
      <c r="D373" s="125"/>
      <c r="E373" s="125"/>
      <c r="F373" s="124"/>
    </row>
    <row r="374">
      <c r="A374" s="125"/>
      <c r="B374" s="125"/>
      <c r="C374" s="125"/>
      <c r="D374" s="125"/>
      <c r="E374" s="125"/>
      <c r="F374" s="124"/>
    </row>
    <row r="375">
      <c r="A375" s="125"/>
      <c r="B375" s="125"/>
      <c r="C375" s="125"/>
      <c r="D375" s="125"/>
      <c r="E375" s="125"/>
      <c r="F375" s="124"/>
    </row>
    <row r="376">
      <c r="A376" s="125"/>
      <c r="B376" s="125"/>
      <c r="C376" s="125"/>
      <c r="D376" s="125"/>
      <c r="E376" s="125"/>
      <c r="F376" s="124"/>
    </row>
    <row r="377">
      <c r="A377" s="125"/>
      <c r="B377" s="125"/>
      <c r="C377" s="125"/>
      <c r="D377" s="125"/>
      <c r="E377" s="125"/>
      <c r="F377" s="124"/>
    </row>
    <row r="378">
      <c r="A378" s="125"/>
      <c r="B378" s="125"/>
      <c r="C378" s="125"/>
      <c r="D378" s="125"/>
      <c r="E378" s="125"/>
      <c r="F378" s="124"/>
    </row>
    <row r="379">
      <c r="A379" s="125"/>
      <c r="B379" s="125"/>
      <c r="C379" s="125"/>
      <c r="D379" s="125"/>
      <c r="E379" s="125"/>
      <c r="F379" s="124"/>
    </row>
    <row r="380">
      <c r="A380" s="125"/>
      <c r="B380" s="125"/>
      <c r="C380" s="125"/>
      <c r="D380" s="125"/>
      <c r="E380" s="125"/>
      <c r="F380" s="124"/>
    </row>
    <row r="381">
      <c r="A381" s="125"/>
      <c r="B381" s="125"/>
      <c r="C381" s="125"/>
      <c r="D381" s="125"/>
      <c r="E381" s="125"/>
      <c r="F381" s="124"/>
    </row>
    <row r="382">
      <c r="A382" s="125"/>
      <c r="B382" s="125"/>
      <c r="C382" s="125"/>
      <c r="D382" s="125"/>
      <c r="E382" s="125"/>
      <c r="F382" s="124"/>
    </row>
    <row r="383">
      <c r="A383" s="125"/>
      <c r="B383" s="125"/>
      <c r="C383" s="125"/>
      <c r="D383" s="125"/>
      <c r="E383" s="125"/>
      <c r="F383" s="124"/>
    </row>
    <row r="384">
      <c r="A384" s="125"/>
      <c r="B384" s="125"/>
      <c r="C384" s="125"/>
      <c r="D384" s="125"/>
      <c r="E384" s="125"/>
      <c r="F384" s="124"/>
    </row>
    <row r="385">
      <c r="A385" s="125"/>
      <c r="B385" s="125"/>
      <c r="C385" s="125"/>
      <c r="D385" s="125"/>
      <c r="E385" s="125"/>
      <c r="F385" s="124"/>
    </row>
    <row r="386">
      <c r="A386" s="125"/>
      <c r="B386" s="125"/>
      <c r="C386" s="125"/>
      <c r="D386" s="125"/>
      <c r="E386" s="125"/>
      <c r="F386" s="124"/>
    </row>
    <row r="387">
      <c r="A387" s="125"/>
      <c r="B387" s="125"/>
      <c r="C387" s="125"/>
      <c r="D387" s="125"/>
      <c r="E387" s="125"/>
      <c r="F387" s="124"/>
    </row>
    <row r="388">
      <c r="A388" s="125"/>
      <c r="B388" s="125"/>
      <c r="C388" s="125"/>
      <c r="D388" s="125"/>
      <c r="E388" s="125"/>
      <c r="F388" s="124"/>
    </row>
    <row r="389">
      <c r="A389" s="125"/>
      <c r="B389" s="125"/>
      <c r="C389" s="125"/>
      <c r="D389" s="125"/>
      <c r="E389" s="125"/>
      <c r="F389" s="124"/>
    </row>
    <row r="390">
      <c r="A390" s="125"/>
      <c r="B390" s="125"/>
      <c r="C390" s="125"/>
      <c r="D390" s="125"/>
      <c r="E390" s="125"/>
      <c r="F390" s="124"/>
    </row>
    <row r="391">
      <c r="A391" s="125"/>
      <c r="B391" s="125"/>
      <c r="C391" s="125"/>
      <c r="D391" s="125"/>
      <c r="E391" s="125"/>
      <c r="F391" s="124"/>
    </row>
    <row r="392">
      <c r="A392" s="125"/>
      <c r="B392" s="125"/>
      <c r="C392" s="125"/>
      <c r="D392" s="125"/>
      <c r="E392" s="125"/>
      <c r="F392" s="124"/>
    </row>
    <row r="393">
      <c r="A393" s="125"/>
      <c r="B393" s="125"/>
      <c r="C393" s="125"/>
      <c r="D393" s="125"/>
      <c r="E393" s="125"/>
      <c r="F393" s="124"/>
    </row>
    <row r="394">
      <c r="A394" s="125"/>
      <c r="B394" s="125"/>
      <c r="C394" s="125"/>
      <c r="D394" s="125"/>
      <c r="E394" s="125"/>
      <c r="F394" s="124"/>
    </row>
    <row r="395">
      <c r="A395" s="125"/>
      <c r="B395" s="125"/>
      <c r="C395" s="125"/>
      <c r="D395" s="125"/>
      <c r="E395" s="125"/>
      <c r="F395" s="124"/>
    </row>
    <row r="396">
      <c r="A396" s="125"/>
      <c r="B396" s="125"/>
      <c r="C396" s="125"/>
      <c r="D396" s="125"/>
      <c r="E396" s="125"/>
      <c r="F396" s="124"/>
    </row>
    <row r="397">
      <c r="A397" s="125"/>
      <c r="B397" s="125"/>
      <c r="C397" s="125"/>
      <c r="D397" s="125"/>
      <c r="E397" s="125"/>
      <c r="F397" s="124"/>
    </row>
    <row r="398">
      <c r="A398" s="125"/>
      <c r="B398" s="125"/>
      <c r="C398" s="125"/>
      <c r="D398" s="125"/>
      <c r="E398" s="125"/>
      <c r="F398" s="124"/>
    </row>
    <row r="399">
      <c r="A399" s="125"/>
      <c r="B399" s="125"/>
      <c r="C399" s="125"/>
      <c r="D399" s="125"/>
      <c r="E399" s="125"/>
      <c r="F399" s="124"/>
    </row>
    <row r="400">
      <c r="A400" s="125"/>
      <c r="B400" s="125"/>
      <c r="C400" s="125"/>
      <c r="D400" s="125"/>
      <c r="E400" s="125"/>
      <c r="F400" s="124"/>
    </row>
    <row r="401">
      <c r="A401" s="125"/>
      <c r="B401" s="125"/>
      <c r="C401" s="125"/>
      <c r="D401" s="125"/>
      <c r="E401" s="125"/>
      <c r="F401" s="124"/>
    </row>
    <row r="402">
      <c r="A402" s="125"/>
      <c r="B402" s="125"/>
      <c r="C402" s="125"/>
      <c r="D402" s="125"/>
      <c r="E402" s="125"/>
      <c r="F402" s="124"/>
    </row>
    <row r="403">
      <c r="A403" s="125"/>
      <c r="B403" s="125"/>
      <c r="C403" s="125"/>
      <c r="D403" s="125"/>
      <c r="E403" s="125"/>
      <c r="F403" s="124"/>
    </row>
    <row r="404">
      <c r="A404" s="125"/>
      <c r="B404" s="125"/>
      <c r="C404" s="125"/>
      <c r="D404" s="125"/>
      <c r="E404" s="125"/>
      <c r="F404" s="124"/>
    </row>
    <row r="405">
      <c r="A405" s="125"/>
      <c r="B405" s="125"/>
      <c r="C405" s="125"/>
      <c r="D405" s="125"/>
      <c r="E405" s="125"/>
      <c r="F405" s="124"/>
    </row>
    <row r="406">
      <c r="A406" s="125"/>
      <c r="B406" s="125"/>
      <c r="C406" s="125"/>
      <c r="D406" s="125"/>
      <c r="E406" s="125"/>
      <c r="F406" s="124"/>
    </row>
    <row r="407">
      <c r="A407" s="125"/>
      <c r="B407" s="125"/>
      <c r="C407" s="125"/>
      <c r="D407" s="125"/>
      <c r="E407" s="125"/>
      <c r="F407" s="124"/>
    </row>
    <row r="408">
      <c r="A408" s="125"/>
      <c r="B408" s="125"/>
      <c r="C408" s="125"/>
      <c r="D408" s="125"/>
      <c r="E408" s="125"/>
      <c r="F408" s="124"/>
    </row>
    <row r="409">
      <c r="A409" s="125"/>
      <c r="B409" s="125"/>
      <c r="C409" s="125"/>
      <c r="D409" s="125"/>
      <c r="E409" s="125"/>
      <c r="F409" s="124"/>
    </row>
    <row r="410">
      <c r="A410" s="125"/>
      <c r="B410" s="125"/>
      <c r="C410" s="125"/>
      <c r="D410" s="125"/>
      <c r="E410" s="125"/>
      <c r="F410" s="124"/>
    </row>
    <row r="411">
      <c r="A411" s="125"/>
      <c r="B411" s="125"/>
      <c r="C411" s="125"/>
      <c r="D411" s="125"/>
      <c r="E411" s="125"/>
      <c r="F411" s="124"/>
    </row>
    <row r="412">
      <c r="A412" s="125"/>
      <c r="B412" s="125"/>
      <c r="C412" s="125"/>
      <c r="D412" s="125"/>
      <c r="E412" s="125"/>
      <c r="F412" s="124"/>
    </row>
    <row r="413">
      <c r="A413" s="125"/>
      <c r="B413" s="125"/>
      <c r="C413" s="125"/>
      <c r="D413" s="125"/>
      <c r="E413" s="125"/>
      <c r="F413" s="124"/>
    </row>
    <row r="414">
      <c r="A414" s="125"/>
      <c r="B414" s="125"/>
      <c r="C414" s="125"/>
      <c r="D414" s="125"/>
      <c r="E414" s="125"/>
      <c r="F414" s="124"/>
    </row>
    <row r="415">
      <c r="A415" s="125"/>
      <c r="B415" s="125"/>
      <c r="C415" s="125"/>
      <c r="D415" s="125"/>
      <c r="E415" s="125"/>
      <c r="F415" s="124"/>
    </row>
    <row r="416">
      <c r="A416" s="125"/>
      <c r="B416" s="125"/>
      <c r="C416" s="125"/>
      <c r="D416" s="125"/>
      <c r="E416" s="125"/>
      <c r="F416" s="124"/>
    </row>
    <row r="417">
      <c r="A417" s="125"/>
      <c r="B417" s="125"/>
      <c r="C417" s="125"/>
      <c r="D417" s="125"/>
      <c r="E417" s="125"/>
      <c r="F417" s="124"/>
    </row>
    <row r="418">
      <c r="A418" s="125"/>
      <c r="B418" s="125"/>
      <c r="C418" s="125"/>
      <c r="D418" s="125"/>
      <c r="E418" s="125"/>
      <c r="F418" s="124"/>
    </row>
    <row r="419">
      <c r="A419" s="125"/>
      <c r="B419" s="125"/>
      <c r="C419" s="125"/>
      <c r="D419" s="125"/>
      <c r="E419" s="125"/>
      <c r="F419" s="124"/>
    </row>
    <row r="420">
      <c r="A420" s="125"/>
      <c r="B420" s="125"/>
      <c r="C420" s="125"/>
      <c r="D420" s="125"/>
      <c r="E420" s="125"/>
      <c r="F420" s="124"/>
    </row>
    <row r="421">
      <c r="A421" s="125"/>
      <c r="B421" s="125"/>
      <c r="C421" s="125"/>
      <c r="D421" s="125"/>
      <c r="E421" s="125"/>
      <c r="F421" s="124"/>
    </row>
    <row r="422">
      <c r="A422" s="125"/>
      <c r="B422" s="125"/>
      <c r="C422" s="125"/>
      <c r="D422" s="125"/>
      <c r="E422" s="125"/>
      <c r="F422" s="124"/>
    </row>
    <row r="423">
      <c r="A423" s="125"/>
      <c r="B423" s="125"/>
      <c r="C423" s="125"/>
      <c r="D423" s="125"/>
      <c r="E423" s="125"/>
      <c r="F423" s="124"/>
    </row>
    <row r="424">
      <c r="A424" s="125"/>
      <c r="B424" s="125"/>
      <c r="C424" s="125"/>
      <c r="D424" s="125"/>
      <c r="E424" s="125"/>
      <c r="F424" s="124"/>
    </row>
    <row r="425">
      <c r="A425" s="125"/>
      <c r="B425" s="125"/>
      <c r="C425" s="125"/>
      <c r="D425" s="125"/>
      <c r="E425" s="125"/>
      <c r="F425" s="124"/>
    </row>
    <row r="426">
      <c r="A426" s="125"/>
      <c r="B426" s="125"/>
      <c r="C426" s="125"/>
      <c r="D426" s="125"/>
      <c r="E426" s="125"/>
      <c r="F426" s="124"/>
    </row>
    <row r="427">
      <c r="A427" s="125"/>
      <c r="B427" s="125"/>
      <c r="C427" s="125"/>
      <c r="D427" s="125"/>
      <c r="E427" s="125"/>
      <c r="F427" s="124"/>
    </row>
    <row r="428">
      <c r="A428" s="125"/>
      <c r="B428" s="125"/>
      <c r="C428" s="125"/>
      <c r="D428" s="125"/>
      <c r="E428" s="125"/>
      <c r="F428" s="124"/>
    </row>
    <row r="429">
      <c r="A429" s="125"/>
      <c r="B429" s="125"/>
      <c r="C429" s="125"/>
      <c r="D429" s="125"/>
      <c r="E429" s="125"/>
      <c r="F429" s="124"/>
    </row>
    <row r="430">
      <c r="A430" s="125"/>
      <c r="B430" s="125"/>
      <c r="C430" s="125"/>
      <c r="D430" s="125"/>
      <c r="E430" s="125"/>
      <c r="F430" s="124"/>
    </row>
    <row r="431">
      <c r="A431" s="125"/>
      <c r="B431" s="125"/>
      <c r="C431" s="125"/>
      <c r="D431" s="125"/>
      <c r="E431" s="125"/>
      <c r="F431" s="124"/>
    </row>
    <row r="432">
      <c r="A432" s="125"/>
      <c r="B432" s="125"/>
      <c r="C432" s="125"/>
      <c r="D432" s="125"/>
      <c r="E432" s="125"/>
      <c r="F432" s="124"/>
    </row>
    <row r="433">
      <c r="A433" s="125"/>
      <c r="B433" s="125"/>
      <c r="C433" s="125"/>
      <c r="D433" s="125"/>
      <c r="E433" s="125"/>
      <c r="F433" s="124"/>
    </row>
    <row r="434">
      <c r="A434" s="125"/>
      <c r="B434" s="125"/>
      <c r="C434" s="125"/>
      <c r="D434" s="125"/>
      <c r="E434" s="125"/>
      <c r="F434" s="124"/>
    </row>
    <row r="435">
      <c r="A435" s="125"/>
      <c r="B435" s="125"/>
      <c r="C435" s="125"/>
      <c r="D435" s="125"/>
      <c r="E435" s="125"/>
      <c r="F435" s="124"/>
    </row>
    <row r="436">
      <c r="A436" s="125"/>
      <c r="B436" s="125"/>
      <c r="C436" s="125"/>
      <c r="D436" s="125"/>
      <c r="E436" s="125"/>
      <c r="F436" s="124"/>
    </row>
    <row r="437">
      <c r="A437" s="125"/>
      <c r="B437" s="125"/>
      <c r="C437" s="125"/>
      <c r="D437" s="125"/>
      <c r="E437" s="125"/>
      <c r="F437" s="124"/>
    </row>
    <row r="438">
      <c r="A438" s="125"/>
      <c r="B438" s="125"/>
      <c r="C438" s="125"/>
      <c r="D438" s="125"/>
      <c r="E438" s="125"/>
      <c r="F438" s="124"/>
    </row>
    <row r="439">
      <c r="A439" s="125"/>
      <c r="B439" s="125"/>
      <c r="C439" s="125"/>
      <c r="D439" s="125"/>
      <c r="E439" s="125"/>
      <c r="F439" s="124"/>
    </row>
    <row r="440">
      <c r="A440" s="125"/>
      <c r="B440" s="125"/>
      <c r="C440" s="125"/>
      <c r="D440" s="125"/>
      <c r="E440" s="125"/>
      <c r="F440" s="124"/>
    </row>
    <row r="441">
      <c r="A441" s="125"/>
      <c r="B441" s="125"/>
      <c r="C441" s="125"/>
      <c r="D441" s="125"/>
      <c r="E441" s="125"/>
      <c r="F441" s="124"/>
    </row>
    <row r="442">
      <c r="A442" s="125"/>
      <c r="B442" s="125"/>
      <c r="C442" s="125"/>
      <c r="D442" s="125"/>
      <c r="E442" s="125"/>
      <c r="F442" s="124"/>
    </row>
    <row r="443">
      <c r="A443" s="125"/>
      <c r="B443" s="125"/>
      <c r="C443" s="125"/>
      <c r="D443" s="125"/>
      <c r="E443" s="125"/>
      <c r="F443" s="124"/>
    </row>
    <row r="444">
      <c r="A444" s="125"/>
      <c r="B444" s="125"/>
      <c r="C444" s="125"/>
      <c r="D444" s="125"/>
      <c r="E444" s="125"/>
      <c r="F444" s="124"/>
    </row>
    <row r="445">
      <c r="A445" s="125"/>
      <c r="B445" s="125"/>
      <c r="C445" s="125"/>
      <c r="D445" s="125"/>
      <c r="E445" s="125"/>
      <c r="F445" s="124"/>
    </row>
    <row r="446">
      <c r="A446" s="125"/>
      <c r="B446" s="125"/>
      <c r="C446" s="125"/>
      <c r="D446" s="125"/>
      <c r="E446" s="125"/>
      <c r="F446" s="124"/>
    </row>
    <row r="447">
      <c r="A447" s="125"/>
      <c r="B447" s="125"/>
      <c r="C447" s="125"/>
      <c r="D447" s="125"/>
      <c r="E447" s="125"/>
      <c r="F447" s="124"/>
    </row>
    <row r="448">
      <c r="A448" s="125"/>
      <c r="B448" s="125"/>
      <c r="C448" s="125"/>
      <c r="D448" s="125"/>
      <c r="E448" s="125"/>
      <c r="F448" s="124"/>
    </row>
    <row r="449">
      <c r="A449" s="125"/>
      <c r="B449" s="125"/>
      <c r="C449" s="125"/>
      <c r="D449" s="125"/>
      <c r="E449" s="125"/>
      <c r="F449" s="124"/>
    </row>
    <row r="450">
      <c r="A450" s="125"/>
      <c r="B450" s="125"/>
      <c r="C450" s="125"/>
      <c r="D450" s="125"/>
      <c r="E450" s="125"/>
      <c r="F450" s="124"/>
    </row>
    <row r="451">
      <c r="A451" s="125"/>
      <c r="B451" s="125"/>
      <c r="C451" s="125"/>
      <c r="D451" s="125"/>
      <c r="E451" s="125"/>
      <c r="F451" s="124"/>
    </row>
    <row r="452">
      <c r="A452" s="125"/>
      <c r="B452" s="125"/>
      <c r="C452" s="125"/>
      <c r="D452" s="125"/>
      <c r="E452" s="125"/>
      <c r="F452" s="124"/>
    </row>
    <row r="453">
      <c r="A453" s="125"/>
      <c r="B453" s="125"/>
      <c r="C453" s="125"/>
      <c r="D453" s="125"/>
      <c r="E453" s="125"/>
      <c r="F453" s="124"/>
    </row>
    <row r="454">
      <c r="A454" s="125"/>
      <c r="B454" s="125"/>
      <c r="C454" s="125"/>
      <c r="D454" s="125"/>
      <c r="E454" s="125"/>
      <c r="F454" s="124"/>
    </row>
    <row r="455">
      <c r="A455" s="125"/>
      <c r="B455" s="125"/>
      <c r="C455" s="125"/>
      <c r="D455" s="125"/>
      <c r="E455" s="125"/>
      <c r="F455" s="124"/>
    </row>
    <row r="456">
      <c r="A456" s="125"/>
      <c r="B456" s="125"/>
      <c r="C456" s="125"/>
      <c r="D456" s="125"/>
      <c r="E456" s="125"/>
      <c r="F456" s="124"/>
    </row>
    <row r="457">
      <c r="A457" s="125"/>
      <c r="B457" s="125"/>
      <c r="C457" s="125"/>
      <c r="D457" s="125"/>
      <c r="E457" s="125"/>
      <c r="F457" s="124"/>
    </row>
    <row r="458">
      <c r="A458" s="125"/>
      <c r="B458" s="125"/>
      <c r="C458" s="125"/>
      <c r="D458" s="125"/>
      <c r="E458" s="125"/>
      <c r="F458" s="124"/>
    </row>
    <row r="459">
      <c r="A459" s="125"/>
      <c r="B459" s="125"/>
      <c r="C459" s="125"/>
      <c r="D459" s="125"/>
      <c r="E459" s="125"/>
      <c r="F459" s="124"/>
    </row>
    <row r="460">
      <c r="A460" s="125"/>
      <c r="B460" s="125"/>
      <c r="C460" s="125"/>
      <c r="D460" s="125"/>
      <c r="E460" s="125"/>
      <c r="F460" s="124"/>
    </row>
    <row r="461">
      <c r="A461" s="125"/>
      <c r="B461" s="125"/>
      <c r="C461" s="125"/>
      <c r="D461" s="125"/>
      <c r="E461" s="125"/>
      <c r="F461" s="124"/>
    </row>
    <row r="462">
      <c r="A462" s="125"/>
      <c r="B462" s="125"/>
      <c r="C462" s="125"/>
      <c r="D462" s="125"/>
      <c r="E462" s="125"/>
      <c r="F462" s="124"/>
    </row>
    <row r="463">
      <c r="A463" s="125"/>
      <c r="B463" s="125"/>
      <c r="C463" s="125"/>
      <c r="D463" s="125"/>
      <c r="E463" s="125"/>
      <c r="F463" s="124"/>
    </row>
    <row r="464">
      <c r="A464" s="125"/>
      <c r="B464" s="125"/>
      <c r="C464" s="125"/>
      <c r="D464" s="125"/>
      <c r="E464" s="125"/>
      <c r="F464" s="124"/>
    </row>
    <row r="465">
      <c r="A465" s="125"/>
      <c r="B465" s="125"/>
      <c r="C465" s="125"/>
      <c r="D465" s="125"/>
      <c r="E465" s="125"/>
      <c r="F465" s="124"/>
    </row>
    <row r="466">
      <c r="A466" s="125"/>
      <c r="B466" s="125"/>
      <c r="C466" s="125"/>
      <c r="D466" s="125"/>
      <c r="E466" s="125"/>
      <c r="F466" s="124"/>
    </row>
    <row r="467">
      <c r="A467" s="125"/>
      <c r="B467" s="125"/>
      <c r="C467" s="125"/>
      <c r="D467" s="125"/>
      <c r="E467" s="125"/>
      <c r="F467" s="124"/>
    </row>
    <row r="468">
      <c r="A468" s="125"/>
      <c r="B468" s="125"/>
      <c r="C468" s="125"/>
      <c r="D468" s="125"/>
      <c r="E468" s="125"/>
      <c r="F468" s="124"/>
    </row>
    <row r="469">
      <c r="A469" s="125"/>
      <c r="B469" s="125"/>
      <c r="C469" s="125"/>
      <c r="D469" s="125"/>
      <c r="E469" s="125"/>
      <c r="F469" s="124"/>
    </row>
    <row r="470">
      <c r="A470" s="125"/>
      <c r="B470" s="125"/>
      <c r="C470" s="125"/>
      <c r="D470" s="125"/>
      <c r="E470" s="125"/>
      <c r="F470" s="124"/>
    </row>
    <row r="471">
      <c r="A471" s="125"/>
      <c r="B471" s="125"/>
      <c r="C471" s="125"/>
      <c r="D471" s="125"/>
      <c r="E471" s="125"/>
      <c r="F471" s="124"/>
    </row>
    <row r="472">
      <c r="A472" s="125"/>
      <c r="B472" s="125"/>
      <c r="C472" s="125"/>
      <c r="D472" s="125"/>
      <c r="E472" s="125"/>
      <c r="F472" s="124"/>
    </row>
    <row r="473">
      <c r="A473" s="125"/>
      <c r="B473" s="125"/>
      <c r="C473" s="125"/>
      <c r="D473" s="125"/>
      <c r="E473" s="125"/>
      <c r="F473" s="124"/>
    </row>
    <row r="474">
      <c r="A474" s="125"/>
      <c r="B474" s="125"/>
      <c r="C474" s="125"/>
      <c r="D474" s="125"/>
      <c r="E474" s="125"/>
      <c r="F474" s="124"/>
    </row>
    <row r="475">
      <c r="A475" s="125"/>
      <c r="B475" s="125"/>
      <c r="C475" s="125"/>
      <c r="D475" s="125"/>
      <c r="E475" s="125"/>
      <c r="F475" s="124"/>
    </row>
    <row r="476">
      <c r="A476" s="125"/>
      <c r="B476" s="125"/>
      <c r="C476" s="125"/>
      <c r="D476" s="125"/>
      <c r="E476" s="125"/>
      <c r="F476" s="124"/>
    </row>
    <row r="477">
      <c r="A477" s="125"/>
      <c r="B477" s="125"/>
      <c r="C477" s="125"/>
      <c r="D477" s="125"/>
      <c r="E477" s="125"/>
      <c r="F477" s="124"/>
    </row>
    <row r="478">
      <c r="A478" s="125"/>
      <c r="B478" s="125"/>
      <c r="C478" s="125"/>
      <c r="D478" s="125"/>
      <c r="E478" s="125"/>
      <c r="F478" s="124"/>
    </row>
    <row r="479">
      <c r="A479" s="125"/>
      <c r="B479" s="125"/>
      <c r="C479" s="125"/>
      <c r="D479" s="125"/>
      <c r="E479" s="125"/>
      <c r="F479" s="124"/>
    </row>
    <row r="480">
      <c r="A480" s="125"/>
      <c r="B480" s="125"/>
      <c r="C480" s="125"/>
      <c r="D480" s="125"/>
      <c r="E480" s="125"/>
      <c r="F480" s="124"/>
    </row>
    <row r="481">
      <c r="A481" s="125"/>
      <c r="B481" s="125"/>
      <c r="C481" s="125"/>
      <c r="D481" s="125"/>
      <c r="E481" s="125"/>
      <c r="F481" s="124"/>
    </row>
    <row r="482">
      <c r="A482" s="125"/>
      <c r="B482" s="125"/>
      <c r="C482" s="125"/>
      <c r="D482" s="125"/>
      <c r="E482" s="125"/>
      <c r="F482" s="124"/>
    </row>
    <row r="483">
      <c r="A483" s="125"/>
      <c r="B483" s="125"/>
      <c r="C483" s="125"/>
      <c r="D483" s="125"/>
      <c r="E483" s="125"/>
      <c r="F483" s="124"/>
    </row>
    <row r="484">
      <c r="A484" s="125"/>
      <c r="B484" s="125"/>
      <c r="C484" s="125"/>
      <c r="D484" s="125"/>
      <c r="E484" s="125"/>
      <c r="F484" s="124"/>
    </row>
    <row r="485">
      <c r="A485" s="125"/>
      <c r="B485" s="125"/>
      <c r="C485" s="125"/>
      <c r="D485" s="125"/>
      <c r="E485" s="125"/>
      <c r="F485" s="124"/>
    </row>
    <row r="486">
      <c r="A486" s="125"/>
      <c r="B486" s="125"/>
      <c r="C486" s="125"/>
      <c r="D486" s="125"/>
      <c r="E486" s="125"/>
      <c r="F486" s="124"/>
    </row>
    <row r="487">
      <c r="A487" s="125"/>
      <c r="B487" s="125"/>
      <c r="C487" s="125"/>
      <c r="D487" s="125"/>
      <c r="E487" s="125"/>
      <c r="F487" s="124"/>
    </row>
    <row r="488">
      <c r="A488" s="125"/>
      <c r="B488" s="125"/>
      <c r="C488" s="125"/>
      <c r="D488" s="125"/>
      <c r="E488" s="125"/>
      <c r="F488" s="124"/>
    </row>
    <row r="489">
      <c r="A489" s="125"/>
      <c r="B489" s="125"/>
      <c r="C489" s="125"/>
      <c r="D489" s="125"/>
      <c r="E489" s="125"/>
      <c r="F489" s="124"/>
    </row>
    <row r="490">
      <c r="A490" s="125"/>
      <c r="B490" s="125"/>
      <c r="C490" s="125"/>
      <c r="D490" s="125"/>
      <c r="E490" s="125"/>
      <c r="F490" s="124"/>
    </row>
    <row r="491">
      <c r="A491" s="125"/>
      <c r="B491" s="125"/>
      <c r="C491" s="125"/>
      <c r="D491" s="125"/>
      <c r="E491" s="125"/>
      <c r="F491" s="124"/>
    </row>
    <row r="492">
      <c r="A492" s="125"/>
      <c r="B492" s="125"/>
      <c r="C492" s="125"/>
      <c r="D492" s="125"/>
      <c r="E492" s="125"/>
      <c r="F492" s="124"/>
    </row>
    <row r="493">
      <c r="A493" s="125"/>
      <c r="B493" s="125"/>
      <c r="C493" s="125"/>
      <c r="D493" s="125"/>
      <c r="E493" s="125"/>
      <c r="F493" s="124"/>
    </row>
    <row r="494">
      <c r="A494" s="125"/>
      <c r="B494" s="125"/>
      <c r="C494" s="125"/>
      <c r="D494" s="125"/>
      <c r="E494" s="125"/>
      <c r="F494" s="124"/>
    </row>
    <row r="495">
      <c r="A495" s="125"/>
      <c r="B495" s="125"/>
      <c r="C495" s="125"/>
      <c r="D495" s="125"/>
      <c r="E495" s="125"/>
      <c r="F495" s="124"/>
    </row>
    <row r="496">
      <c r="A496" s="125"/>
      <c r="B496" s="125"/>
      <c r="C496" s="125"/>
      <c r="D496" s="125"/>
      <c r="E496" s="125"/>
      <c r="F496" s="124"/>
    </row>
    <row r="497">
      <c r="A497" s="125"/>
      <c r="B497" s="125"/>
      <c r="C497" s="125"/>
      <c r="D497" s="125"/>
      <c r="E497" s="125"/>
      <c r="F497" s="124"/>
    </row>
    <row r="498">
      <c r="A498" s="125"/>
      <c r="B498" s="125"/>
      <c r="C498" s="125"/>
      <c r="D498" s="125"/>
      <c r="E498" s="125"/>
      <c r="F498" s="124"/>
    </row>
    <row r="499">
      <c r="A499" s="125"/>
      <c r="B499" s="125"/>
      <c r="C499" s="125"/>
      <c r="D499" s="125"/>
      <c r="E499" s="125"/>
      <c r="F499" s="124"/>
    </row>
    <row r="500">
      <c r="A500" s="125"/>
      <c r="B500" s="125"/>
      <c r="C500" s="125"/>
      <c r="D500" s="125"/>
      <c r="E500" s="125"/>
      <c r="F500" s="124"/>
    </row>
    <row r="501">
      <c r="A501" s="125"/>
      <c r="B501" s="125"/>
      <c r="C501" s="125"/>
      <c r="D501" s="125"/>
      <c r="E501" s="125"/>
      <c r="F501" s="124"/>
    </row>
    <row r="502">
      <c r="A502" s="125"/>
      <c r="B502" s="125"/>
      <c r="C502" s="125"/>
      <c r="D502" s="125"/>
      <c r="E502" s="125"/>
      <c r="F502" s="124"/>
    </row>
    <row r="503">
      <c r="A503" s="125"/>
      <c r="B503" s="125"/>
      <c r="C503" s="125"/>
      <c r="D503" s="125"/>
      <c r="E503" s="125"/>
      <c r="F503" s="124"/>
    </row>
    <row r="504">
      <c r="A504" s="125"/>
      <c r="B504" s="125"/>
      <c r="C504" s="125"/>
      <c r="D504" s="125"/>
      <c r="E504" s="125"/>
      <c r="F504" s="124"/>
    </row>
    <row r="505">
      <c r="A505" s="125"/>
      <c r="B505" s="125"/>
      <c r="C505" s="125"/>
      <c r="D505" s="125"/>
      <c r="E505" s="125"/>
      <c r="F505" s="124"/>
    </row>
    <row r="506">
      <c r="A506" s="125"/>
      <c r="B506" s="125"/>
      <c r="C506" s="125"/>
      <c r="D506" s="125"/>
      <c r="E506" s="125"/>
      <c r="F506" s="124"/>
    </row>
    <row r="507">
      <c r="A507" s="125"/>
      <c r="B507" s="125"/>
      <c r="C507" s="125"/>
      <c r="D507" s="125"/>
      <c r="E507" s="125"/>
      <c r="F507" s="124"/>
    </row>
    <row r="508">
      <c r="A508" s="125"/>
      <c r="B508" s="125"/>
      <c r="C508" s="125"/>
      <c r="D508" s="125"/>
      <c r="E508" s="125"/>
      <c r="F508" s="124"/>
    </row>
    <row r="509">
      <c r="A509" s="125"/>
      <c r="B509" s="125"/>
      <c r="C509" s="125"/>
      <c r="D509" s="125"/>
      <c r="E509" s="125"/>
      <c r="F509" s="124"/>
    </row>
    <row r="510">
      <c r="A510" s="125"/>
      <c r="B510" s="125"/>
      <c r="C510" s="125"/>
      <c r="D510" s="125"/>
      <c r="E510" s="125"/>
      <c r="F510" s="124"/>
    </row>
    <row r="511">
      <c r="A511" s="125"/>
      <c r="B511" s="125"/>
      <c r="C511" s="125"/>
      <c r="D511" s="125"/>
      <c r="E511" s="125"/>
      <c r="F511" s="124"/>
    </row>
    <row r="512">
      <c r="A512" s="125"/>
      <c r="B512" s="125"/>
      <c r="C512" s="125"/>
      <c r="D512" s="125"/>
      <c r="E512" s="125"/>
      <c r="F512" s="124"/>
    </row>
    <row r="513">
      <c r="A513" s="125"/>
      <c r="B513" s="125"/>
      <c r="C513" s="125"/>
      <c r="D513" s="125"/>
      <c r="E513" s="125"/>
      <c r="F513" s="124"/>
    </row>
    <row r="514">
      <c r="A514" s="125"/>
      <c r="B514" s="125"/>
      <c r="C514" s="125"/>
      <c r="D514" s="125"/>
      <c r="E514" s="125"/>
      <c r="F514" s="124"/>
    </row>
    <row r="515">
      <c r="A515" s="125"/>
      <c r="B515" s="125"/>
      <c r="C515" s="125"/>
      <c r="D515" s="125"/>
      <c r="E515" s="125"/>
      <c r="F515" s="124"/>
    </row>
    <row r="516">
      <c r="A516" s="125"/>
      <c r="B516" s="125"/>
      <c r="C516" s="125"/>
      <c r="D516" s="125"/>
      <c r="E516" s="125"/>
      <c r="F516" s="124"/>
    </row>
    <row r="517">
      <c r="A517" s="125"/>
      <c r="B517" s="125"/>
      <c r="C517" s="125"/>
      <c r="D517" s="125"/>
      <c r="E517" s="125"/>
      <c r="F517" s="124"/>
    </row>
    <row r="518">
      <c r="A518" s="125"/>
      <c r="B518" s="125"/>
      <c r="C518" s="125"/>
      <c r="D518" s="125"/>
      <c r="E518" s="125"/>
      <c r="F518" s="124"/>
    </row>
    <row r="519">
      <c r="A519" s="125"/>
      <c r="B519" s="125"/>
      <c r="C519" s="125"/>
      <c r="D519" s="125"/>
      <c r="E519" s="125"/>
      <c r="F519" s="124"/>
    </row>
    <row r="520">
      <c r="A520" s="125"/>
      <c r="B520" s="125"/>
      <c r="C520" s="125"/>
      <c r="D520" s="125"/>
      <c r="E520" s="125"/>
      <c r="F520" s="124"/>
    </row>
    <row r="521">
      <c r="A521" s="125"/>
      <c r="B521" s="125"/>
      <c r="C521" s="125"/>
      <c r="D521" s="125"/>
      <c r="E521" s="125"/>
      <c r="F521" s="124"/>
    </row>
    <row r="522">
      <c r="A522" s="125"/>
      <c r="B522" s="125"/>
      <c r="C522" s="125"/>
      <c r="D522" s="125"/>
      <c r="E522" s="125"/>
      <c r="F522" s="124"/>
    </row>
    <row r="523">
      <c r="A523" s="125"/>
      <c r="B523" s="125"/>
      <c r="C523" s="125"/>
      <c r="D523" s="125"/>
      <c r="E523" s="125"/>
      <c r="F523" s="124"/>
    </row>
    <row r="524">
      <c r="A524" s="125"/>
      <c r="B524" s="125"/>
      <c r="C524" s="125"/>
      <c r="D524" s="125"/>
      <c r="E524" s="125"/>
      <c r="F524" s="124"/>
    </row>
    <row r="525">
      <c r="A525" s="125"/>
      <c r="B525" s="125"/>
      <c r="C525" s="125"/>
      <c r="D525" s="125"/>
      <c r="E525" s="125"/>
      <c r="F525" s="124"/>
    </row>
    <row r="526">
      <c r="A526" s="125"/>
      <c r="B526" s="125"/>
      <c r="C526" s="125"/>
      <c r="D526" s="125"/>
      <c r="E526" s="125"/>
      <c r="F526" s="124"/>
    </row>
    <row r="527">
      <c r="A527" s="125"/>
      <c r="B527" s="125"/>
      <c r="C527" s="125"/>
      <c r="D527" s="125"/>
      <c r="E527" s="125"/>
      <c r="F527" s="124"/>
    </row>
    <row r="528">
      <c r="A528" s="125"/>
      <c r="B528" s="125"/>
      <c r="C528" s="125"/>
      <c r="D528" s="125"/>
      <c r="E528" s="125"/>
      <c r="F528" s="124"/>
    </row>
    <row r="529">
      <c r="A529" s="125"/>
      <c r="B529" s="125"/>
      <c r="C529" s="125"/>
      <c r="D529" s="125"/>
      <c r="E529" s="125"/>
      <c r="F529" s="124"/>
    </row>
    <row r="530">
      <c r="A530" s="125"/>
      <c r="B530" s="125"/>
      <c r="C530" s="125"/>
      <c r="D530" s="125"/>
      <c r="E530" s="125"/>
      <c r="F530" s="124"/>
    </row>
    <row r="531">
      <c r="A531" s="125"/>
      <c r="B531" s="125"/>
      <c r="C531" s="125"/>
      <c r="D531" s="125"/>
      <c r="E531" s="125"/>
      <c r="F531" s="124"/>
    </row>
    <row r="532">
      <c r="A532" s="125"/>
      <c r="B532" s="125"/>
      <c r="C532" s="125"/>
      <c r="D532" s="125"/>
      <c r="E532" s="125"/>
      <c r="F532" s="124"/>
    </row>
    <row r="533">
      <c r="A533" s="125"/>
      <c r="B533" s="125"/>
      <c r="C533" s="125"/>
      <c r="D533" s="125"/>
      <c r="E533" s="125"/>
      <c r="F533" s="124"/>
    </row>
    <row r="534">
      <c r="A534" s="125"/>
      <c r="B534" s="125"/>
      <c r="C534" s="125"/>
      <c r="D534" s="125"/>
      <c r="E534" s="125"/>
      <c r="F534" s="124"/>
    </row>
    <row r="535">
      <c r="A535" s="125"/>
      <c r="B535" s="125"/>
      <c r="C535" s="125"/>
      <c r="D535" s="125"/>
      <c r="E535" s="125"/>
      <c r="F535" s="124"/>
    </row>
    <row r="536">
      <c r="A536" s="125"/>
      <c r="B536" s="125"/>
      <c r="C536" s="125"/>
      <c r="D536" s="125"/>
      <c r="E536" s="125"/>
      <c r="F536" s="124"/>
    </row>
    <row r="537">
      <c r="A537" s="125"/>
      <c r="B537" s="125"/>
      <c r="C537" s="125"/>
      <c r="D537" s="125"/>
      <c r="E537" s="125"/>
      <c r="F537" s="124"/>
    </row>
    <row r="538">
      <c r="A538" s="125"/>
      <c r="B538" s="125"/>
      <c r="C538" s="125"/>
      <c r="D538" s="125"/>
      <c r="E538" s="125"/>
      <c r="F538" s="124"/>
    </row>
    <row r="539">
      <c r="A539" s="125"/>
      <c r="B539" s="125"/>
      <c r="C539" s="125"/>
      <c r="D539" s="125"/>
      <c r="E539" s="125"/>
      <c r="F539" s="124"/>
    </row>
    <row r="540">
      <c r="A540" s="125"/>
      <c r="B540" s="125"/>
      <c r="C540" s="125"/>
      <c r="D540" s="125"/>
      <c r="E540" s="125"/>
      <c r="F540" s="124"/>
    </row>
    <row r="541">
      <c r="A541" s="125"/>
      <c r="B541" s="125"/>
      <c r="C541" s="125"/>
      <c r="D541" s="125"/>
      <c r="E541" s="125"/>
      <c r="F541" s="124"/>
    </row>
    <row r="542">
      <c r="A542" s="125"/>
      <c r="B542" s="125"/>
      <c r="C542" s="125"/>
      <c r="D542" s="125"/>
      <c r="E542" s="125"/>
      <c r="F542" s="124"/>
    </row>
    <row r="543">
      <c r="A543" s="125"/>
      <c r="B543" s="125"/>
      <c r="C543" s="125"/>
      <c r="D543" s="125"/>
      <c r="E543" s="125"/>
      <c r="F543" s="124"/>
    </row>
    <row r="544">
      <c r="A544" s="128"/>
      <c r="B544" s="128"/>
      <c r="C544" s="128"/>
      <c r="D544" s="128"/>
      <c r="E544" s="128"/>
    </row>
    <row r="545">
      <c r="A545" s="128"/>
      <c r="B545" s="128"/>
      <c r="C545" s="128"/>
      <c r="D545" s="128"/>
      <c r="E545" s="128"/>
    </row>
    <row r="546">
      <c r="A546" s="128"/>
      <c r="B546" s="128"/>
      <c r="C546" s="128"/>
      <c r="D546" s="128"/>
      <c r="E546" s="128"/>
    </row>
    <row r="547">
      <c r="A547" s="128"/>
      <c r="B547" s="128"/>
      <c r="C547" s="128"/>
      <c r="D547" s="128"/>
      <c r="E547" s="128"/>
    </row>
    <row r="548">
      <c r="A548" s="128"/>
      <c r="B548" s="128"/>
      <c r="C548" s="128"/>
      <c r="D548" s="128"/>
      <c r="E548" s="128"/>
    </row>
    <row r="549">
      <c r="A549" s="128"/>
      <c r="B549" s="128"/>
      <c r="C549" s="128"/>
      <c r="D549" s="128"/>
      <c r="E549" s="128"/>
    </row>
    <row r="550">
      <c r="A550" s="128"/>
      <c r="B550" s="128"/>
      <c r="C550" s="128"/>
      <c r="D550" s="128"/>
      <c r="E550" s="128"/>
    </row>
    <row r="551">
      <c r="A551" s="128"/>
      <c r="B551" s="128"/>
      <c r="C551" s="128"/>
      <c r="D551" s="128"/>
      <c r="E551" s="128"/>
    </row>
    <row r="552">
      <c r="A552" s="128"/>
      <c r="B552" s="128"/>
      <c r="C552" s="128"/>
      <c r="D552" s="128"/>
      <c r="E552" s="128"/>
    </row>
    <row r="553">
      <c r="A553" s="128"/>
      <c r="B553" s="128"/>
      <c r="C553" s="128"/>
      <c r="D553" s="128"/>
      <c r="E553" s="128"/>
    </row>
    <row r="554">
      <c r="A554" s="128"/>
      <c r="B554" s="128"/>
      <c r="C554" s="128"/>
      <c r="D554" s="128"/>
      <c r="E554" s="128"/>
    </row>
    <row r="555">
      <c r="A555" s="128"/>
      <c r="B555" s="128"/>
      <c r="C555" s="128"/>
      <c r="D555" s="128"/>
      <c r="E555" s="128"/>
    </row>
    <row r="556">
      <c r="A556" s="128"/>
      <c r="B556" s="128"/>
      <c r="C556" s="128"/>
      <c r="D556" s="128"/>
      <c r="E556" s="128"/>
    </row>
    <row r="557">
      <c r="A557" s="128"/>
      <c r="B557" s="128"/>
      <c r="C557" s="128"/>
      <c r="D557" s="128"/>
      <c r="E557" s="128"/>
    </row>
    <row r="558">
      <c r="A558" s="128"/>
      <c r="B558" s="128"/>
      <c r="C558" s="128"/>
      <c r="D558" s="128"/>
      <c r="E558" s="128"/>
    </row>
    <row r="559">
      <c r="A559" s="128"/>
      <c r="B559" s="128"/>
      <c r="C559" s="128"/>
      <c r="D559" s="128"/>
      <c r="E559" s="128"/>
    </row>
    <row r="560">
      <c r="A560" s="128"/>
      <c r="B560" s="128"/>
      <c r="C560" s="128"/>
      <c r="D560" s="128"/>
      <c r="E560" s="128"/>
    </row>
    <row r="561">
      <c r="A561" s="128"/>
      <c r="B561" s="128"/>
      <c r="C561" s="128"/>
      <c r="D561" s="128"/>
      <c r="E561" s="128"/>
    </row>
    <row r="562">
      <c r="A562" s="128"/>
      <c r="B562" s="128"/>
      <c r="C562" s="128"/>
      <c r="D562" s="128"/>
      <c r="E562" s="128"/>
    </row>
    <row r="563">
      <c r="A563" s="128"/>
      <c r="B563" s="128"/>
      <c r="C563" s="128"/>
      <c r="D563" s="128"/>
      <c r="E563" s="128"/>
    </row>
    <row r="564">
      <c r="A564" s="128"/>
      <c r="B564" s="128"/>
      <c r="C564" s="128"/>
      <c r="D564" s="128"/>
      <c r="E564" s="128"/>
    </row>
    <row r="565">
      <c r="A565" s="128"/>
      <c r="B565" s="128"/>
      <c r="C565" s="128"/>
      <c r="D565" s="128"/>
      <c r="E565" s="128"/>
    </row>
    <row r="566">
      <c r="A566" s="128"/>
      <c r="B566" s="128"/>
      <c r="C566" s="128"/>
      <c r="D566" s="128"/>
      <c r="E566" s="128"/>
    </row>
    <row r="567">
      <c r="A567" s="128"/>
      <c r="B567" s="128"/>
      <c r="C567" s="128"/>
      <c r="D567" s="128"/>
      <c r="E567" s="128"/>
    </row>
    <row r="568">
      <c r="A568" s="128"/>
      <c r="B568" s="128"/>
      <c r="C568" s="128"/>
      <c r="D568" s="128"/>
      <c r="E568" s="128"/>
    </row>
    <row r="569">
      <c r="A569" s="128"/>
      <c r="B569" s="128"/>
      <c r="C569" s="128"/>
      <c r="D569" s="128"/>
      <c r="E569" s="128"/>
    </row>
    <row r="570">
      <c r="A570" s="128"/>
      <c r="B570" s="128"/>
      <c r="C570" s="128"/>
      <c r="D570" s="128"/>
      <c r="E570" s="128"/>
    </row>
    <row r="571">
      <c r="A571" s="128"/>
      <c r="B571" s="128"/>
      <c r="C571" s="128"/>
      <c r="D571" s="128"/>
      <c r="E571" s="128"/>
    </row>
    <row r="572">
      <c r="A572" s="128"/>
      <c r="B572" s="128"/>
      <c r="C572" s="128"/>
      <c r="D572" s="128"/>
      <c r="E572" s="128"/>
    </row>
    <row r="573">
      <c r="A573" s="128"/>
      <c r="B573" s="128"/>
      <c r="C573" s="128"/>
      <c r="D573" s="128"/>
      <c r="E573" s="128"/>
    </row>
    <row r="574">
      <c r="A574" s="128"/>
      <c r="B574" s="128"/>
      <c r="C574" s="128"/>
      <c r="D574" s="128"/>
      <c r="E574" s="128"/>
    </row>
    <row r="575">
      <c r="A575" s="128"/>
      <c r="B575" s="128"/>
      <c r="C575" s="128"/>
      <c r="D575" s="128"/>
      <c r="E575" s="128"/>
    </row>
    <row r="576">
      <c r="A576" s="128"/>
      <c r="B576" s="128"/>
      <c r="C576" s="128"/>
      <c r="D576" s="128"/>
      <c r="E576" s="128"/>
    </row>
    <row r="577">
      <c r="A577" s="128"/>
      <c r="B577" s="128"/>
      <c r="C577" s="128"/>
      <c r="D577" s="128"/>
      <c r="E577" s="128"/>
    </row>
    <row r="578">
      <c r="A578" s="128"/>
      <c r="B578" s="128"/>
      <c r="C578" s="128"/>
      <c r="D578" s="128"/>
      <c r="E578" s="128"/>
    </row>
    <row r="579">
      <c r="A579" s="128"/>
      <c r="B579" s="128"/>
      <c r="C579" s="128"/>
      <c r="D579" s="128"/>
      <c r="E579" s="128"/>
    </row>
    <row r="580">
      <c r="A580" s="128"/>
      <c r="B580" s="128"/>
      <c r="C580" s="128"/>
      <c r="D580" s="128"/>
      <c r="E580" s="128"/>
    </row>
    <row r="581">
      <c r="A581" s="128"/>
      <c r="B581" s="128"/>
      <c r="C581" s="128"/>
      <c r="D581" s="128"/>
      <c r="E581" s="128"/>
    </row>
    <row r="582">
      <c r="A582" s="128"/>
      <c r="B582" s="128"/>
      <c r="C582" s="128"/>
      <c r="D582" s="128"/>
      <c r="E582" s="128"/>
    </row>
    <row r="583">
      <c r="A583" s="128"/>
      <c r="B583" s="128"/>
      <c r="C583" s="128"/>
      <c r="D583" s="128"/>
      <c r="E583" s="128"/>
    </row>
    <row r="584">
      <c r="A584" s="128"/>
      <c r="B584" s="128"/>
      <c r="C584" s="128"/>
      <c r="D584" s="128"/>
      <c r="E584" s="128"/>
    </row>
    <row r="585">
      <c r="A585" s="128"/>
      <c r="B585" s="128"/>
      <c r="C585" s="128"/>
      <c r="D585" s="128"/>
      <c r="E585" s="128"/>
    </row>
    <row r="586">
      <c r="A586" s="128"/>
      <c r="B586" s="128"/>
      <c r="C586" s="128"/>
      <c r="D586" s="128"/>
      <c r="E586" s="128"/>
    </row>
    <row r="587">
      <c r="A587" s="128"/>
      <c r="B587" s="128"/>
      <c r="C587" s="128"/>
      <c r="D587" s="128"/>
      <c r="E587" s="128"/>
    </row>
    <row r="588">
      <c r="A588" s="128"/>
      <c r="B588" s="128"/>
      <c r="C588" s="128"/>
      <c r="D588" s="128"/>
      <c r="E588" s="128"/>
    </row>
    <row r="589">
      <c r="A589" s="128"/>
      <c r="B589" s="128"/>
      <c r="C589" s="128"/>
      <c r="D589" s="128"/>
      <c r="E589" s="128"/>
    </row>
    <row r="590">
      <c r="A590" s="128"/>
      <c r="B590" s="128"/>
      <c r="C590" s="128"/>
      <c r="D590" s="128"/>
      <c r="E590" s="128"/>
    </row>
    <row r="591">
      <c r="A591" s="128"/>
      <c r="B591" s="128"/>
      <c r="C591" s="128"/>
      <c r="D591" s="128"/>
      <c r="E591" s="128"/>
    </row>
    <row r="592">
      <c r="A592" s="128"/>
      <c r="B592" s="128"/>
      <c r="C592" s="128"/>
      <c r="D592" s="128"/>
      <c r="E592" s="128"/>
    </row>
    <row r="593">
      <c r="A593" s="128"/>
      <c r="B593" s="128"/>
      <c r="C593" s="128"/>
      <c r="D593" s="128"/>
      <c r="E593" s="128"/>
    </row>
    <row r="594">
      <c r="A594" s="128"/>
      <c r="B594" s="128"/>
      <c r="C594" s="128"/>
      <c r="D594" s="128"/>
      <c r="E594" s="128"/>
    </row>
    <row r="595">
      <c r="A595" s="128"/>
      <c r="B595" s="128"/>
      <c r="C595" s="128"/>
      <c r="D595" s="128"/>
      <c r="E595" s="128"/>
    </row>
    <row r="596">
      <c r="A596" s="128"/>
      <c r="B596" s="128"/>
      <c r="C596" s="128"/>
      <c r="D596" s="128"/>
      <c r="E596" s="128"/>
    </row>
    <row r="597">
      <c r="A597" s="128"/>
      <c r="B597" s="128"/>
      <c r="C597" s="128"/>
      <c r="D597" s="128"/>
      <c r="E597" s="128"/>
    </row>
    <row r="598">
      <c r="A598" s="128"/>
      <c r="B598" s="128"/>
      <c r="C598" s="128"/>
      <c r="D598" s="128"/>
      <c r="E598" s="128"/>
    </row>
    <row r="599">
      <c r="A599" s="128"/>
      <c r="B599" s="128"/>
      <c r="C599" s="128"/>
      <c r="D599" s="128"/>
      <c r="E599" s="128"/>
    </row>
    <row r="600">
      <c r="A600" s="128"/>
      <c r="B600" s="128"/>
      <c r="C600" s="128"/>
      <c r="D600" s="128"/>
      <c r="E600" s="128"/>
    </row>
    <row r="601">
      <c r="A601" s="128"/>
      <c r="B601" s="128"/>
      <c r="C601" s="128"/>
      <c r="D601" s="128"/>
      <c r="E601" s="128"/>
    </row>
    <row r="602">
      <c r="A602" s="128"/>
      <c r="B602" s="128"/>
      <c r="C602" s="128"/>
      <c r="D602" s="128"/>
      <c r="E602" s="128"/>
    </row>
    <row r="603">
      <c r="A603" s="128"/>
      <c r="B603" s="128"/>
      <c r="C603" s="128"/>
      <c r="D603" s="128"/>
      <c r="E603" s="128"/>
    </row>
    <row r="604">
      <c r="A604" s="128"/>
      <c r="B604" s="128"/>
      <c r="C604" s="128"/>
      <c r="D604" s="128"/>
      <c r="E604" s="128"/>
    </row>
    <row r="605">
      <c r="A605" s="128"/>
      <c r="B605" s="128"/>
      <c r="C605" s="128"/>
      <c r="D605" s="128"/>
      <c r="E605" s="128"/>
    </row>
    <row r="606">
      <c r="A606" s="128"/>
      <c r="B606" s="128"/>
      <c r="C606" s="128"/>
      <c r="D606" s="128"/>
      <c r="E606" s="128"/>
    </row>
    <row r="607">
      <c r="A607" s="128"/>
      <c r="B607" s="128"/>
      <c r="C607" s="128"/>
      <c r="D607" s="128"/>
      <c r="E607" s="128"/>
    </row>
    <row r="608">
      <c r="A608" s="128"/>
      <c r="B608" s="128"/>
      <c r="C608" s="128"/>
      <c r="D608" s="128"/>
      <c r="E608" s="128"/>
    </row>
    <row r="609">
      <c r="A609" s="128"/>
      <c r="B609" s="128"/>
      <c r="C609" s="128"/>
      <c r="D609" s="128"/>
      <c r="E609" s="128"/>
    </row>
    <row r="610">
      <c r="A610" s="128"/>
      <c r="B610" s="128"/>
      <c r="C610" s="128"/>
      <c r="D610" s="128"/>
      <c r="E610" s="128"/>
    </row>
    <row r="611">
      <c r="A611" s="128"/>
      <c r="B611" s="128"/>
      <c r="C611" s="128"/>
      <c r="D611" s="128"/>
      <c r="E611" s="128"/>
    </row>
    <row r="612">
      <c r="A612" s="128"/>
      <c r="B612" s="128"/>
      <c r="C612" s="128"/>
      <c r="D612" s="128"/>
      <c r="E612" s="128"/>
    </row>
    <row r="613">
      <c r="A613" s="128"/>
      <c r="B613" s="128"/>
      <c r="C613" s="128"/>
      <c r="D613" s="128"/>
      <c r="E613" s="128"/>
    </row>
    <row r="614">
      <c r="A614" s="128"/>
      <c r="B614" s="128"/>
      <c r="C614" s="128"/>
      <c r="D614" s="128"/>
      <c r="E614" s="128"/>
    </row>
    <row r="615">
      <c r="A615" s="128"/>
      <c r="B615" s="128"/>
      <c r="C615" s="128"/>
      <c r="D615" s="128"/>
      <c r="E615" s="128"/>
    </row>
    <row r="616">
      <c r="A616" s="128"/>
      <c r="B616" s="128"/>
      <c r="C616" s="128"/>
      <c r="D616" s="128"/>
      <c r="E616" s="128"/>
    </row>
    <row r="617">
      <c r="A617" s="128"/>
      <c r="B617" s="128"/>
      <c r="C617" s="128"/>
      <c r="D617" s="128"/>
      <c r="E617" s="128"/>
    </row>
    <row r="618">
      <c r="A618" s="128"/>
      <c r="B618" s="128"/>
      <c r="C618" s="128"/>
      <c r="D618" s="128"/>
      <c r="E618" s="128"/>
    </row>
    <row r="619">
      <c r="A619" s="128"/>
      <c r="B619" s="128"/>
      <c r="C619" s="128"/>
      <c r="D619" s="128"/>
      <c r="E619" s="128"/>
    </row>
    <row r="620">
      <c r="A620" s="128"/>
      <c r="B620" s="128"/>
      <c r="C620" s="128"/>
      <c r="D620" s="128"/>
      <c r="E620" s="128"/>
    </row>
    <row r="621">
      <c r="A621" s="128"/>
      <c r="B621" s="128"/>
      <c r="C621" s="128"/>
      <c r="D621" s="128"/>
      <c r="E621" s="128"/>
    </row>
    <row r="622">
      <c r="A622" s="128"/>
      <c r="B622" s="128"/>
      <c r="C622" s="128"/>
      <c r="D622" s="128"/>
      <c r="E622" s="128"/>
    </row>
    <row r="623">
      <c r="A623" s="128"/>
      <c r="B623" s="128"/>
      <c r="C623" s="128"/>
      <c r="D623" s="128"/>
      <c r="E623" s="128"/>
    </row>
    <row r="624">
      <c r="A624" s="128"/>
      <c r="B624" s="128"/>
      <c r="C624" s="128"/>
      <c r="D624" s="128"/>
      <c r="E624" s="128"/>
    </row>
    <row r="625">
      <c r="A625" s="128"/>
      <c r="B625" s="128"/>
      <c r="C625" s="128"/>
      <c r="D625" s="128"/>
      <c r="E625" s="128"/>
    </row>
    <row r="626">
      <c r="A626" s="128"/>
      <c r="B626" s="128"/>
      <c r="C626" s="128"/>
      <c r="D626" s="128"/>
      <c r="E626" s="128"/>
    </row>
    <row r="627">
      <c r="A627" s="128"/>
      <c r="B627" s="128"/>
      <c r="C627" s="128"/>
      <c r="D627" s="128"/>
      <c r="E627" s="128"/>
    </row>
    <row r="628">
      <c r="A628" s="128"/>
      <c r="B628" s="128"/>
      <c r="C628" s="128"/>
      <c r="D628" s="128"/>
      <c r="E628" s="128"/>
    </row>
    <row r="629">
      <c r="A629" s="128"/>
      <c r="B629" s="128"/>
      <c r="C629" s="128"/>
      <c r="D629" s="128"/>
      <c r="E629" s="128"/>
    </row>
    <row r="630">
      <c r="A630" s="128"/>
      <c r="B630" s="128"/>
      <c r="C630" s="128"/>
      <c r="D630" s="128"/>
      <c r="E630" s="128"/>
    </row>
    <row r="631">
      <c r="A631" s="128"/>
      <c r="B631" s="128"/>
      <c r="C631" s="128"/>
      <c r="D631" s="128"/>
      <c r="E631" s="128"/>
    </row>
    <row r="632">
      <c r="A632" s="128"/>
      <c r="B632" s="128"/>
      <c r="C632" s="128"/>
      <c r="D632" s="128"/>
      <c r="E632" s="128"/>
    </row>
    <row r="633">
      <c r="A633" s="128"/>
      <c r="B633" s="128"/>
      <c r="C633" s="128"/>
      <c r="D633" s="128"/>
      <c r="E633" s="128"/>
    </row>
    <row r="634">
      <c r="A634" s="128"/>
      <c r="B634" s="128"/>
      <c r="C634" s="128"/>
      <c r="D634" s="128"/>
      <c r="E634" s="128"/>
    </row>
    <row r="635">
      <c r="A635" s="128"/>
      <c r="B635" s="128"/>
      <c r="C635" s="128"/>
      <c r="D635" s="128"/>
      <c r="E635" s="128"/>
    </row>
    <row r="636">
      <c r="A636" s="128"/>
      <c r="B636" s="128"/>
      <c r="C636" s="128"/>
      <c r="D636" s="128"/>
      <c r="E636" s="128"/>
    </row>
    <row r="637">
      <c r="A637" s="128"/>
      <c r="B637" s="128"/>
      <c r="C637" s="128"/>
      <c r="D637" s="128"/>
      <c r="E637" s="128"/>
    </row>
    <row r="638">
      <c r="A638" s="128"/>
      <c r="B638" s="128"/>
      <c r="C638" s="128"/>
      <c r="D638" s="128"/>
      <c r="E638" s="128"/>
    </row>
    <row r="639">
      <c r="A639" s="128"/>
      <c r="B639" s="128"/>
      <c r="C639" s="128"/>
      <c r="D639" s="128"/>
      <c r="E639" s="128"/>
    </row>
    <row r="640">
      <c r="A640" s="128"/>
      <c r="B640" s="128"/>
      <c r="C640" s="128"/>
      <c r="D640" s="128"/>
      <c r="E640" s="128"/>
    </row>
    <row r="641">
      <c r="A641" s="128"/>
      <c r="B641" s="128"/>
      <c r="C641" s="128"/>
      <c r="D641" s="128"/>
      <c r="E641" s="128"/>
    </row>
    <row r="642">
      <c r="A642" s="128"/>
      <c r="B642" s="128"/>
      <c r="C642" s="128"/>
      <c r="D642" s="128"/>
      <c r="E642" s="128"/>
    </row>
    <row r="643">
      <c r="A643" s="128"/>
      <c r="B643" s="128"/>
      <c r="C643" s="128"/>
      <c r="D643" s="128"/>
      <c r="E643" s="128"/>
    </row>
    <row r="644">
      <c r="A644" s="128"/>
      <c r="B644" s="128"/>
      <c r="C644" s="128"/>
      <c r="D644" s="128"/>
      <c r="E644" s="128"/>
    </row>
    <row r="645">
      <c r="A645" s="128"/>
      <c r="B645" s="128"/>
      <c r="C645" s="128"/>
      <c r="D645" s="128"/>
      <c r="E645" s="128"/>
    </row>
    <row r="646">
      <c r="A646" s="128"/>
      <c r="B646" s="128"/>
      <c r="C646" s="128"/>
      <c r="D646" s="128"/>
      <c r="E646" s="128"/>
    </row>
    <row r="647">
      <c r="A647" s="128"/>
      <c r="B647" s="128"/>
      <c r="C647" s="128"/>
      <c r="D647" s="128"/>
      <c r="E647" s="128"/>
    </row>
    <row r="648">
      <c r="A648" s="128"/>
      <c r="B648" s="128"/>
      <c r="C648" s="128"/>
      <c r="D648" s="128"/>
      <c r="E648" s="128"/>
    </row>
    <row r="649">
      <c r="A649" s="128"/>
      <c r="B649" s="128"/>
      <c r="C649" s="128"/>
      <c r="D649" s="128"/>
      <c r="E649" s="128"/>
    </row>
    <row r="650">
      <c r="A650" s="128"/>
      <c r="B650" s="128"/>
      <c r="C650" s="128"/>
      <c r="D650" s="128"/>
      <c r="E650" s="128"/>
    </row>
    <row r="651">
      <c r="A651" s="128"/>
      <c r="B651" s="128"/>
      <c r="C651" s="128"/>
      <c r="D651" s="128"/>
      <c r="E651" s="128"/>
    </row>
    <row r="652">
      <c r="A652" s="128"/>
      <c r="B652" s="128"/>
      <c r="C652" s="128"/>
      <c r="D652" s="128"/>
      <c r="E652" s="128"/>
    </row>
    <row r="653">
      <c r="A653" s="128"/>
      <c r="B653" s="128"/>
      <c r="C653" s="128"/>
      <c r="D653" s="128"/>
      <c r="E653" s="128"/>
    </row>
    <row r="654">
      <c r="A654" s="128"/>
      <c r="B654" s="128"/>
      <c r="C654" s="128"/>
      <c r="D654" s="128"/>
      <c r="E654" s="128"/>
    </row>
    <row r="655">
      <c r="A655" s="128"/>
      <c r="B655" s="128"/>
      <c r="C655" s="128"/>
      <c r="D655" s="128"/>
      <c r="E655" s="128"/>
    </row>
    <row r="656">
      <c r="A656" s="128"/>
      <c r="B656" s="128"/>
      <c r="C656" s="128"/>
      <c r="D656" s="128"/>
      <c r="E656" s="128"/>
    </row>
    <row r="657">
      <c r="A657" s="128"/>
      <c r="B657" s="128"/>
      <c r="C657" s="128"/>
      <c r="D657" s="128"/>
      <c r="E657" s="128"/>
    </row>
    <row r="658">
      <c r="A658" s="128"/>
      <c r="B658" s="128"/>
      <c r="C658" s="128"/>
      <c r="D658" s="128"/>
      <c r="E658" s="128"/>
    </row>
    <row r="659">
      <c r="A659" s="128"/>
      <c r="B659" s="128"/>
      <c r="C659" s="128"/>
      <c r="D659" s="128"/>
      <c r="E659" s="128"/>
    </row>
    <row r="660">
      <c r="A660" s="128"/>
      <c r="B660" s="128"/>
      <c r="C660" s="128"/>
      <c r="D660" s="128"/>
      <c r="E660" s="128"/>
    </row>
    <row r="661">
      <c r="A661" s="128"/>
      <c r="B661" s="128"/>
      <c r="C661" s="128"/>
      <c r="D661" s="128"/>
      <c r="E661" s="128"/>
    </row>
    <row r="662">
      <c r="A662" s="128"/>
      <c r="B662" s="128"/>
      <c r="C662" s="128"/>
      <c r="D662" s="128"/>
      <c r="E662" s="128"/>
    </row>
    <row r="663">
      <c r="A663" s="128"/>
      <c r="B663" s="128"/>
      <c r="C663" s="128"/>
      <c r="D663" s="128"/>
      <c r="E663" s="128"/>
    </row>
    <row r="664">
      <c r="A664" s="128"/>
      <c r="B664" s="128"/>
      <c r="C664" s="128"/>
      <c r="D664" s="128"/>
      <c r="E664" s="128"/>
    </row>
    <row r="665">
      <c r="A665" s="128"/>
      <c r="B665" s="128"/>
      <c r="C665" s="128"/>
      <c r="D665" s="128"/>
      <c r="E665" s="128"/>
    </row>
    <row r="666">
      <c r="A666" s="128"/>
      <c r="B666" s="128"/>
      <c r="C666" s="128"/>
      <c r="D666" s="128"/>
      <c r="E666" s="128"/>
    </row>
    <row r="667">
      <c r="A667" s="128"/>
      <c r="B667" s="128"/>
      <c r="C667" s="128"/>
      <c r="D667" s="128"/>
      <c r="E667" s="128"/>
    </row>
    <row r="668">
      <c r="A668" s="128"/>
      <c r="B668" s="128"/>
      <c r="C668" s="128"/>
      <c r="D668" s="128"/>
      <c r="E668" s="128"/>
    </row>
    <row r="669">
      <c r="A669" s="128"/>
      <c r="B669" s="128"/>
      <c r="C669" s="128"/>
      <c r="D669" s="128"/>
      <c r="E669" s="128"/>
    </row>
    <row r="670">
      <c r="A670" s="128"/>
      <c r="B670" s="128"/>
      <c r="C670" s="128"/>
      <c r="D670" s="128"/>
      <c r="E670" s="128"/>
    </row>
    <row r="671">
      <c r="A671" s="128"/>
      <c r="B671" s="128"/>
      <c r="C671" s="128"/>
      <c r="D671" s="128"/>
      <c r="E671" s="128"/>
    </row>
    <row r="672">
      <c r="A672" s="128"/>
      <c r="B672" s="128"/>
      <c r="C672" s="128"/>
      <c r="D672" s="128"/>
      <c r="E672" s="128"/>
    </row>
    <row r="673">
      <c r="A673" s="128"/>
      <c r="B673" s="128"/>
      <c r="C673" s="128"/>
      <c r="D673" s="128"/>
      <c r="E673" s="128"/>
    </row>
    <row r="674">
      <c r="A674" s="128"/>
      <c r="B674" s="128"/>
      <c r="C674" s="128"/>
      <c r="D674" s="128"/>
      <c r="E674" s="128"/>
    </row>
    <row r="675">
      <c r="A675" s="128"/>
      <c r="B675" s="128"/>
      <c r="C675" s="128"/>
      <c r="D675" s="128"/>
      <c r="E675" s="128"/>
    </row>
    <row r="676">
      <c r="A676" s="128"/>
      <c r="B676" s="128"/>
      <c r="C676" s="128"/>
      <c r="D676" s="128"/>
      <c r="E676" s="128"/>
    </row>
    <row r="677">
      <c r="A677" s="128"/>
      <c r="B677" s="128"/>
      <c r="C677" s="128"/>
      <c r="D677" s="128"/>
      <c r="E677" s="128"/>
    </row>
    <row r="678">
      <c r="A678" s="128"/>
      <c r="B678" s="128"/>
      <c r="C678" s="128"/>
      <c r="D678" s="128"/>
      <c r="E678" s="128"/>
    </row>
    <row r="679">
      <c r="A679" s="128"/>
      <c r="B679" s="128"/>
      <c r="C679" s="128"/>
      <c r="D679" s="128"/>
      <c r="E679" s="128"/>
    </row>
    <row r="680">
      <c r="A680" s="128"/>
      <c r="B680" s="128"/>
      <c r="C680" s="128"/>
      <c r="D680" s="128"/>
      <c r="E680" s="128"/>
    </row>
    <row r="681">
      <c r="A681" s="128"/>
      <c r="B681" s="128"/>
      <c r="C681" s="128"/>
      <c r="D681" s="128"/>
      <c r="E681" s="128"/>
    </row>
    <row r="682">
      <c r="A682" s="128"/>
      <c r="B682" s="128"/>
      <c r="C682" s="128"/>
      <c r="D682" s="128"/>
      <c r="E682" s="128"/>
    </row>
    <row r="683">
      <c r="A683" s="128"/>
      <c r="B683" s="128"/>
      <c r="C683" s="128"/>
      <c r="D683" s="128"/>
      <c r="E683" s="128"/>
    </row>
    <row r="684">
      <c r="A684" s="128"/>
      <c r="B684" s="128"/>
      <c r="C684" s="128"/>
      <c r="D684" s="128"/>
      <c r="E684" s="128"/>
    </row>
    <row r="685">
      <c r="A685" s="128"/>
      <c r="B685" s="128"/>
      <c r="C685" s="128"/>
      <c r="D685" s="128"/>
      <c r="E685" s="128"/>
    </row>
    <row r="686">
      <c r="A686" s="128"/>
      <c r="B686" s="128"/>
      <c r="C686" s="128"/>
      <c r="D686" s="128"/>
      <c r="E686" s="128"/>
    </row>
    <row r="687">
      <c r="A687" s="128"/>
      <c r="B687" s="128"/>
      <c r="C687" s="128"/>
      <c r="D687" s="128"/>
      <c r="E687" s="128"/>
    </row>
    <row r="688">
      <c r="A688" s="128"/>
      <c r="B688" s="128"/>
      <c r="C688" s="128"/>
      <c r="D688" s="128"/>
      <c r="E688" s="128"/>
    </row>
    <row r="689">
      <c r="A689" s="128"/>
      <c r="B689" s="128"/>
      <c r="C689" s="128"/>
      <c r="D689" s="128"/>
      <c r="E689" s="128"/>
    </row>
    <row r="690">
      <c r="A690" s="128"/>
      <c r="B690" s="128"/>
      <c r="C690" s="128"/>
      <c r="D690" s="128"/>
      <c r="E690" s="128"/>
    </row>
    <row r="691">
      <c r="A691" s="128"/>
      <c r="B691" s="128"/>
      <c r="C691" s="128"/>
      <c r="D691" s="128"/>
      <c r="E691" s="128"/>
    </row>
    <row r="692">
      <c r="A692" s="128"/>
      <c r="B692" s="128"/>
      <c r="C692" s="128"/>
      <c r="D692" s="128"/>
      <c r="E692" s="128"/>
    </row>
    <row r="693">
      <c r="A693" s="128"/>
      <c r="B693" s="128"/>
      <c r="C693" s="128"/>
      <c r="D693" s="128"/>
      <c r="E693" s="128"/>
    </row>
    <row r="694">
      <c r="A694" s="128"/>
      <c r="B694" s="128"/>
      <c r="C694" s="128"/>
      <c r="D694" s="128"/>
      <c r="E694" s="128"/>
    </row>
    <row r="695">
      <c r="A695" s="128"/>
      <c r="B695" s="128"/>
      <c r="C695" s="128"/>
      <c r="D695" s="128"/>
      <c r="E695" s="128"/>
    </row>
    <row r="696">
      <c r="A696" s="128"/>
      <c r="B696" s="128"/>
      <c r="C696" s="128"/>
      <c r="D696" s="128"/>
      <c r="E696" s="128"/>
    </row>
    <row r="697">
      <c r="A697" s="128"/>
      <c r="B697" s="128"/>
      <c r="C697" s="128"/>
      <c r="D697" s="128"/>
      <c r="E697" s="128"/>
    </row>
    <row r="698">
      <c r="A698" s="128"/>
      <c r="B698" s="128"/>
      <c r="C698" s="128"/>
      <c r="D698" s="128"/>
      <c r="E698" s="128"/>
    </row>
    <row r="699">
      <c r="A699" s="128"/>
      <c r="B699" s="128"/>
      <c r="C699" s="128"/>
      <c r="D699" s="128"/>
      <c r="E699" s="128"/>
    </row>
    <row r="700">
      <c r="A700" s="128"/>
      <c r="B700" s="128"/>
      <c r="C700" s="128"/>
      <c r="D700" s="128"/>
      <c r="E700" s="128"/>
    </row>
    <row r="701">
      <c r="A701" s="128"/>
      <c r="B701" s="128"/>
      <c r="C701" s="128"/>
      <c r="D701" s="128"/>
      <c r="E701" s="128"/>
    </row>
    <row r="702">
      <c r="A702" s="128"/>
      <c r="B702" s="128"/>
      <c r="C702" s="128"/>
      <c r="D702" s="128"/>
      <c r="E702" s="128"/>
    </row>
    <row r="703">
      <c r="A703" s="128"/>
      <c r="B703" s="128"/>
      <c r="C703" s="128"/>
      <c r="D703" s="128"/>
      <c r="E703" s="128"/>
    </row>
    <row r="704">
      <c r="A704" s="128"/>
      <c r="B704" s="128"/>
      <c r="C704" s="128"/>
      <c r="D704" s="128"/>
      <c r="E704" s="128"/>
    </row>
    <row r="705">
      <c r="A705" s="128"/>
      <c r="B705" s="128"/>
      <c r="C705" s="128"/>
      <c r="D705" s="128"/>
      <c r="E705" s="128"/>
    </row>
    <row r="706">
      <c r="A706" s="128"/>
      <c r="B706" s="128"/>
      <c r="C706" s="128"/>
      <c r="D706" s="128"/>
      <c r="E706" s="128"/>
    </row>
    <row r="707">
      <c r="A707" s="128"/>
      <c r="B707" s="128"/>
      <c r="C707" s="128"/>
      <c r="D707" s="128"/>
      <c r="E707" s="128"/>
    </row>
    <row r="708">
      <c r="A708" s="128"/>
      <c r="B708" s="128"/>
      <c r="C708" s="128"/>
      <c r="D708" s="128"/>
      <c r="E708" s="128"/>
    </row>
    <row r="709">
      <c r="A709" s="128"/>
      <c r="B709" s="128"/>
      <c r="C709" s="128"/>
      <c r="D709" s="128"/>
      <c r="E709" s="128"/>
    </row>
    <row r="710">
      <c r="A710" s="128"/>
      <c r="B710" s="128"/>
      <c r="C710" s="128"/>
      <c r="D710" s="128"/>
      <c r="E710" s="128"/>
    </row>
    <row r="711">
      <c r="A711" s="128"/>
      <c r="B711" s="128"/>
      <c r="C711" s="128"/>
      <c r="D711" s="128"/>
      <c r="E711" s="128"/>
    </row>
    <row r="712">
      <c r="A712" s="128"/>
      <c r="B712" s="128"/>
      <c r="C712" s="128"/>
      <c r="D712" s="128"/>
      <c r="E712" s="128"/>
    </row>
    <row r="713">
      <c r="A713" s="128"/>
      <c r="B713" s="128"/>
      <c r="C713" s="128"/>
      <c r="D713" s="128"/>
      <c r="E713" s="128"/>
    </row>
    <row r="714">
      <c r="A714" s="128"/>
      <c r="B714" s="128"/>
      <c r="C714" s="128"/>
      <c r="D714" s="128"/>
      <c r="E714" s="128"/>
    </row>
    <row r="715">
      <c r="A715" s="128"/>
      <c r="B715" s="128"/>
      <c r="C715" s="128"/>
      <c r="D715" s="128"/>
      <c r="E715" s="128"/>
    </row>
    <row r="716">
      <c r="A716" s="128"/>
      <c r="B716" s="128"/>
      <c r="C716" s="128"/>
      <c r="D716" s="128"/>
      <c r="E716" s="128"/>
    </row>
    <row r="717">
      <c r="A717" s="128"/>
      <c r="B717" s="128"/>
      <c r="C717" s="128"/>
      <c r="D717" s="128"/>
      <c r="E717" s="128"/>
    </row>
    <row r="718">
      <c r="A718" s="128"/>
      <c r="B718" s="128"/>
      <c r="C718" s="128"/>
      <c r="D718" s="128"/>
      <c r="E718" s="128"/>
    </row>
    <row r="719">
      <c r="A719" s="128"/>
      <c r="B719" s="128"/>
      <c r="C719" s="128"/>
      <c r="D719" s="128"/>
      <c r="E719" s="128"/>
    </row>
    <row r="720">
      <c r="A720" s="128"/>
      <c r="B720" s="128"/>
      <c r="C720" s="128"/>
      <c r="D720" s="128"/>
      <c r="E720" s="128"/>
    </row>
    <row r="721">
      <c r="A721" s="128"/>
      <c r="B721" s="128"/>
      <c r="C721" s="128"/>
      <c r="D721" s="128"/>
      <c r="E721" s="128"/>
    </row>
    <row r="722">
      <c r="A722" s="128"/>
      <c r="B722" s="128"/>
      <c r="C722" s="128"/>
      <c r="D722" s="128"/>
      <c r="E722" s="128"/>
    </row>
    <row r="723">
      <c r="A723" s="128"/>
      <c r="B723" s="128"/>
      <c r="C723" s="128"/>
      <c r="D723" s="128"/>
      <c r="E723" s="128"/>
    </row>
    <row r="724">
      <c r="A724" s="128"/>
      <c r="B724" s="128"/>
      <c r="C724" s="128"/>
      <c r="D724" s="128"/>
      <c r="E724" s="128"/>
    </row>
    <row r="725">
      <c r="A725" s="128"/>
      <c r="B725" s="128"/>
      <c r="C725" s="128"/>
      <c r="D725" s="128"/>
      <c r="E725" s="128"/>
    </row>
    <row r="726">
      <c r="A726" s="128"/>
      <c r="B726" s="128"/>
      <c r="C726" s="128"/>
      <c r="D726" s="128"/>
      <c r="E726" s="128"/>
    </row>
    <row r="727">
      <c r="A727" s="128"/>
      <c r="B727" s="128"/>
      <c r="C727" s="128"/>
      <c r="D727" s="128"/>
      <c r="E727" s="128"/>
    </row>
    <row r="728">
      <c r="A728" s="128"/>
      <c r="B728" s="128"/>
      <c r="C728" s="128"/>
      <c r="D728" s="128"/>
      <c r="E728" s="128"/>
    </row>
    <row r="729">
      <c r="A729" s="128"/>
      <c r="B729" s="128"/>
      <c r="C729" s="128"/>
      <c r="D729" s="128"/>
      <c r="E729" s="128"/>
    </row>
    <row r="730">
      <c r="A730" s="128"/>
      <c r="B730" s="128"/>
      <c r="C730" s="128"/>
      <c r="D730" s="128"/>
      <c r="E730" s="128"/>
    </row>
    <row r="731">
      <c r="A731" s="128"/>
      <c r="B731" s="128"/>
      <c r="C731" s="128"/>
      <c r="D731" s="128"/>
      <c r="E731" s="128"/>
    </row>
    <row r="732">
      <c r="A732" s="128"/>
      <c r="B732" s="128"/>
      <c r="C732" s="128"/>
      <c r="D732" s="128"/>
      <c r="E732" s="128"/>
    </row>
    <row r="733">
      <c r="A733" s="128"/>
      <c r="B733" s="128"/>
      <c r="C733" s="128"/>
      <c r="D733" s="128"/>
      <c r="E733" s="128"/>
    </row>
    <row r="734">
      <c r="A734" s="128"/>
      <c r="B734" s="128"/>
      <c r="C734" s="128"/>
      <c r="D734" s="128"/>
      <c r="E734" s="128"/>
    </row>
    <row r="735">
      <c r="A735" s="128"/>
      <c r="B735" s="128"/>
      <c r="C735" s="128"/>
      <c r="D735" s="128"/>
      <c r="E735" s="128"/>
    </row>
    <row r="736">
      <c r="A736" s="128"/>
      <c r="B736" s="128"/>
      <c r="C736" s="128"/>
      <c r="D736" s="128"/>
      <c r="E736" s="128"/>
    </row>
    <row r="737">
      <c r="A737" s="128"/>
      <c r="B737" s="128"/>
      <c r="C737" s="128"/>
      <c r="D737" s="128"/>
      <c r="E737" s="128"/>
    </row>
    <row r="738">
      <c r="A738" s="128"/>
      <c r="B738" s="128"/>
      <c r="C738" s="128"/>
      <c r="D738" s="128"/>
      <c r="E738" s="128"/>
    </row>
    <row r="739">
      <c r="A739" s="128"/>
      <c r="B739" s="128"/>
      <c r="C739" s="128"/>
      <c r="D739" s="128"/>
      <c r="E739" s="128"/>
    </row>
    <row r="740">
      <c r="A740" s="128"/>
      <c r="B740" s="128"/>
      <c r="C740" s="128"/>
      <c r="D740" s="128"/>
      <c r="E740" s="128"/>
    </row>
    <row r="741">
      <c r="A741" s="128"/>
      <c r="B741" s="128"/>
      <c r="C741" s="128"/>
      <c r="D741" s="128"/>
      <c r="E741" s="128"/>
    </row>
    <row r="742">
      <c r="A742" s="128"/>
      <c r="B742" s="128"/>
      <c r="C742" s="128"/>
      <c r="D742" s="128"/>
      <c r="E742" s="128"/>
    </row>
    <row r="743">
      <c r="A743" s="128"/>
      <c r="B743" s="128"/>
      <c r="C743" s="128"/>
      <c r="D743" s="128"/>
      <c r="E743" s="128"/>
    </row>
    <row r="744">
      <c r="A744" s="128"/>
      <c r="B744" s="128"/>
      <c r="C744" s="128"/>
      <c r="D744" s="128"/>
      <c r="E744" s="128"/>
    </row>
    <row r="745">
      <c r="A745" s="128"/>
      <c r="B745" s="128"/>
      <c r="C745" s="128"/>
      <c r="D745" s="128"/>
      <c r="E745" s="128"/>
    </row>
    <row r="746">
      <c r="A746" s="128"/>
      <c r="B746" s="128"/>
      <c r="C746" s="128"/>
      <c r="D746" s="128"/>
      <c r="E746" s="128"/>
    </row>
    <row r="747">
      <c r="A747" s="128"/>
      <c r="B747" s="128"/>
      <c r="C747" s="128"/>
      <c r="D747" s="128"/>
      <c r="E747" s="128"/>
    </row>
    <row r="748">
      <c r="A748" s="128"/>
      <c r="B748" s="128"/>
      <c r="C748" s="128"/>
      <c r="D748" s="128"/>
      <c r="E748" s="128"/>
    </row>
    <row r="749">
      <c r="A749" s="128"/>
      <c r="B749" s="128"/>
      <c r="C749" s="128"/>
      <c r="D749" s="128"/>
      <c r="E749" s="128"/>
    </row>
    <row r="750">
      <c r="A750" s="128"/>
      <c r="B750" s="128"/>
      <c r="C750" s="128"/>
      <c r="D750" s="128"/>
      <c r="E750" s="128"/>
    </row>
    <row r="751">
      <c r="A751" s="128"/>
      <c r="B751" s="128"/>
      <c r="C751" s="128"/>
      <c r="D751" s="128"/>
      <c r="E751" s="128"/>
    </row>
    <row r="752">
      <c r="A752" s="128"/>
      <c r="B752" s="128"/>
      <c r="C752" s="128"/>
      <c r="D752" s="128"/>
      <c r="E752" s="128"/>
    </row>
    <row r="753">
      <c r="A753" s="128"/>
      <c r="B753" s="128"/>
      <c r="C753" s="128"/>
      <c r="D753" s="128"/>
      <c r="E753" s="128"/>
    </row>
    <row r="754">
      <c r="A754" s="128"/>
      <c r="B754" s="128"/>
      <c r="C754" s="128"/>
      <c r="D754" s="128"/>
      <c r="E754" s="128"/>
    </row>
    <row r="755">
      <c r="A755" s="128"/>
      <c r="B755" s="128"/>
      <c r="C755" s="128"/>
      <c r="D755" s="128"/>
      <c r="E755" s="128"/>
    </row>
    <row r="756">
      <c r="A756" s="128"/>
      <c r="B756" s="128"/>
      <c r="C756" s="128"/>
      <c r="D756" s="128"/>
      <c r="E756" s="128"/>
    </row>
    <row r="757">
      <c r="A757" s="128"/>
      <c r="B757" s="128"/>
      <c r="C757" s="128"/>
      <c r="D757" s="128"/>
      <c r="E757" s="128"/>
    </row>
    <row r="758">
      <c r="A758" s="128"/>
      <c r="B758" s="128"/>
      <c r="C758" s="128"/>
      <c r="D758" s="128"/>
      <c r="E758" s="128"/>
    </row>
    <row r="759">
      <c r="A759" s="128"/>
      <c r="B759" s="128"/>
      <c r="C759" s="128"/>
      <c r="D759" s="128"/>
      <c r="E759" s="128"/>
    </row>
    <row r="760">
      <c r="A760" s="128"/>
      <c r="B760" s="128"/>
      <c r="C760" s="128"/>
      <c r="D760" s="128"/>
      <c r="E760" s="128"/>
    </row>
    <row r="761">
      <c r="A761" s="128"/>
      <c r="B761" s="128"/>
      <c r="C761" s="128"/>
      <c r="D761" s="128"/>
      <c r="E761" s="128"/>
    </row>
    <row r="762">
      <c r="A762" s="128"/>
      <c r="B762" s="128"/>
      <c r="C762" s="128"/>
      <c r="D762" s="128"/>
      <c r="E762" s="128"/>
    </row>
    <row r="763">
      <c r="A763" s="128"/>
      <c r="B763" s="128"/>
      <c r="C763" s="128"/>
      <c r="D763" s="128"/>
      <c r="E763" s="128"/>
    </row>
    <row r="764">
      <c r="A764" s="128"/>
      <c r="B764" s="128"/>
      <c r="C764" s="128"/>
      <c r="D764" s="128"/>
      <c r="E764" s="128"/>
    </row>
    <row r="765">
      <c r="A765" s="128"/>
      <c r="B765" s="128"/>
      <c r="C765" s="128"/>
      <c r="D765" s="128"/>
      <c r="E765" s="128"/>
    </row>
    <row r="766">
      <c r="A766" s="128"/>
      <c r="B766" s="128"/>
      <c r="C766" s="128"/>
      <c r="D766" s="128"/>
      <c r="E766" s="128"/>
    </row>
    <row r="767">
      <c r="A767" s="128"/>
      <c r="B767" s="128"/>
      <c r="C767" s="128"/>
      <c r="D767" s="128"/>
      <c r="E767" s="128"/>
    </row>
    <row r="768">
      <c r="A768" s="128"/>
      <c r="B768" s="128"/>
      <c r="C768" s="128"/>
      <c r="D768" s="128"/>
      <c r="E768" s="128"/>
    </row>
    <row r="769">
      <c r="A769" s="128"/>
      <c r="B769" s="128"/>
      <c r="C769" s="128"/>
      <c r="D769" s="128"/>
      <c r="E769" s="128"/>
    </row>
    <row r="770">
      <c r="A770" s="128"/>
      <c r="B770" s="128"/>
      <c r="C770" s="128"/>
      <c r="D770" s="128"/>
      <c r="E770" s="128"/>
    </row>
    <row r="771">
      <c r="A771" s="128"/>
      <c r="B771" s="128"/>
      <c r="C771" s="128"/>
      <c r="D771" s="128"/>
      <c r="E771" s="128"/>
    </row>
    <row r="772">
      <c r="A772" s="128"/>
      <c r="B772" s="128"/>
      <c r="C772" s="128"/>
      <c r="D772" s="128"/>
      <c r="E772" s="128"/>
    </row>
    <row r="773">
      <c r="A773" s="128"/>
      <c r="B773" s="128"/>
      <c r="C773" s="128"/>
      <c r="D773" s="128"/>
      <c r="E773" s="128"/>
    </row>
    <row r="774">
      <c r="A774" s="128"/>
      <c r="B774" s="128"/>
      <c r="C774" s="128"/>
      <c r="D774" s="128"/>
      <c r="E774" s="128"/>
    </row>
    <row r="775">
      <c r="A775" s="128"/>
      <c r="B775" s="128"/>
      <c r="C775" s="128"/>
      <c r="D775" s="128"/>
      <c r="E775" s="128"/>
    </row>
    <row r="776">
      <c r="A776" s="128"/>
      <c r="B776" s="128"/>
      <c r="C776" s="128"/>
      <c r="D776" s="128"/>
      <c r="E776" s="128"/>
    </row>
    <row r="777">
      <c r="A777" s="128"/>
      <c r="B777" s="128"/>
      <c r="C777" s="128"/>
      <c r="D777" s="128"/>
      <c r="E777" s="128"/>
    </row>
    <row r="778">
      <c r="A778" s="128"/>
      <c r="B778" s="128"/>
      <c r="C778" s="128"/>
      <c r="D778" s="128"/>
      <c r="E778" s="128"/>
    </row>
    <row r="779">
      <c r="A779" s="128"/>
      <c r="B779" s="128"/>
      <c r="C779" s="128"/>
      <c r="D779" s="128"/>
      <c r="E779" s="128"/>
    </row>
    <row r="780">
      <c r="A780" s="128"/>
      <c r="B780" s="128"/>
      <c r="C780" s="128"/>
      <c r="D780" s="128"/>
      <c r="E780" s="128"/>
    </row>
    <row r="781">
      <c r="A781" s="128"/>
      <c r="B781" s="128"/>
      <c r="C781" s="128"/>
      <c r="D781" s="128"/>
      <c r="E781" s="128"/>
    </row>
    <row r="782">
      <c r="A782" s="128"/>
      <c r="B782" s="128"/>
      <c r="C782" s="128"/>
      <c r="D782" s="128"/>
      <c r="E782" s="128"/>
    </row>
    <row r="783">
      <c r="A783" s="128"/>
      <c r="B783" s="128"/>
      <c r="C783" s="128"/>
      <c r="D783" s="128"/>
      <c r="E783" s="128"/>
    </row>
    <row r="784">
      <c r="A784" s="128"/>
      <c r="B784" s="128"/>
      <c r="C784" s="128"/>
      <c r="D784" s="128"/>
      <c r="E784" s="128"/>
    </row>
    <row r="785">
      <c r="A785" s="128"/>
      <c r="B785" s="128"/>
      <c r="C785" s="128"/>
      <c r="D785" s="128"/>
      <c r="E785" s="128"/>
    </row>
    <row r="786">
      <c r="A786" s="128"/>
      <c r="B786" s="128"/>
      <c r="C786" s="128"/>
      <c r="D786" s="128"/>
      <c r="E786" s="128"/>
    </row>
    <row r="787">
      <c r="A787" s="128"/>
      <c r="B787" s="128"/>
      <c r="C787" s="128"/>
      <c r="D787" s="128"/>
      <c r="E787" s="128"/>
    </row>
    <row r="788">
      <c r="A788" s="128"/>
      <c r="B788" s="128"/>
      <c r="C788" s="128"/>
      <c r="D788" s="128"/>
      <c r="E788" s="128"/>
    </row>
    <row r="789">
      <c r="A789" s="128"/>
      <c r="B789" s="128"/>
      <c r="C789" s="128"/>
      <c r="D789" s="128"/>
      <c r="E789" s="128"/>
    </row>
    <row r="790">
      <c r="A790" s="128"/>
      <c r="B790" s="128"/>
      <c r="C790" s="128"/>
      <c r="D790" s="128"/>
      <c r="E790" s="128"/>
    </row>
    <row r="791">
      <c r="A791" s="128"/>
      <c r="B791" s="128"/>
      <c r="C791" s="128"/>
      <c r="D791" s="128"/>
      <c r="E791" s="128"/>
    </row>
    <row r="792">
      <c r="A792" s="128"/>
      <c r="B792" s="128"/>
      <c r="C792" s="128"/>
      <c r="D792" s="128"/>
      <c r="E792" s="128"/>
    </row>
    <row r="793">
      <c r="A793" s="128"/>
      <c r="B793" s="128"/>
      <c r="C793" s="128"/>
      <c r="D793" s="128"/>
      <c r="E793" s="128"/>
    </row>
    <row r="794">
      <c r="A794" s="128"/>
      <c r="B794" s="128"/>
      <c r="C794" s="128"/>
      <c r="D794" s="128"/>
      <c r="E794" s="128"/>
    </row>
    <row r="795">
      <c r="A795" s="128"/>
      <c r="B795" s="128"/>
      <c r="C795" s="128"/>
      <c r="D795" s="128"/>
      <c r="E795" s="128"/>
    </row>
    <row r="796">
      <c r="A796" s="128"/>
      <c r="B796" s="128"/>
      <c r="C796" s="128"/>
      <c r="D796" s="128"/>
      <c r="E796" s="128"/>
    </row>
    <row r="797">
      <c r="A797" s="128"/>
      <c r="B797" s="128"/>
      <c r="C797" s="128"/>
      <c r="D797" s="128"/>
      <c r="E797" s="128"/>
    </row>
    <row r="798">
      <c r="A798" s="128"/>
      <c r="B798" s="128"/>
      <c r="C798" s="128"/>
      <c r="D798" s="128"/>
      <c r="E798" s="128"/>
    </row>
    <row r="799">
      <c r="A799" s="128"/>
      <c r="B799" s="128"/>
      <c r="C799" s="128"/>
      <c r="D799" s="128"/>
      <c r="E799" s="128"/>
    </row>
    <row r="800">
      <c r="A800" s="128"/>
      <c r="B800" s="128"/>
      <c r="C800" s="128"/>
      <c r="D800" s="128"/>
      <c r="E800" s="128"/>
    </row>
    <row r="801">
      <c r="A801" s="128"/>
      <c r="B801" s="128"/>
      <c r="C801" s="128"/>
      <c r="D801" s="128"/>
      <c r="E801" s="128"/>
    </row>
    <row r="802">
      <c r="A802" s="128"/>
      <c r="B802" s="128"/>
      <c r="C802" s="128"/>
      <c r="D802" s="128"/>
      <c r="E802" s="128"/>
    </row>
    <row r="803">
      <c r="A803" s="128"/>
      <c r="B803" s="128"/>
      <c r="C803" s="128"/>
      <c r="D803" s="128"/>
      <c r="E803" s="128"/>
    </row>
    <row r="804">
      <c r="A804" s="128"/>
      <c r="B804" s="128"/>
      <c r="C804" s="128"/>
      <c r="D804" s="128"/>
      <c r="E804" s="128"/>
    </row>
    <row r="805">
      <c r="A805" s="128"/>
      <c r="B805" s="128"/>
      <c r="C805" s="128"/>
      <c r="D805" s="128"/>
      <c r="E805" s="128"/>
    </row>
    <row r="806">
      <c r="A806" s="128"/>
      <c r="B806" s="128"/>
      <c r="C806" s="128"/>
      <c r="D806" s="128"/>
      <c r="E806" s="128"/>
    </row>
    <row r="807">
      <c r="A807" s="128"/>
      <c r="B807" s="128"/>
      <c r="C807" s="128"/>
      <c r="D807" s="128"/>
      <c r="E807" s="128"/>
    </row>
    <row r="808">
      <c r="A808" s="128"/>
      <c r="B808" s="128"/>
      <c r="C808" s="128"/>
      <c r="D808" s="128"/>
      <c r="E808" s="128"/>
    </row>
    <row r="809">
      <c r="A809" s="128"/>
      <c r="B809" s="128"/>
      <c r="C809" s="128"/>
      <c r="D809" s="128"/>
      <c r="E809" s="128"/>
    </row>
    <row r="810">
      <c r="A810" s="128"/>
      <c r="B810" s="128"/>
      <c r="C810" s="128"/>
      <c r="D810" s="128"/>
      <c r="E810" s="128"/>
    </row>
    <row r="811">
      <c r="A811" s="128"/>
      <c r="B811" s="128"/>
      <c r="C811" s="128"/>
      <c r="D811" s="128"/>
      <c r="E811" s="128"/>
    </row>
    <row r="812">
      <c r="A812" s="128"/>
      <c r="B812" s="128"/>
      <c r="C812" s="128"/>
      <c r="D812" s="128"/>
      <c r="E812" s="128"/>
    </row>
    <row r="813">
      <c r="A813" s="128"/>
      <c r="B813" s="128"/>
      <c r="C813" s="128"/>
      <c r="D813" s="128"/>
      <c r="E813" s="128"/>
    </row>
    <row r="814">
      <c r="A814" s="128"/>
      <c r="B814" s="128"/>
      <c r="C814" s="128"/>
      <c r="D814" s="128"/>
      <c r="E814" s="128"/>
    </row>
    <row r="815">
      <c r="A815" s="128"/>
      <c r="B815" s="128"/>
      <c r="C815" s="128"/>
      <c r="D815" s="128"/>
      <c r="E815" s="128"/>
    </row>
    <row r="816">
      <c r="A816" s="128"/>
      <c r="B816" s="128"/>
      <c r="C816" s="128"/>
      <c r="D816" s="128"/>
      <c r="E816" s="128"/>
    </row>
    <row r="817">
      <c r="A817" s="128"/>
      <c r="B817" s="128"/>
      <c r="C817" s="128"/>
      <c r="D817" s="128"/>
      <c r="E817" s="128"/>
    </row>
    <row r="818">
      <c r="A818" s="128"/>
      <c r="B818" s="128"/>
      <c r="C818" s="128"/>
      <c r="D818" s="128"/>
      <c r="E818" s="128"/>
    </row>
    <row r="819">
      <c r="A819" s="128"/>
      <c r="B819" s="128"/>
      <c r="C819" s="128"/>
      <c r="D819" s="128"/>
      <c r="E819" s="128"/>
    </row>
    <row r="820">
      <c r="A820" s="128"/>
      <c r="B820" s="128"/>
      <c r="C820" s="128"/>
      <c r="D820" s="128"/>
      <c r="E820" s="128"/>
    </row>
    <row r="821">
      <c r="A821" s="128"/>
      <c r="B821" s="128"/>
      <c r="C821" s="128"/>
      <c r="D821" s="128"/>
      <c r="E821" s="128"/>
    </row>
    <row r="822">
      <c r="A822" s="128"/>
      <c r="B822" s="128"/>
      <c r="C822" s="128"/>
      <c r="D822" s="128"/>
      <c r="E822" s="128"/>
    </row>
    <row r="823">
      <c r="A823" s="128"/>
      <c r="B823" s="128"/>
      <c r="C823" s="128"/>
      <c r="D823" s="128"/>
      <c r="E823" s="128"/>
    </row>
    <row r="824">
      <c r="A824" s="128"/>
      <c r="B824" s="128"/>
      <c r="C824" s="128"/>
      <c r="D824" s="128"/>
      <c r="E824" s="128"/>
    </row>
    <row r="825">
      <c r="A825" s="128"/>
      <c r="B825" s="128"/>
      <c r="C825" s="128"/>
      <c r="D825" s="128"/>
      <c r="E825" s="128"/>
    </row>
    <row r="826">
      <c r="A826" s="128"/>
      <c r="B826" s="128"/>
      <c r="C826" s="128"/>
      <c r="D826" s="128"/>
      <c r="E826" s="128"/>
    </row>
    <row r="827">
      <c r="A827" s="128"/>
      <c r="B827" s="128"/>
      <c r="C827" s="128"/>
      <c r="D827" s="128"/>
      <c r="E827" s="128"/>
    </row>
    <row r="828">
      <c r="A828" s="128"/>
      <c r="B828" s="128"/>
      <c r="C828" s="128"/>
      <c r="D828" s="128"/>
      <c r="E828" s="128"/>
    </row>
    <row r="829">
      <c r="A829" s="128"/>
      <c r="B829" s="128"/>
      <c r="C829" s="128"/>
      <c r="D829" s="128"/>
      <c r="E829" s="128"/>
    </row>
    <row r="830">
      <c r="A830" s="128"/>
      <c r="B830" s="128"/>
      <c r="C830" s="128"/>
      <c r="D830" s="128"/>
      <c r="E830" s="128"/>
    </row>
    <row r="831">
      <c r="A831" s="128"/>
      <c r="B831" s="128"/>
      <c r="C831" s="128"/>
      <c r="D831" s="128"/>
      <c r="E831" s="128"/>
    </row>
    <row r="832">
      <c r="A832" s="128"/>
      <c r="B832" s="128"/>
      <c r="C832" s="128"/>
      <c r="D832" s="128"/>
      <c r="E832" s="128"/>
    </row>
    <row r="833">
      <c r="A833" s="128"/>
      <c r="B833" s="128"/>
      <c r="C833" s="128"/>
      <c r="D833" s="128"/>
      <c r="E833" s="128"/>
    </row>
    <row r="834">
      <c r="A834" s="128"/>
      <c r="B834" s="128"/>
      <c r="C834" s="128"/>
      <c r="D834" s="128"/>
      <c r="E834" s="128"/>
    </row>
    <row r="835">
      <c r="A835" s="128"/>
      <c r="B835" s="128"/>
      <c r="C835" s="128"/>
      <c r="D835" s="128"/>
      <c r="E835" s="128"/>
    </row>
    <row r="836">
      <c r="A836" s="128"/>
      <c r="B836" s="128"/>
      <c r="C836" s="128"/>
      <c r="D836" s="128"/>
      <c r="E836" s="128"/>
    </row>
    <row r="837">
      <c r="A837" s="128"/>
      <c r="B837" s="128"/>
      <c r="C837" s="128"/>
      <c r="D837" s="128"/>
      <c r="E837" s="128"/>
    </row>
    <row r="838">
      <c r="A838" s="128"/>
      <c r="B838" s="128"/>
      <c r="C838" s="128"/>
      <c r="D838" s="128"/>
      <c r="E838" s="128"/>
    </row>
    <row r="839">
      <c r="A839" s="128"/>
      <c r="B839" s="128"/>
      <c r="C839" s="128"/>
      <c r="D839" s="128"/>
      <c r="E839" s="128"/>
    </row>
    <row r="840">
      <c r="A840" s="128"/>
      <c r="B840" s="128"/>
      <c r="C840" s="128"/>
      <c r="D840" s="128"/>
      <c r="E840" s="128"/>
    </row>
    <row r="841">
      <c r="A841" s="128"/>
      <c r="B841" s="128"/>
      <c r="C841" s="128"/>
      <c r="D841" s="128"/>
      <c r="E841" s="128"/>
    </row>
    <row r="842">
      <c r="A842" s="128"/>
      <c r="B842" s="128"/>
      <c r="C842" s="128"/>
      <c r="D842" s="128"/>
      <c r="E842" s="128"/>
    </row>
    <row r="843">
      <c r="A843" s="128"/>
      <c r="B843" s="128"/>
      <c r="C843" s="128"/>
      <c r="D843" s="128"/>
      <c r="E843" s="128"/>
    </row>
    <row r="844">
      <c r="A844" s="128"/>
      <c r="B844" s="128"/>
      <c r="C844" s="128"/>
      <c r="D844" s="128"/>
      <c r="E844" s="128"/>
    </row>
    <row r="845">
      <c r="A845" s="128"/>
      <c r="B845" s="128"/>
      <c r="C845" s="128"/>
      <c r="D845" s="128"/>
      <c r="E845" s="128"/>
    </row>
    <row r="846">
      <c r="A846" s="128"/>
      <c r="B846" s="128"/>
      <c r="C846" s="128"/>
      <c r="D846" s="128"/>
      <c r="E846" s="128"/>
    </row>
    <row r="847">
      <c r="A847" s="128"/>
      <c r="B847" s="128"/>
      <c r="C847" s="128"/>
      <c r="D847" s="128"/>
      <c r="E847" s="128"/>
    </row>
    <row r="848">
      <c r="A848" s="128"/>
      <c r="B848" s="128"/>
      <c r="C848" s="128"/>
      <c r="D848" s="128"/>
      <c r="E848" s="128"/>
    </row>
    <row r="849">
      <c r="A849" s="128"/>
      <c r="B849" s="128"/>
      <c r="C849" s="128"/>
      <c r="D849" s="128"/>
      <c r="E849" s="128"/>
    </row>
    <row r="850">
      <c r="A850" s="128"/>
      <c r="B850" s="128"/>
      <c r="C850" s="128"/>
      <c r="D850" s="128"/>
      <c r="E850" s="128"/>
    </row>
    <row r="851">
      <c r="A851" s="128"/>
      <c r="B851" s="128"/>
      <c r="C851" s="128"/>
      <c r="D851" s="128"/>
      <c r="E851" s="128"/>
    </row>
    <row r="852">
      <c r="A852" s="128"/>
      <c r="B852" s="128"/>
      <c r="C852" s="128"/>
      <c r="D852" s="128"/>
      <c r="E852" s="128"/>
    </row>
    <row r="853">
      <c r="A853" s="128"/>
      <c r="B853" s="128"/>
      <c r="C853" s="128"/>
      <c r="D853" s="128"/>
      <c r="E853" s="128"/>
    </row>
    <row r="854">
      <c r="A854" s="128"/>
      <c r="B854" s="128"/>
      <c r="C854" s="128"/>
      <c r="D854" s="128"/>
      <c r="E854" s="128"/>
    </row>
    <row r="855">
      <c r="A855" s="128"/>
      <c r="B855" s="128"/>
      <c r="C855" s="128"/>
      <c r="D855" s="128"/>
      <c r="E855" s="128"/>
    </row>
    <row r="856">
      <c r="A856" s="128"/>
      <c r="B856" s="128"/>
      <c r="C856" s="128"/>
      <c r="D856" s="128"/>
      <c r="E856" s="128"/>
    </row>
    <row r="857">
      <c r="A857" s="128"/>
      <c r="B857" s="128"/>
      <c r="C857" s="128"/>
      <c r="D857" s="128"/>
      <c r="E857" s="128"/>
    </row>
    <row r="858">
      <c r="A858" s="128"/>
      <c r="B858" s="128"/>
      <c r="C858" s="128"/>
      <c r="D858" s="128"/>
      <c r="E858" s="128"/>
    </row>
    <row r="859">
      <c r="A859" s="128"/>
      <c r="B859" s="128"/>
      <c r="C859" s="128"/>
      <c r="D859" s="128"/>
      <c r="E859" s="128"/>
    </row>
    <row r="860">
      <c r="A860" s="128"/>
      <c r="B860" s="128"/>
      <c r="C860" s="128"/>
      <c r="D860" s="128"/>
      <c r="E860" s="128"/>
    </row>
    <row r="861">
      <c r="A861" s="128"/>
      <c r="B861" s="128"/>
      <c r="C861" s="128"/>
      <c r="D861" s="128"/>
      <c r="E861" s="128"/>
    </row>
    <row r="862">
      <c r="A862" s="128"/>
      <c r="B862" s="128"/>
      <c r="C862" s="128"/>
      <c r="D862" s="128"/>
      <c r="E862" s="128"/>
    </row>
    <row r="863">
      <c r="A863" s="128"/>
      <c r="B863" s="128"/>
      <c r="C863" s="128"/>
      <c r="D863" s="128"/>
      <c r="E863" s="128"/>
    </row>
    <row r="864">
      <c r="A864" s="128"/>
      <c r="B864" s="128"/>
      <c r="C864" s="128"/>
      <c r="D864" s="128"/>
      <c r="E864" s="128"/>
    </row>
    <row r="865">
      <c r="A865" s="128"/>
      <c r="B865" s="128"/>
      <c r="C865" s="128"/>
      <c r="D865" s="128"/>
      <c r="E865" s="128"/>
    </row>
    <row r="866">
      <c r="A866" s="128"/>
      <c r="B866" s="128"/>
      <c r="C866" s="128"/>
      <c r="D866" s="128"/>
      <c r="E866" s="128"/>
    </row>
    <row r="867">
      <c r="A867" s="128"/>
      <c r="B867" s="128"/>
      <c r="C867" s="128"/>
      <c r="D867" s="128"/>
      <c r="E867" s="128"/>
    </row>
    <row r="868">
      <c r="A868" s="128"/>
      <c r="B868" s="128"/>
      <c r="C868" s="128"/>
      <c r="D868" s="128"/>
      <c r="E868" s="128"/>
    </row>
    <row r="869">
      <c r="A869" s="128"/>
      <c r="B869" s="128"/>
      <c r="C869" s="128"/>
      <c r="D869" s="128"/>
      <c r="E869" s="128"/>
    </row>
    <row r="870">
      <c r="A870" s="128"/>
      <c r="B870" s="128"/>
      <c r="C870" s="128"/>
      <c r="D870" s="128"/>
      <c r="E870" s="128"/>
    </row>
    <row r="871">
      <c r="A871" s="128"/>
      <c r="B871" s="128"/>
      <c r="C871" s="128"/>
      <c r="D871" s="128"/>
      <c r="E871" s="128"/>
    </row>
    <row r="872">
      <c r="A872" s="128"/>
      <c r="B872" s="128"/>
      <c r="C872" s="128"/>
      <c r="D872" s="128"/>
      <c r="E872" s="128"/>
    </row>
    <row r="873">
      <c r="A873" s="128"/>
      <c r="B873" s="128"/>
      <c r="C873" s="128"/>
      <c r="D873" s="128"/>
      <c r="E873" s="128"/>
    </row>
    <row r="874">
      <c r="A874" s="128"/>
      <c r="B874" s="128"/>
      <c r="C874" s="128"/>
      <c r="D874" s="128"/>
      <c r="E874" s="128"/>
    </row>
    <row r="875">
      <c r="A875" s="128"/>
      <c r="B875" s="128"/>
      <c r="C875" s="128"/>
      <c r="D875" s="128"/>
      <c r="E875" s="128"/>
    </row>
    <row r="876">
      <c r="A876" s="128"/>
      <c r="B876" s="128"/>
      <c r="C876" s="128"/>
      <c r="D876" s="128"/>
      <c r="E876" s="128"/>
    </row>
    <row r="877">
      <c r="A877" s="128"/>
      <c r="B877" s="128"/>
      <c r="C877" s="128"/>
      <c r="D877" s="128"/>
      <c r="E877" s="128"/>
    </row>
    <row r="878">
      <c r="A878" s="128"/>
      <c r="B878" s="128"/>
      <c r="C878" s="128"/>
      <c r="D878" s="128"/>
      <c r="E878" s="128"/>
    </row>
    <row r="879">
      <c r="A879" s="128"/>
      <c r="B879" s="128"/>
      <c r="C879" s="128"/>
      <c r="D879" s="128"/>
      <c r="E879" s="128"/>
    </row>
    <row r="880">
      <c r="A880" s="128"/>
      <c r="B880" s="128"/>
      <c r="C880" s="128"/>
      <c r="D880" s="128"/>
      <c r="E880" s="128"/>
    </row>
    <row r="881">
      <c r="A881" s="128"/>
      <c r="B881" s="128"/>
      <c r="C881" s="128"/>
      <c r="D881" s="128"/>
      <c r="E881" s="128"/>
    </row>
    <row r="882">
      <c r="A882" s="128"/>
      <c r="B882" s="128"/>
      <c r="C882" s="128"/>
      <c r="D882" s="128"/>
      <c r="E882" s="128"/>
    </row>
    <row r="883">
      <c r="A883" s="128"/>
      <c r="B883" s="128"/>
      <c r="C883" s="128"/>
      <c r="D883" s="128"/>
      <c r="E883" s="128"/>
    </row>
    <row r="884">
      <c r="A884" s="128"/>
      <c r="B884" s="128"/>
      <c r="C884" s="128"/>
      <c r="D884" s="128"/>
      <c r="E884" s="128"/>
    </row>
    <row r="885">
      <c r="A885" s="128"/>
      <c r="B885" s="128"/>
      <c r="C885" s="128"/>
      <c r="D885" s="128"/>
      <c r="E885" s="128"/>
    </row>
    <row r="886">
      <c r="A886" s="128"/>
      <c r="B886" s="128"/>
      <c r="C886" s="128"/>
      <c r="D886" s="128"/>
      <c r="E886" s="128"/>
    </row>
    <row r="887">
      <c r="A887" s="128"/>
      <c r="B887" s="128"/>
      <c r="C887" s="128"/>
      <c r="D887" s="128"/>
      <c r="E887" s="128"/>
    </row>
    <row r="888">
      <c r="A888" s="128"/>
      <c r="B888" s="128"/>
      <c r="C888" s="128"/>
      <c r="D888" s="128"/>
      <c r="E888" s="128"/>
    </row>
    <row r="889">
      <c r="A889" s="128"/>
      <c r="B889" s="128"/>
      <c r="C889" s="128"/>
      <c r="D889" s="128"/>
      <c r="E889" s="128"/>
    </row>
    <row r="890">
      <c r="A890" s="128"/>
      <c r="B890" s="128"/>
      <c r="C890" s="128"/>
      <c r="D890" s="128"/>
      <c r="E890" s="128"/>
    </row>
    <row r="891">
      <c r="A891" s="128"/>
      <c r="B891" s="128"/>
      <c r="C891" s="128"/>
      <c r="D891" s="128"/>
      <c r="E891" s="128"/>
    </row>
    <row r="892">
      <c r="A892" s="128"/>
      <c r="B892" s="128"/>
      <c r="C892" s="128"/>
      <c r="D892" s="128"/>
      <c r="E892" s="128"/>
    </row>
    <row r="893">
      <c r="A893" s="128"/>
      <c r="B893" s="128"/>
      <c r="C893" s="128"/>
      <c r="D893" s="128"/>
      <c r="E893" s="128"/>
    </row>
    <row r="894">
      <c r="A894" s="128"/>
      <c r="B894" s="128"/>
      <c r="C894" s="128"/>
      <c r="D894" s="128"/>
      <c r="E894" s="128"/>
    </row>
    <row r="895">
      <c r="A895" s="128"/>
      <c r="B895" s="128"/>
      <c r="C895" s="128"/>
      <c r="D895" s="128"/>
      <c r="E895" s="128"/>
    </row>
    <row r="896">
      <c r="A896" s="128"/>
      <c r="B896" s="128"/>
      <c r="C896" s="128"/>
      <c r="D896" s="128"/>
      <c r="E896" s="128"/>
    </row>
    <row r="897">
      <c r="A897" s="128"/>
      <c r="B897" s="128"/>
      <c r="C897" s="128"/>
      <c r="D897" s="128"/>
      <c r="E897" s="128"/>
    </row>
    <row r="898">
      <c r="A898" s="128"/>
      <c r="B898" s="128"/>
      <c r="C898" s="128"/>
      <c r="D898" s="128"/>
      <c r="E898" s="128"/>
    </row>
    <row r="899">
      <c r="A899" s="128"/>
      <c r="B899" s="128"/>
      <c r="C899" s="128"/>
      <c r="D899" s="128"/>
      <c r="E899" s="128"/>
    </row>
    <row r="900">
      <c r="A900" s="128"/>
      <c r="B900" s="128"/>
      <c r="C900" s="128"/>
      <c r="D900" s="128"/>
      <c r="E900" s="128"/>
    </row>
    <row r="901">
      <c r="A901" s="128"/>
      <c r="B901" s="128"/>
      <c r="C901" s="128"/>
      <c r="D901" s="128"/>
      <c r="E901" s="128"/>
    </row>
    <row r="902">
      <c r="A902" s="128"/>
      <c r="B902" s="128"/>
      <c r="C902" s="128"/>
      <c r="D902" s="128"/>
      <c r="E902" s="128"/>
    </row>
    <row r="903">
      <c r="A903" s="128"/>
      <c r="B903" s="128"/>
      <c r="C903" s="128"/>
      <c r="D903" s="128"/>
      <c r="E903" s="128"/>
    </row>
    <row r="904">
      <c r="A904" s="128"/>
      <c r="B904" s="128"/>
      <c r="C904" s="128"/>
      <c r="D904" s="128"/>
      <c r="E904" s="128"/>
    </row>
    <row r="905">
      <c r="A905" s="128"/>
      <c r="B905" s="128"/>
      <c r="C905" s="128"/>
      <c r="D905" s="128"/>
      <c r="E905" s="128"/>
    </row>
    <row r="906">
      <c r="A906" s="128"/>
      <c r="B906" s="128"/>
      <c r="C906" s="128"/>
      <c r="D906" s="128"/>
      <c r="E906" s="128"/>
    </row>
    <row r="907">
      <c r="A907" s="128"/>
      <c r="B907" s="128"/>
      <c r="C907" s="128"/>
      <c r="D907" s="128"/>
      <c r="E907" s="128"/>
    </row>
    <row r="908">
      <c r="A908" s="128"/>
      <c r="B908" s="128"/>
      <c r="C908" s="128"/>
      <c r="D908" s="128"/>
      <c r="E908" s="128"/>
    </row>
    <row r="909">
      <c r="A909" s="128"/>
      <c r="B909" s="128"/>
      <c r="C909" s="128"/>
      <c r="D909" s="128"/>
      <c r="E909" s="128"/>
    </row>
    <row r="910">
      <c r="A910" s="128"/>
      <c r="B910" s="128"/>
      <c r="C910" s="128"/>
      <c r="D910" s="128"/>
      <c r="E910" s="128"/>
    </row>
    <row r="911">
      <c r="A911" s="128"/>
      <c r="B911" s="128"/>
      <c r="C911" s="128"/>
      <c r="D911" s="128"/>
      <c r="E911" s="128"/>
    </row>
    <row r="912">
      <c r="A912" s="128"/>
      <c r="B912" s="128"/>
      <c r="C912" s="128"/>
      <c r="D912" s="128"/>
      <c r="E912" s="128"/>
    </row>
    <row r="913">
      <c r="A913" s="128"/>
      <c r="B913" s="128"/>
      <c r="C913" s="128"/>
      <c r="D913" s="128"/>
      <c r="E913" s="128"/>
    </row>
    <row r="914">
      <c r="A914" s="128"/>
      <c r="B914" s="128"/>
      <c r="C914" s="128"/>
      <c r="D914" s="128"/>
      <c r="E914" s="128"/>
    </row>
    <row r="915">
      <c r="A915" s="128"/>
      <c r="B915" s="128"/>
      <c r="C915" s="128"/>
      <c r="D915" s="128"/>
      <c r="E915" s="128"/>
    </row>
    <row r="916">
      <c r="A916" s="128"/>
      <c r="B916" s="128"/>
      <c r="C916" s="128"/>
      <c r="D916" s="128"/>
      <c r="E916" s="128"/>
    </row>
    <row r="917">
      <c r="A917" s="128"/>
      <c r="B917" s="128"/>
      <c r="C917" s="128"/>
      <c r="D917" s="128"/>
      <c r="E917" s="128"/>
    </row>
    <row r="918">
      <c r="A918" s="128"/>
      <c r="B918" s="128"/>
      <c r="C918" s="128"/>
      <c r="D918" s="128"/>
      <c r="E918" s="128"/>
    </row>
    <row r="919">
      <c r="A919" s="128"/>
      <c r="B919" s="128"/>
      <c r="C919" s="128"/>
      <c r="D919" s="128"/>
      <c r="E919" s="128"/>
    </row>
    <row r="920">
      <c r="A920" s="128"/>
      <c r="B920" s="128"/>
      <c r="C920" s="128"/>
      <c r="D920" s="128"/>
      <c r="E920" s="128"/>
    </row>
    <row r="921">
      <c r="A921" s="128"/>
      <c r="B921" s="128"/>
      <c r="C921" s="128"/>
      <c r="D921" s="128"/>
      <c r="E921" s="128"/>
    </row>
    <row r="922">
      <c r="A922" s="128"/>
      <c r="B922" s="128"/>
      <c r="C922" s="128"/>
      <c r="D922" s="128"/>
      <c r="E922" s="128"/>
    </row>
    <row r="923">
      <c r="A923" s="128"/>
      <c r="B923" s="128"/>
      <c r="C923" s="128"/>
      <c r="D923" s="128"/>
      <c r="E923" s="128"/>
    </row>
    <row r="924">
      <c r="A924" s="128"/>
      <c r="B924" s="128"/>
      <c r="C924" s="128"/>
      <c r="D924" s="128"/>
      <c r="E924" s="128"/>
    </row>
    <row r="925">
      <c r="A925" s="128"/>
      <c r="B925" s="128"/>
      <c r="C925" s="128"/>
      <c r="D925" s="128"/>
      <c r="E925" s="128"/>
    </row>
    <row r="926">
      <c r="A926" s="128"/>
      <c r="B926" s="128"/>
      <c r="C926" s="128"/>
      <c r="D926" s="128"/>
      <c r="E926" s="128"/>
    </row>
    <row r="927">
      <c r="A927" s="128"/>
      <c r="B927" s="128"/>
      <c r="C927" s="128"/>
      <c r="D927" s="128"/>
      <c r="E927" s="128"/>
    </row>
    <row r="928">
      <c r="A928" s="128"/>
      <c r="B928" s="128"/>
      <c r="C928" s="128"/>
      <c r="D928" s="128"/>
      <c r="E928" s="128"/>
    </row>
    <row r="929">
      <c r="A929" s="128"/>
      <c r="B929" s="128"/>
      <c r="C929" s="128"/>
      <c r="D929" s="128"/>
      <c r="E929" s="128"/>
    </row>
    <row r="930">
      <c r="A930" s="128"/>
      <c r="B930" s="128"/>
      <c r="C930" s="128"/>
      <c r="D930" s="128"/>
      <c r="E930" s="128"/>
    </row>
    <row r="931">
      <c r="A931" s="128"/>
      <c r="B931" s="128"/>
      <c r="C931" s="128"/>
      <c r="D931" s="128"/>
      <c r="E931" s="128"/>
    </row>
    <row r="932">
      <c r="A932" s="128"/>
      <c r="B932" s="128"/>
      <c r="C932" s="128"/>
      <c r="D932" s="128"/>
      <c r="E932" s="128"/>
    </row>
    <row r="933">
      <c r="A933" s="128"/>
      <c r="B933" s="128"/>
      <c r="C933" s="128"/>
      <c r="D933" s="128"/>
      <c r="E933" s="128"/>
    </row>
    <row r="934">
      <c r="A934" s="128"/>
      <c r="B934" s="128"/>
      <c r="C934" s="128"/>
      <c r="D934" s="128"/>
      <c r="E934" s="128"/>
    </row>
    <row r="935">
      <c r="A935" s="128"/>
      <c r="B935" s="128"/>
      <c r="C935" s="128"/>
      <c r="D935" s="128"/>
      <c r="E935" s="128"/>
    </row>
    <row r="936">
      <c r="A936" s="128"/>
      <c r="B936" s="128"/>
      <c r="C936" s="128"/>
      <c r="D936" s="128"/>
      <c r="E936" s="128"/>
    </row>
    <row r="937">
      <c r="A937" s="128"/>
      <c r="B937" s="128"/>
      <c r="C937" s="128"/>
      <c r="D937" s="128"/>
      <c r="E937" s="128"/>
    </row>
    <row r="938">
      <c r="A938" s="128"/>
      <c r="B938" s="128"/>
      <c r="C938" s="128"/>
      <c r="D938" s="128"/>
      <c r="E938" s="128"/>
    </row>
    <row r="939">
      <c r="A939" s="128"/>
      <c r="B939" s="128"/>
      <c r="C939" s="128"/>
      <c r="D939" s="128"/>
      <c r="E939" s="128"/>
    </row>
    <row r="940">
      <c r="A940" s="128"/>
      <c r="B940" s="128"/>
      <c r="C940" s="128"/>
      <c r="D940" s="128"/>
      <c r="E940" s="128"/>
    </row>
    <row r="941">
      <c r="A941" s="128"/>
      <c r="B941" s="128"/>
      <c r="C941" s="128"/>
      <c r="D941" s="128"/>
      <c r="E941" s="128"/>
    </row>
    <row r="942">
      <c r="A942" s="128"/>
      <c r="B942" s="128"/>
      <c r="C942" s="128"/>
      <c r="D942" s="128"/>
      <c r="E942" s="128"/>
    </row>
    <row r="943">
      <c r="A943" s="128"/>
      <c r="B943" s="128"/>
      <c r="C943" s="128"/>
      <c r="D943" s="128"/>
      <c r="E943" s="128"/>
    </row>
    <row r="944">
      <c r="A944" s="128"/>
      <c r="B944" s="128"/>
      <c r="C944" s="128"/>
      <c r="D944" s="128"/>
      <c r="E944" s="128"/>
    </row>
    <row r="945">
      <c r="A945" s="128"/>
      <c r="B945" s="128"/>
      <c r="C945" s="128"/>
      <c r="D945" s="128"/>
      <c r="E945" s="128"/>
    </row>
    <row r="946">
      <c r="A946" s="128"/>
      <c r="B946" s="128"/>
      <c r="C946" s="128"/>
      <c r="D946" s="128"/>
      <c r="E946" s="128"/>
    </row>
    <row r="947">
      <c r="A947" s="128"/>
      <c r="B947" s="128"/>
      <c r="C947" s="128"/>
      <c r="D947" s="128"/>
      <c r="E947" s="128"/>
    </row>
    <row r="948">
      <c r="A948" s="128"/>
      <c r="B948" s="128"/>
      <c r="C948" s="128"/>
      <c r="D948" s="128"/>
      <c r="E948" s="128"/>
    </row>
    <row r="949">
      <c r="A949" s="128"/>
      <c r="B949" s="128"/>
      <c r="C949" s="128"/>
      <c r="D949" s="128"/>
      <c r="E949" s="128"/>
    </row>
    <row r="950">
      <c r="A950" s="128"/>
      <c r="B950" s="128"/>
      <c r="C950" s="128"/>
      <c r="D950" s="128"/>
      <c r="E950" s="128"/>
    </row>
    <row r="951">
      <c r="A951" s="128"/>
      <c r="B951" s="128"/>
      <c r="C951" s="128"/>
      <c r="D951" s="128"/>
      <c r="E951" s="128"/>
    </row>
    <row r="952">
      <c r="A952" s="128"/>
      <c r="B952" s="128"/>
      <c r="C952" s="128"/>
      <c r="D952" s="128"/>
      <c r="E952" s="128"/>
    </row>
    <row r="953">
      <c r="A953" s="128"/>
      <c r="B953" s="128"/>
      <c r="C953" s="128"/>
      <c r="D953" s="128"/>
      <c r="E953" s="128"/>
    </row>
    <row r="954">
      <c r="A954" s="128"/>
      <c r="B954" s="128"/>
      <c r="C954" s="128"/>
      <c r="D954" s="128"/>
      <c r="E954" s="128"/>
    </row>
    <row r="955">
      <c r="A955" s="128"/>
      <c r="B955" s="128"/>
      <c r="C955" s="128"/>
      <c r="D955" s="128"/>
      <c r="E955" s="128"/>
    </row>
    <row r="956">
      <c r="A956" s="128"/>
      <c r="B956" s="128"/>
      <c r="C956" s="128"/>
      <c r="D956" s="128"/>
      <c r="E956" s="128"/>
    </row>
    <row r="957">
      <c r="A957" s="128"/>
      <c r="B957" s="128"/>
      <c r="C957" s="128"/>
      <c r="D957" s="128"/>
      <c r="E957" s="128"/>
    </row>
    <row r="958">
      <c r="A958" s="128"/>
      <c r="B958" s="128"/>
      <c r="C958" s="128"/>
      <c r="D958" s="128"/>
      <c r="E958" s="128"/>
    </row>
    <row r="959">
      <c r="A959" s="128"/>
      <c r="B959" s="128"/>
      <c r="C959" s="128"/>
      <c r="D959" s="128"/>
      <c r="E959" s="128"/>
    </row>
    <row r="960">
      <c r="A960" s="128"/>
      <c r="B960" s="128"/>
      <c r="C960" s="128"/>
      <c r="D960" s="128"/>
      <c r="E960" s="128"/>
    </row>
    <row r="961">
      <c r="A961" s="128"/>
      <c r="B961" s="128"/>
      <c r="C961" s="128"/>
      <c r="D961" s="128"/>
      <c r="E961" s="128"/>
    </row>
    <row r="962">
      <c r="A962" s="128"/>
      <c r="B962" s="128"/>
      <c r="C962" s="128"/>
      <c r="D962" s="128"/>
      <c r="E962" s="128"/>
    </row>
    <row r="963">
      <c r="A963" s="128"/>
      <c r="B963" s="128"/>
      <c r="C963" s="128"/>
      <c r="D963" s="128"/>
      <c r="E963" s="128"/>
    </row>
    <row r="964">
      <c r="A964" s="128"/>
      <c r="B964" s="128"/>
      <c r="C964" s="128"/>
      <c r="D964" s="128"/>
      <c r="E964" s="128"/>
    </row>
    <row r="965">
      <c r="A965" s="128"/>
      <c r="B965" s="128"/>
      <c r="C965" s="128"/>
      <c r="D965" s="128"/>
      <c r="E965" s="128"/>
    </row>
    <row r="966">
      <c r="A966" s="128"/>
      <c r="B966" s="128"/>
      <c r="C966" s="128"/>
      <c r="D966" s="128"/>
      <c r="E966" s="128"/>
    </row>
    <row r="967">
      <c r="A967" s="128"/>
      <c r="B967" s="128"/>
      <c r="C967" s="128"/>
      <c r="D967" s="128"/>
      <c r="E967" s="128"/>
    </row>
    <row r="968">
      <c r="A968" s="128"/>
      <c r="B968" s="128"/>
      <c r="C968" s="128"/>
      <c r="D968" s="128"/>
      <c r="E968" s="128"/>
    </row>
    <row r="969">
      <c r="A969" s="128"/>
      <c r="B969" s="128"/>
      <c r="C969" s="128"/>
      <c r="D969" s="128"/>
      <c r="E969" s="128"/>
    </row>
    <row r="970">
      <c r="A970" s="128"/>
      <c r="B970" s="128"/>
      <c r="C970" s="128"/>
      <c r="D970" s="128"/>
      <c r="E970" s="128"/>
    </row>
    <row r="971">
      <c r="A971" s="128"/>
      <c r="B971" s="128"/>
      <c r="C971" s="128"/>
      <c r="D971" s="128"/>
      <c r="E971" s="128"/>
    </row>
    <row r="972">
      <c r="A972" s="128"/>
      <c r="B972" s="128"/>
      <c r="C972" s="128"/>
      <c r="D972" s="128"/>
      <c r="E972" s="128"/>
    </row>
    <row r="973">
      <c r="A973" s="128"/>
      <c r="B973" s="128"/>
      <c r="C973" s="128"/>
      <c r="D973" s="128"/>
      <c r="E973" s="128"/>
    </row>
    <row r="974">
      <c r="A974" s="128"/>
      <c r="B974" s="128"/>
      <c r="C974" s="128"/>
      <c r="D974" s="128"/>
      <c r="E974" s="128"/>
    </row>
    <row r="975">
      <c r="A975" s="128"/>
      <c r="B975" s="128"/>
      <c r="C975" s="128"/>
      <c r="D975" s="128"/>
      <c r="E975" s="128"/>
    </row>
    <row r="976">
      <c r="A976" s="128"/>
      <c r="B976" s="128"/>
      <c r="C976" s="128"/>
      <c r="D976" s="128"/>
      <c r="E976" s="128"/>
    </row>
    <row r="977">
      <c r="A977" s="128"/>
      <c r="B977" s="128"/>
      <c r="C977" s="128"/>
      <c r="D977" s="128"/>
      <c r="E977" s="128"/>
    </row>
    <row r="978">
      <c r="A978" s="128"/>
      <c r="B978" s="128"/>
      <c r="C978" s="128"/>
      <c r="D978" s="128"/>
      <c r="E978" s="128"/>
    </row>
    <row r="979">
      <c r="A979" s="128"/>
      <c r="B979" s="128"/>
      <c r="C979" s="128"/>
      <c r="D979" s="128"/>
      <c r="E979" s="128"/>
    </row>
    <row r="980">
      <c r="A980" s="128"/>
      <c r="B980" s="128"/>
      <c r="C980" s="128"/>
      <c r="D980" s="128"/>
      <c r="E980" s="128"/>
    </row>
    <row r="981">
      <c r="A981" s="128"/>
      <c r="B981" s="128"/>
      <c r="C981" s="128"/>
      <c r="D981" s="128"/>
      <c r="E981" s="128"/>
    </row>
    <row r="982">
      <c r="A982" s="128"/>
      <c r="B982" s="128"/>
      <c r="C982" s="128"/>
      <c r="D982" s="128"/>
      <c r="E982" s="128"/>
    </row>
    <row r="983">
      <c r="A983" s="128"/>
      <c r="B983" s="128"/>
      <c r="C983" s="128"/>
      <c r="D983" s="128"/>
      <c r="E983" s="128"/>
    </row>
    <row r="984">
      <c r="A984" s="128"/>
      <c r="B984" s="128"/>
      <c r="C984" s="128"/>
      <c r="D984" s="128"/>
      <c r="E984" s="128"/>
    </row>
    <row r="985">
      <c r="A985" s="128"/>
      <c r="B985" s="128"/>
      <c r="C985" s="128"/>
      <c r="D985" s="128"/>
      <c r="E985" s="128"/>
    </row>
    <row r="986">
      <c r="A986" s="128"/>
      <c r="B986" s="128"/>
      <c r="C986" s="128"/>
      <c r="D986" s="128"/>
      <c r="E986" s="128"/>
    </row>
    <row r="987">
      <c r="A987" s="128"/>
      <c r="B987" s="128"/>
      <c r="C987" s="128"/>
      <c r="D987" s="128"/>
      <c r="E987" s="128"/>
    </row>
    <row r="988">
      <c r="A988" s="128"/>
      <c r="B988" s="128"/>
      <c r="C988" s="128"/>
      <c r="D988" s="128"/>
      <c r="E988" s="128"/>
    </row>
    <row r="989">
      <c r="A989" s="128"/>
      <c r="B989" s="128"/>
      <c r="C989" s="128"/>
      <c r="D989" s="128"/>
      <c r="E989" s="128"/>
    </row>
    <row r="990">
      <c r="A990" s="128"/>
      <c r="B990" s="128"/>
      <c r="C990" s="128"/>
      <c r="D990" s="128"/>
      <c r="E990" s="128"/>
    </row>
    <row r="991">
      <c r="A991" s="128"/>
      <c r="B991" s="128"/>
      <c r="C991" s="128"/>
      <c r="D991" s="128"/>
      <c r="E991" s="128"/>
    </row>
    <row r="992">
      <c r="A992" s="128"/>
      <c r="B992" s="128"/>
      <c r="C992" s="128"/>
      <c r="D992" s="128"/>
      <c r="E992" s="128"/>
    </row>
    <row r="993">
      <c r="A993" s="128"/>
      <c r="B993" s="128"/>
      <c r="C993" s="128"/>
      <c r="D993" s="128"/>
      <c r="E993" s="128"/>
    </row>
    <row r="994">
      <c r="A994" s="128"/>
      <c r="B994" s="128"/>
      <c r="C994" s="128"/>
      <c r="D994" s="128"/>
      <c r="E994" s="128"/>
    </row>
    <row r="995">
      <c r="A995" s="128"/>
      <c r="B995" s="128"/>
      <c r="C995" s="128"/>
      <c r="D995" s="128"/>
      <c r="E995" s="128"/>
    </row>
    <row r="996">
      <c r="A996" s="128"/>
      <c r="B996" s="128"/>
      <c r="C996" s="128"/>
      <c r="D996" s="128"/>
      <c r="E996" s="128"/>
    </row>
    <row r="997">
      <c r="A997" s="128"/>
      <c r="B997" s="128"/>
      <c r="C997" s="128"/>
      <c r="D997" s="128"/>
      <c r="E997" s="128"/>
    </row>
    <row r="998">
      <c r="A998" s="128"/>
      <c r="B998" s="128"/>
      <c r="C998" s="128"/>
      <c r="D998" s="128"/>
      <c r="E998" s="128"/>
    </row>
    <row r="999">
      <c r="A999" s="128"/>
      <c r="B999" s="128"/>
      <c r="C999" s="128"/>
      <c r="D999" s="128"/>
      <c r="E999" s="128"/>
    </row>
    <row r="1000">
      <c r="A1000" s="128"/>
      <c r="B1000" s="128"/>
      <c r="C1000" s="128"/>
      <c r="D1000" s="128"/>
      <c r="E1000" s="128"/>
    </row>
    <row r="1001">
      <c r="A1001" s="128"/>
      <c r="B1001" s="128"/>
      <c r="C1001" s="128"/>
      <c r="D1001" s="128"/>
      <c r="E1001" s="128"/>
    </row>
    <row r="1002">
      <c r="A1002" s="128"/>
      <c r="B1002" s="128"/>
      <c r="C1002" s="128"/>
      <c r="D1002" s="128"/>
      <c r="E1002" s="128"/>
    </row>
    <row r="1003">
      <c r="A1003" s="128"/>
      <c r="B1003" s="128"/>
      <c r="C1003" s="128"/>
      <c r="D1003" s="128"/>
      <c r="E1003" s="128"/>
    </row>
    <row r="1004">
      <c r="A1004" s="128"/>
      <c r="B1004" s="128"/>
      <c r="C1004" s="128"/>
      <c r="D1004" s="128"/>
      <c r="E1004" s="128"/>
    </row>
    <row r="1005">
      <c r="A1005" s="128"/>
      <c r="B1005" s="128"/>
      <c r="C1005" s="128"/>
      <c r="D1005" s="128"/>
      <c r="E1005" s="128"/>
    </row>
    <row r="1006">
      <c r="A1006" s="128"/>
      <c r="B1006" s="128"/>
      <c r="C1006" s="128"/>
      <c r="D1006" s="128"/>
      <c r="E1006" s="128"/>
    </row>
    <row r="1007">
      <c r="A1007" s="128"/>
      <c r="B1007" s="128"/>
      <c r="C1007" s="128"/>
      <c r="D1007" s="128"/>
      <c r="E1007" s="128"/>
    </row>
    <row r="1008">
      <c r="A1008" s="128"/>
      <c r="B1008" s="128"/>
      <c r="C1008" s="128"/>
      <c r="D1008" s="128"/>
      <c r="E1008" s="128"/>
    </row>
    <row r="1009">
      <c r="A1009" s="128"/>
      <c r="B1009" s="128"/>
      <c r="C1009" s="128"/>
      <c r="D1009" s="128"/>
      <c r="E1009" s="128"/>
    </row>
    <row r="1010">
      <c r="A1010" s="128"/>
      <c r="B1010" s="128"/>
      <c r="C1010" s="128"/>
      <c r="D1010" s="128"/>
      <c r="E1010" s="128"/>
    </row>
    <row r="1011">
      <c r="A1011" s="128"/>
      <c r="B1011" s="128"/>
      <c r="C1011" s="128"/>
      <c r="D1011" s="128"/>
      <c r="E1011" s="128"/>
    </row>
    <row r="1012">
      <c r="A1012" s="128"/>
      <c r="B1012" s="128"/>
      <c r="C1012" s="128"/>
      <c r="D1012" s="128"/>
      <c r="E1012" s="128"/>
    </row>
    <row r="1013">
      <c r="A1013" s="128"/>
      <c r="B1013" s="128"/>
      <c r="C1013" s="128"/>
      <c r="D1013" s="128"/>
      <c r="E1013" s="128"/>
    </row>
    <row r="1014">
      <c r="A1014" s="128"/>
      <c r="B1014" s="128"/>
      <c r="C1014" s="128"/>
      <c r="D1014" s="128"/>
      <c r="E1014" s="128"/>
    </row>
    <row r="1015">
      <c r="A1015" s="128"/>
      <c r="B1015" s="128"/>
      <c r="C1015" s="128"/>
      <c r="D1015" s="128"/>
      <c r="E1015" s="128"/>
    </row>
    <row r="1016">
      <c r="A1016" s="128"/>
      <c r="B1016" s="128"/>
      <c r="C1016" s="128"/>
      <c r="D1016" s="128"/>
      <c r="E1016" s="128"/>
    </row>
    <row r="1017">
      <c r="A1017" s="128"/>
      <c r="B1017" s="128"/>
      <c r="C1017" s="128"/>
      <c r="D1017" s="128"/>
      <c r="E1017" s="128"/>
    </row>
    <row r="1018">
      <c r="A1018" s="128"/>
      <c r="B1018" s="128"/>
      <c r="C1018" s="128"/>
      <c r="D1018" s="128"/>
      <c r="E1018" s="128"/>
    </row>
    <row r="1019">
      <c r="A1019" s="128"/>
      <c r="B1019" s="128"/>
      <c r="C1019" s="128"/>
      <c r="D1019" s="128"/>
      <c r="E1019" s="128"/>
    </row>
    <row r="1020">
      <c r="A1020" s="128"/>
      <c r="B1020" s="128"/>
      <c r="C1020" s="128"/>
      <c r="D1020" s="128"/>
      <c r="E1020" s="128"/>
    </row>
    <row r="1021">
      <c r="A1021" s="128"/>
      <c r="B1021" s="128"/>
      <c r="C1021" s="128"/>
      <c r="D1021" s="128"/>
      <c r="E1021" s="128"/>
    </row>
    <row r="1022">
      <c r="A1022" s="128"/>
      <c r="B1022" s="128"/>
      <c r="C1022" s="128"/>
      <c r="D1022" s="128"/>
      <c r="E1022" s="128"/>
    </row>
    <row r="1023">
      <c r="A1023" s="128"/>
      <c r="B1023" s="128"/>
      <c r="C1023" s="128"/>
      <c r="D1023" s="128"/>
      <c r="E1023" s="128"/>
    </row>
    <row r="1024">
      <c r="A1024" s="128"/>
      <c r="B1024" s="128"/>
      <c r="C1024" s="128"/>
      <c r="D1024" s="128"/>
      <c r="E1024" s="128"/>
    </row>
    <row r="1025">
      <c r="A1025" s="128"/>
      <c r="B1025" s="128"/>
      <c r="C1025" s="128"/>
      <c r="D1025" s="128"/>
      <c r="E1025" s="128"/>
    </row>
    <row r="1026">
      <c r="A1026" s="128"/>
      <c r="B1026" s="128"/>
      <c r="C1026" s="128"/>
      <c r="D1026" s="128"/>
      <c r="E1026" s="128"/>
    </row>
    <row r="1027">
      <c r="A1027" s="128"/>
      <c r="B1027" s="128"/>
      <c r="C1027" s="128"/>
      <c r="D1027" s="128"/>
      <c r="E1027" s="128"/>
    </row>
    <row r="1028">
      <c r="A1028" s="128"/>
      <c r="B1028" s="128"/>
      <c r="C1028" s="128"/>
      <c r="D1028" s="128"/>
      <c r="E1028" s="128"/>
    </row>
    <row r="1029">
      <c r="A1029" s="128"/>
      <c r="B1029" s="128"/>
      <c r="C1029" s="128"/>
      <c r="D1029" s="128"/>
      <c r="E1029" s="128"/>
    </row>
    <row r="1030">
      <c r="A1030" s="128"/>
      <c r="B1030" s="128"/>
      <c r="C1030" s="128"/>
      <c r="D1030" s="128"/>
      <c r="E1030" s="128"/>
    </row>
    <row r="1031">
      <c r="A1031" s="128"/>
      <c r="B1031" s="128"/>
      <c r="C1031" s="128"/>
      <c r="D1031" s="128"/>
      <c r="E1031" s="128"/>
    </row>
    <row r="1032">
      <c r="A1032" s="128"/>
      <c r="B1032" s="128"/>
      <c r="C1032" s="128"/>
      <c r="D1032" s="128"/>
      <c r="E1032" s="128"/>
    </row>
    <row r="1033">
      <c r="A1033" s="128"/>
      <c r="B1033" s="128"/>
      <c r="C1033" s="128"/>
      <c r="D1033" s="128"/>
      <c r="E1033" s="128"/>
    </row>
    <row r="1034">
      <c r="A1034" s="128"/>
      <c r="B1034" s="128"/>
      <c r="C1034" s="128"/>
      <c r="D1034" s="128"/>
      <c r="E1034" s="128"/>
    </row>
    <row r="1035">
      <c r="A1035" s="128"/>
      <c r="B1035" s="128"/>
      <c r="C1035" s="128"/>
      <c r="D1035" s="128"/>
      <c r="E1035" s="128"/>
    </row>
    <row r="1036">
      <c r="A1036" s="128"/>
      <c r="B1036" s="128"/>
      <c r="C1036" s="128"/>
      <c r="D1036" s="128"/>
      <c r="E1036" s="128"/>
    </row>
    <row r="1037">
      <c r="A1037" s="128"/>
      <c r="B1037" s="128"/>
      <c r="C1037" s="128"/>
      <c r="D1037" s="128"/>
      <c r="E1037" s="128"/>
    </row>
    <row r="1038">
      <c r="A1038" s="128"/>
      <c r="B1038" s="128"/>
      <c r="C1038" s="128"/>
      <c r="D1038" s="128"/>
      <c r="E1038" s="128"/>
    </row>
    <row r="1039">
      <c r="A1039" s="128"/>
      <c r="B1039" s="128"/>
      <c r="C1039" s="128"/>
      <c r="D1039" s="128"/>
      <c r="E1039" s="128"/>
    </row>
    <row r="1040">
      <c r="A1040" s="128"/>
      <c r="B1040" s="128"/>
      <c r="C1040" s="128"/>
      <c r="D1040" s="128"/>
      <c r="E1040" s="128"/>
    </row>
    <row r="1041">
      <c r="A1041" s="128"/>
      <c r="B1041" s="128"/>
      <c r="C1041" s="128"/>
      <c r="D1041" s="128"/>
      <c r="E1041" s="128"/>
    </row>
    <row r="1042">
      <c r="A1042" s="128"/>
      <c r="B1042" s="128"/>
      <c r="C1042" s="128"/>
      <c r="D1042" s="128"/>
      <c r="E1042" s="128"/>
    </row>
    <row r="1043">
      <c r="A1043" s="128"/>
      <c r="B1043" s="128"/>
      <c r="C1043" s="128"/>
      <c r="D1043" s="128"/>
      <c r="E1043" s="128"/>
    </row>
    <row r="1044">
      <c r="A1044" s="128"/>
      <c r="B1044" s="128"/>
      <c r="C1044" s="128"/>
      <c r="D1044" s="128"/>
      <c r="E1044" s="128"/>
    </row>
    <row r="1045">
      <c r="A1045" s="128"/>
      <c r="B1045" s="128"/>
      <c r="C1045" s="128"/>
      <c r="D1045" s="128"/>
      <c r="E1045" s="128"/>
    </row>
    <row r="1046">
      <c r="A1046" s="128"/>
      <c r="B1046" s="128"/>
      <c r="C1046" s="128"/>
      <c r="D1046" s="128"/>
      <c r="E1046" s="128"/>
    </row>
    <row r="1047">
      <c r="A1047" s="128"/>
      <c r="B1047" s="128"/>
      <c r="C1047" s="128"/>
      <c r="D1047" s="128"/>
      <c r="E1047" s="128"/>
    </row>
    <row r="1048">
      <c r="A1048" s="128"/>
      <c r="B1048" s="128"/>
      <c r="C1048" s="128"/>
      <c r="D1048" s="128"/>
      <c r="E1048" s="128"/>
    </row>
    <row r="1049">
      <c r="A1049" s="128"/>
      <c r="B1049" s="128"/>
      <c r="C1049" s="128"/>
      <c r="D1049" s="128"/>
      <c r="E1049" s="128"/>
    </row>
    <row r="1050">
      <c r="A1050" s="128"/>
      <c r="B1050" s="128"/>
      <c r="C1050" s="128"/>
      <c r="D1050" s="128"/>
      <c r="E1050" s="128"/>
    </row>
    <row r="1051">
      <c r="A1051" s="128"/>
      <c r="B1051" s="128"/>
      <c r="C1051" s="128"/>
      <c r="D1051" s="128"/>
      <c r="E1051" s="128"/>
    </row>
    <row r="1052">
      <c r="A1052" s="128"/>
      <c r="B1052" s="128"/>
      <c r="C1052" s="128"/>
      <c r="D1052" s="128"/>
      <c r="E1052" s="128"/>
    </row>
    <row r="1053">
      <c r="A1053" s="128"/>
      <c r="B1053" s="128"/>
      <c r="C1053" s="128"/>
      <c r="D1053" s="128"/>
      <c r="E1053" s="128"/>
    </row>
    <row r="1054">
      <c r="A1054" s="128"/>
      <c r="B1054" s="128"/>
      <c r="C1054" s="128"/>
      <c r="D1054" s="128"/>
      <c r="E1054" s="128"/>
    </row>
    <row r="1055">
      <c r="A1055" s="128"/>
      <c r="B1055" s="128"/>
      <c r="C1055" s="128"/>
      <c r="D1055" s="128"/>
      <c r="E1055" s="128"/>
    </row>
    <row r="1056">
      <c r="A1056" s="128"/>
      <c r="B1056" s="128"/>
      <c r="C1056" s="128"/>
      <c r="D1056" s="128"/>
      <c r="E1056" s="128"/>
    </row>
    <row r="1057">
      <c r="A1057" s="128"/>
      <c r="B1057" s="128"/>
      <c r="C1057" s="128"/>
      <c r="D1057" s="128"/>
      <c r="E1057" s="128"/>
    </row>
    <row r="1058">
      <c r="A1058" s="128"/>
      <c r="B1058" s="128"/>
      <c r="C1058" s="128"/>
      <c r="D1058" s="128"/>
      <c r="E1058" s="128"/>
    </row>
    <row r="1059">
      <c r="A1059" s="128"/>
      <c r="B1059" s="128"/>
      <c r="C1059" s="128"/>
      <c r="D1059" s="128"/>
      <c r="E1059" s="128"/>
    </row>
    <row r="1060">
      <c r="A1060" s="128"/>
      <c r="B1060" s="128"/>
      <c r="C1060" s="128"/>
      <c r="D1060" s="128"/>
      <c r="E1060" s="128"/>
    </row>
    <row r="1061">
      <c r="A1061" s="128"/>
      <c r="B1061" s="128"/>
      <c r="C1061" s="128"/>
      <c r="D1061" s="128"/>
      <c r="E1061" s="128"/>
    </row>
    <row r="1062">
      <c r="A1062" s="128"/>
      <c r="B1062" s="128"/>
      <c r="C1062" s="128"/>
      <c r="D1062" s="128"/>
      <c r="E1062" s="128"/>
    </row>
    <row r="1063">
      <c r="A1063" s="128"/>
      <c r="B1063" s="128"/>
      <c r="C1063" s="128"/>
      <c r="D1063" s="128"/>
      <c r="E1063" s="128"/>
    </row>
    <row r="1064">
      <c r="A1064" s="128"/>
      <c r="B1064" s="128"/>
      <c r="C1064" s="128"/>
      <c r="D1064" s="128"/>
      <c r="E1064" s="128"/>
    </row>
    <row r="1065">
      <c r="A1065" s="128"/>
      <c r="B1065" s="128"/>
      <c r="C1065" s="128"/>
      <c r="D1065" s="128"/>
      <c r="E1065" s="128"/>
    </row>
    <row r="1066">
      <c r="A1066" s="128"/>
      <c r="B1066" s="128"/>
      <c r="C1066" s="128"/>
      <c r="D1066" s="128"/>
      <c r="E1066" s="128"/>
    </row>
    <row r="1067">
      <c r="A1067" s="128"/>
      <c r="B1067" s="128"/>
      <c r="C1067" s="128"/>
      <c r="D1067" s="128"/>
      <c r="E1067" s="128"/>
    </row>
    <row r="1068">
      <c r="A1068" s="128"/>
      <c r="B1068" s="128"/>
      <c r="C1068" s="128"/>
      <c r="D1068" s="128"/>
      <c r="E1068" s="128"/>
    </row>
    <row r="1069">
      <c r="A1069" s="128"/>
      <c r="B1069" s="128"/>
      <c r="C1069" s="128"/>
      <c r="D1069" s="128"/>
      <c r="E1069" s="128"/>
    </row>
    <row r="1070">
      <c r="A1070" s="128"/>
      <c r="B1070" s="128"/>
      <c r="C1070" s="128"/>
      <c r="D1070" s="128"/>
      <c r="E1070" s="128"/>
    </row>
    <row r="1071">
      <c r="A1071" s="128"/>
      <c r="B1071" s="128"/>
      <c r="C1071" s="128"/>
      <c r="D1071" s="128"/>
      <c r="E1071" s="128"/>
    </row>
    <row r="1072">
      <c r="A1072" s="128"/>
      <c r="B1072" s="128"/>
      <c r="C1072" s="128"/>
      <c r="D1072" s="128"/>
      <c r="E1072" s="128"/>
    </row>
    <row r="1073">
      <c r="A1073" s="128"/>
      <c r="B1073" s="128"/>
      <c r="C1073" s="128"/>
      <c r="D1073" s="128"/>
      <c r="E1073" s="128"/>
    </row>
    <row r="1074">
      <c r="A1074" s="128"/>
      <c r="B1074" s="128"/>
      <c r="C1074" s="128"/>
      <c r="D1074" s="128"/>
      <c r="E1074" s="128"/>
    </row>
    <row r="1075">
      <c r="A1075" s="128"/>
      <c r="B1075" s="128"/>
      <c r="C1075" s="128"/>
      <c r="D1075" s="128"/>
      <c r="E1075" s="128"/>
    </row>
    <row r="1076">
      <c r="A1076" s="128"/>
      <c r="B1076" s="128"/>
      <c r="C1076" s="128"/>
      <c r="D1076" s="128"/>
      <c r="E1076" s="128"/>
    </row>
    <row r="1077">
      <c r="A1077" s="128"/>
      <c r="B1077" s="128"/>
      <c r="C1077" s="128"/>
      <c r="D1077" s="128"/>
      <c r="E1077" s="128"/>
    </row>
    <row r="1078">
      <c r="A1078" s="128"/>
      <c r="B1078" s="128"/>
      <c r="C1078" s="128"/>
      <c r="D1078" s="128"/>
      <c r="E1078" s="128"/>
    </row>
    <row r="1079">
      <c r="A1079" s="128"/>
      <c r="B1079" s="128"/>
      <c r="C1079" s="128"/>
      <c r="D1079" s="128"/>
      <c r="E1079" s="128"/>
    </row>
    <row r="1080">
      <c r="A1080" s="128"/>
      <c r="B1080" s="128"/>
      <c r="C1080" s="128"/>
      <c r="D1080" s="128"/>
      <c r="E1080" s="128"/>
    </row>
    <row r="1081">
      <c r="A1081" s="128"/>
      <c r="B1081" s="128"/>
      <c r="C1081" s="128"/>
      <c r="D1081" s="128"/>
      <c r="E1081" s="128"/>
    </row>
    <row r="1082">
      <c r="A1082" s="128"/>
      <c r="B1082" s="128"/>
      <c r="C1082" s="128"/>
      <c r="D1082" s="128"/>
      <c r="E1082" s="128"/>
    </row>
    <row r="1083">
      <c r="A1083" s="128"/>
      <c r="B1083" s="128"/>
      <c r="C1083" s="128"/>
      <c r="D1083" s="128"/>
      <c r="E1083" s="128"/>
    </row>
    <row r="1084">
      <c r="A1084" s="128"/>
      <c r="B1084" s="128"/>
      <c r="C1084" s="128"/>
      <c r="D1084" s="128"/>
      <c r="E1084" s="128"/>
    </row>
    <row r="1085">
      <c r="A1085" s="128"/>
      <c r="B1085" s="128"/>
      <c r="C1085" s="128"/>
      <c r="D1085" s="128"/>
      <c r="E1085" s="128"/>
    </row>
    <row r="1086">
      <c r="A1086" s="128"/>
      <c r="B1086" s="128"/>
      <c r="C1086" s="128"/>
      <c r="D1086" s="128"/>
      <c r="E1086" s="128"/>
    </row>
    <row r="1087">
      <c r="A1087" s="128"/>
      <c r="B1087" s="128"/>
      <c r="C1087" s="128"/>
      <c r="D1087" s="128"/>
      <c r="E1087" s="128"/>
    </row>
    <row r="1088">
      <c r="A1088" s="128"/>
      <c r="B1088" s="128"/>
      <c r="C1088" s="128"/>
      <c r="D1088" s="128"/>
      <c r="E1088" s="128"/>
    </row>
    <row r="1089">
      <c r="A1089" s="128"/>
      <c r="B1089" s="128"/>
      <c r="C1089" s="128"/>
      <c r="D1089" s="128"/>
      <c r="E1089" s="128"/>
    </row>
    <row r="1090">
      <c r="A1090" s="128"/>
      <c r="B1090" s="128"/>
      <c r="C1090" s="128"/>
      <c r="D1090" s="128"/>
      <c r="E1090" s="128"/>
    </row>
    <row r="1091">
      <c r="A1091" s="128"/>
      <c r="B1091" s="128"/>
      <c r="C1091" s="128"/>
      <c r="D1091" s="128"/>
      <c r="E1091" s="128"/>
    </row>
    <row r="1092">
      <c r="A1092" s="128"/>
      <c r="B1092" s="128"/>
      <c r="C1092" s="128"/>
      <c r="D1092" s="128"/>
      <c r="E1092" s="128"/>
    </row>
    <row r="1093">
      <c r="A1093" s="128"/>
      <c r="B1093" s="128"/>
      <c r="C1093" s="128"/>
      <c r="D1093" s="128"/>
      <c r="E1093" s="128"/>
    </row>
    <row r="1094">
      <c r="A1094" s="128"/>
      <c r="B1094" s="128"/>
      <c r="C1094" s="128"/>
      <c r="D1094" s="128"/>
      <c r="E1094" s="128"/>
    </row>
    <row r="1095">
      <c r="A1095" s="128"/>
      <c r="B1095" s="128"/>
      <c r="C1095" s="128"/>
      <c r="D1095" s="128"/>
      <c r="E1095" s="128"/>
    </row>
    <row r="1096">
      <c r="A1096" s="128"/>
      <c r="B1096" s="128"/>
      <c r="C1096" s="128"/>
      <c r="D1096" s="128"/>
      <c r="E1096" s="128"/>
    </row>
    <row r="1097">
      <c r="A1097" s="128"/>
      <c r="B1097" s="128"/>
      <c r="C1097" s="128"/>
      <c r="D1097" s="128"/>
      <c r="E1097" s="128"/>
    </row>
    <row r="1098">
      <c r="A1098" s="128"/>
      <c r="B1098" s="128"/>
      <c r="C1098" s="128"/>
      <c r="D1098" s="128"/>
      <c r="E1098" s="128"/>
    </row>
    <row r="1099">
      <c r="A1099" s="128"/>
      <c r="B1099" s="128"/>
      <c r="C1099" s="128"/>
      <c r="D1099" s="128"/>
      <c r="E1099" s="128"/>
    </row>
    <row r="1100">
      <c r="A1100" s="128"/>
      <c r="B1100" s="128"/>
      <c r="C1100" s="128"/>
      <c r="D1100" s="128"/>
      <c r="E1100" s="128"/>
    </row>
    <row r="1101">
      <c r="A1101" s="128"/>
      <c r="B1101" s="128"/>
      <c r="C1101" s="128"/>
      <c r="D1101" s="128"/>
      <c r="E1101" s="128"/>
    </row>
    <row r="1102">
      <c r="A1102" s="128"/>
      <c r="B1102" s="128"/>
      <c r="C1102" s="128"/>
      <c r="D1102" s="128"/>
      <c r="E1102" s="128"/>
    </row>
    <row r="1103">
      <c r="A1103" s="128"/>
      <c r="B1103" s="128"/>
      <c r="C1103" s="128"/>
      <c r="D1103" s="128"/>
      <c r="E1103" s="128"/>
    </row>
    <row r="1104">
      <c r="A1104" s="128"/>
      <c r="B1104" s="128"/>
      <c r="C1104" s="128"/>
      <c r="D1104" s="128"/>
      <c r="E1104" s="128"/>
    </row>
    <row r="1105">
      <c r="A1105" s="128"/>
      <c r="B1105" s="128"/>
      <c r="C1105" s="128"/>
      <c r="D1105" s="128"/>
      <c r="E1105" s="128"/>
    </row>
    <row r="1106">
      <c r="A1106" s="128"/>
      <c r="B1106" s="128"/>
      <c r="C1106" s="128"/>
      <c r="D1106" s="128"/>
      <c r="E1106" s="128"/>
    </row>
    <row r="1107">
      <c r="A1107" s="128"/>
      <c r="B1107" s="128"/>
      <c r="C1107" s="128"/>
      <c r="D1107" s="128"/>
      <c r="E1107" s="128"/>
    </row>
    <row r="1108">
      <c r="A1108" s="128"/>
      <c r="B1108" s="128"/>
      <c r="C1108" s="128"/>
      <c r="D1108" s="128"/>
      <c r="E1108" s="128"/>
    </row>
    <row r="1109">
      <c r="A1109" s="128"/>
      <c r="B1109" s="128"/>
      <c r="C1109" s="128"/>
      <c r="D1109" s="128"/>
      <c r="E1109" s="128"/>
    </row>
    <row r="1110">
      <c r="A1110" s="128"/>
      <c r="B1110" s="128"/>
      <c r="C1110" s="128"/>
      <c r="D1110" s="128"/>
      <c r="E1110" s="128"/>
    </row>
    <row r="1111">
      <c r="A1111" s="128"/>
      <c r="B1111" s="128"/>
      <c r="C1111" s="128"/>
      <c r="D1111" s="128"/>
      <c r="E1111" s="128"/>
    </row>
    <row r="1112">
      <c r="A1112" s="128"/>
      <c r="B1112" s="128"/>
      <c r="C1112" s="128"/>
      <c r="D1112" s="128"/>
      <c r="E1112" s="128"/>
    </row>
    <row r="1113">
      <c r="A1113" s="128"/>
      <c r="B1113" s="128"/>
      <c r="C1113" s="128"/>
      <c r="D1113" s="128"/>
      <c r="E1113" s="128"/>
    </row>
    <row r="1114">
      <c r="A1114" s="128"/>
      <c r="B1114" s="128"/>
      <c r="C1114" s="128"/>
      <c r="D1114" s="128"/>
      <c r="E1114" s="128"/>
    </row>
    <row r="1115">
      <c r="A1115" s="128"/>
      <c r="B1115" s="128"/>
      <c r="C1115" s="128"/>
      <c r="D1115" s="128"/>
      <c r="E1115" s="128"/>
    </row>
    <row r="1116">
      <c r="A1116" s="128"/>
      <c r="B1116" s="128"/>
      <c r="C1116" s="128"/>
      <c r="D1116" s="128"/>
      <c r="E1116" s="128"/>
    </row>
    <row r="1117">
      <c r="A1117" s="128"/>
      <c r="B1117" s="128"/>
      <c r="C1117" s="128"/>
      <c r="D1117" s="128"/>
      <c r="E1117" s="128"/>
    </row>
    <row r="1118">
      <c r="A1118" s="128"/>
      <c r="B1118" s="128"/>
      <c r="C1118" s="128"/>
      <c r="D1118" s="128"/>
      <c r="E1118" s="128"/>
    </row>
    <row r="1119">
      <c r="A1119" s="128"/>
      <c r="B1119" s="128"/>
      <c r="C1119" s="128"/>
      <c r="D1119" s="128"/>
      <c r="E1119" s="128"/>
    </row>
    <row r="1120">
      <c r="A1120" s="128"/>
      <c r="B1120" s="128"/>
      <c r="C1120" s="128"/>
      <c r="D1120" s="128"/>
      <c r="E1120" s="128"/>
    </row>
    <row r="1121">
      <c r="A1121" s="128"/>
      <c r="B1121" s="128"/>
      <c r="C1121" s="128"/>
      <c r="D1121" s="128"/>
      <c r="E1121" s="128"/>
    </row>
    <row r="1122">
      <c r="A1122" s="128"/>
      <c r="B1122" s="128"/>
      <c r="C1122" s="128"/>
      <c r="D1122" s="128"/>
      <c r="E1122" s="128"/>
    </row>
    <row r="1123">
      <c r="A1123" s="128"/>
      <c r="B1123" s="128"/>
      <c r="C1123" s="128"/>
      <c r="D1123" s="128"/>
      <c r="E1123" s="128"/>
    </row>
    <row r="1124">
      <c r="A1124" s="128"/>
      <c r="B1124" s="128"/>
      <c r="C1124" s="128"/>
      <c r="D1124" s="128"/>
      <c r="E1124" s="128"/>
    </row>
    <row r="1125">
      <c r="A1125" s="128"/>
      <c r="B1125" s="128"/>
      <c r="C1125" s="128"/>
      <c r="D1125" s="128"/>
      <c r="E1125" s="128"/>
    </row>
    <row r="1126">
      <c r="A1126" s="128"/>
      <c r="B1126" s="128"/>
      <c r="C1126" s="128"/>
      <c r="D1126" s="128"/>
      <c r="E1126" s="128"/>
    </row>
    <row r="1127">
      <c r="A1127" s="128"/>
      <c r="B1127" s="128"/>
      <c r="C1127" s="128"/>
      <c r="D1127" s="128"/>
      <c r="E1127" s="128"/>
    </row>
    <row r="1128">
      <c r="A1128" s="128"/>
      <c r="B1128" s="128"/>
      <c r="C1128" s="128"/>
      <c r="D1128" s="128"/>
      <c r="E1128" s="12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2.75"/>
    <col customWidth="1" min="3" max="3" width="21.25"/>
    <col customWidth="1" min="4" max="4" width="25.0"/>
    <col customWidth="1" min="5" max="5" width="21.88"/>
    <col customWidth="1" min="6" max="6" width="22.75"/>
    <col customWidth="1" min="7" max="7" width="20.75"/>
  </cols>
  <sheetData>
    <row r="1">
      <c r="A1" s="129" t="s">
        <v>203</v>
      </c>
    </row>
    <row r="2">
      <c r="A2" s="130" t="s">
        <v>204</v>
      </c>
      <c r="B2" s="131" t="s">
        <v>205</v>
      </c>
      <c r="C2" s="131" t="s">
        <v>206</v>
      </c>
      <c r="D2" s="132" t="s">
        <v>207</v>
      </c>
      <c r="E2" s="132" t="s">
        <v>208</v>
      </c>
      <c r="F2" s="132" t="s">
        <v>209</v>
      </c>
      <c r="G2" s="131"/>
      <c r="H2" s="133"/>
      <c r="I2" s="133"/>
    </row>
    <row r="3">
      <c r="A3" s="134">
        <v>1.0</v>
      </c>
      <c r="B3" s="56" t="s">
        <v>210</v>
      </c>
      <c r="C3" s="56">
        <v>9.92487483E8</v>
      </c>
      <c r="D3" s="56" t="s">
        <v>211</v>
      </c>
      <c r="E3" s="16" t="s">
        <v>212</v>
      </c>
      <c r="F3" s="13"/>
      <c r="G3" s="13"/>
      <c r="I3" s="13"/>
    </row>
    <row r="4">
      <c r="A4" s="134">
        <v>2.0</v>
      </c>
      <c r="B4" s="56" t="s">
        <v>213</v>
      </c>
      <c r="C4" s="56">
        <v>9.72251332E8</v>
      </c>
      <c r="D4" s="56" t="s">
        <v>211</v>
      </c>
      <c r="E4" s="16" t="s">
        <v>212</v>
      </c>
      <c r="F4" s="13"/>
      <c r="G4" s="13"/>
      <c r="I4" s="13"/>
    </row>
    <row r="5">
      <c r="A5" s="134">
        <v>3.0</v>
      </c>
      <c r="B5" s="56" t="s">
        <v>214</v>
      </c>
      <c r="C5" s="56">
        <v>9.91393406E8</v>
      </c>
      <c r="D5" s="56" t="s">
        <v>211</v>
      </c>
      <c r="E5" s="16" t="s">
        <v>212</v>
      </c>
      <c r="F5" s="13"/>
      <c r="G5" s="13"/>
      <c r="I5" s="13"/>
    </row>
    <row r="6">
      <c r="A6" s="134">
        <v>4.0</v>
      </c>
      <c r="B6" s="56" t="s">
        <v>215</v>
      </c>
      <c r="C6" s="56">
        <v>9.85709277E8</v>
      </c>
      <c r="D6" s="56" t="s">
        <v>211</v>
      </c>
      <c r="E6" s="16" t="s">
        <v>212</v>
      </c>
      <c r="F6" s="13"/>
      <c r="G6" s="13"/>
      <c r="I6" s="13"/>
    </row>
    <row r="7">
      <c r="A7" s="134">
        <v>5.0</v>
      </c>
      <c r="B7" s="56" t="s">
        <v>216</v>
      </c>
      <c r="C7" s="56">
        <v>9.86750747E8</v>
      </c>
      <c r="D7" s="56" t="s">
        <v>211</v>
      </c>
      <c r="E7" s="16" t="s">
        <v>212</v>
      </c>
      <c r="F7" s="13"/>
      <c r="G7" s="13"/>
      <c r="I7" s="13"/>
    </row>
    <row r="8">
      <c r="A8" s="134">
        <v>6.0</v>
      </c>
      <c r="B8" s="56" t="s">
        <v>217</v>
      </c>
      <c r="C8" s="56">
        <v>9.81399264E8</v>
      </c>
      <c r="D8" s="56" t="s">
        <v>218</v>
      </c>
      <c r="E8" s="16" t="s">
        <v>212</v>
      </c>
      <c r="F8" s="13"/>
      <c r="G8" s="13"/>
      <c r="I8" s="13"/>
    </row>
    <row r="9">
      <c r="A9" s="134">
        <v>7.0</v>
      </c>
      <c r="B9" s="56" t="s">
        <v>219</v>
      </c>
      <c r="C9" s="56">
        <v>9.94150784E8</v>
      </c>
      <c r="D9" s="56" t="s">
        <v>211</v>
      </c>
      <c r="E9" s="16" t="s">
        <v>212</v>
      </c>
      <c r="F9" s="11" t="s">
        <v>220</v>
      </c>
      <c r="G9" s="13"/>
      <c r="I9" s="13"/>
    </row>
    <row r="10">
      <c r="A10" s="134">
        <v>8.0</v>
      </c>
      <c r="B10" s="56" t="s">
        <v>221</v>
      </c>
      <c r="C10" s="56">
        <v>9.82258501E8</v>
      </c>
      <c r="D10" s="56" t="s">
        <v>211</v>
      </c>
      <c r="E10" s="16" t="s">
        <v>212</v>
      </c>
      <c r="F10" s="13"/>
      <c r="G10" s="13"/>
      <c r="I10" s="13"/>
    </row>
    <row r="11">
      <c r="A11" s="134">
        <v>9.0</v>
      </c>
      <c r="B11" s="56" t="s">
        <v>222</v>
      </c>
      <c r="C11" s="56">
        <v>9.83915621E8</v>
      </c>
      <c r="D11" s="56" t="s">
        <v>211</v>
      </c>
      <c r="E11" s="16" t="s">
        <v>212</v>
      </c>
      <c r="F11" s="13"/>
      <c r="G11" s="13"/>
      <c r="I11" s="13"/>
    </row>
    <row r="12">
      <c r="A12" s="134">
        <v>10.0</v>
      </c>
      <c r="B12" s="56" t="s">
        <v>223</v>
      </c>
      <c r="C12" s="56">
        <v>9.92346167E8</v>
      </c>
      <c r="D12" s="56" t="s">
        <v>211</v>
      </c>
      <c r="E12" s="16" t="s">
        <v>212</v>
      </c>
      <c r="F12" s="13"/>
      <c r="G12" s="13"/>
      <c r="I12" s="13"/>
    </row>
    <row r="13">
      <c r="A13" s="134">
        <v>11.0</v>
      </c>
      <c r="B13" s="56" t="s">
        <v>224</v>
      </c>
      <c r="C13" s="56">
        <v>9.9495688E8</v>
      </c>
      <c r="D13" s="56" t="s">
        <v>211</v>
      </c>
      <c r="E13" s="16" t="s">
        <v>212</v>
      </c>
      <c r="F13" s="13"/>
      <c r="G13" s="13"/>
      <c r="I13" s="13"/>
    </row>
    <row r="14">
      <c r="A14" s="134">
        <v>12.0</v>
      </c>
      <c r="B14" s="56" t="s">
        <v>225</v>
      </c>
      <c r="C14" s="56">
        <v>9.81110991E8</v>
      </c>
      <c r="D14" s="56" t="s">
        <v>211</v>
      </c>
      <c r="E14" s="16" t="s">
        <v>212</v>
      </c>
      <c r="F14" s="13"/>
      <c r="G14" s="13"/>
      <c r="I14" s="13"/>
    </row>
    <row r="15">
      <c r="A15" s="134">
        <v>13.0</v>
      </c>
      <c r="B15" s="56" t="s">
        <v>226</v>
      </c>
      <c r="C15" s="56">
        <v>9.91447781E8</v>
      </c>
      <c r="D15" s="56" t="s">
        <v>227</v>
      </c>
      <c r="E15" s="16" t="s">
        <v>212</v>
      </c>
      <c r="F15" s="13"/>
      <c r="G15" s="13"/>
      <c r="I15" s="13"/>
    </row>
    <row r="16">
      <c r="A16" s="134">
        <v>14.0</v>
      </c>
      <c r="B16" s="56" t="s">
        <v>228</v>
      </c>
      <c r="C16" s="56">
        <v>9.83579626E8</v>
      </c>
      <c r="D16" s="56" t="s">
        <v>211</v>
      </c>
      <c r="E16" s="16" t="s">
        <v>212</v>
      </c>
      <c r="F16" s="13"/>
      <c r="G16" s="13"/>
      <c r="I16" s="13"/>
    </row>
    <row r="17">
      <c r="A17" s="134">
        <v>15.0</v>
      </c>
      <c r="B17" s="61" t="s">
        <v>229</v>
      </c>
      <c r="C17" s="61" t="s">
        <v>230</v>
      </c>
      <c r="D17" s="56" t="s">
        <v>227</v>
      </c>
      <c r="E17" s="56" t="s">
        <v>212</v>
      </c>
      <c r="F17" s="13"/>
      <c r="G17" s="13"/>
      <c r="H17" s="13"/>
      <c r="I17" s="13"/>
    </row>
    <row r="18">
      <c r="A18" s="134">
        <v>16.0</v>
      </c>
      <c r="B18" s="56" t="s">
        <v>126</v>
      </c>
      <c r="C18" s="135">
        <v>9.72900041E8</v>
      </c>
      <c r="D18" s="56" t="s">
        <v>227</v>
      </c>
      <c r="E18" s="16" t="s">
        <v>212</v>
      </c>
      <c r="F18" s="13"/>
      <c r="G18" s="13"/>
      <c r="H18" s="13"/>
      <c r="I18" s="13"/>
    </row>
    <row r="19">
      <c r="A19" s="134">
        <v>17.0</v>
      </c>
      <c r="B19" s="56" t="s">
        <v>231</v>
      </c>
      <c r="C19" s="135">
        <v>9.81371507E8</v>
      </c>
      <c r="D19" s="56" t="s">
        <v>227</v>
      </c>
      <c r="E19" s="16" t="s">
        <v>212</v>
      </c>
      <c r="F19" s="13"/>
      <c r="G19" s="13"/>
      <c r="H19" s="13"/>
      <c r="I19" s="13"/>
    </row>
    <row r="20">
      <c r="A20" s="134">
        <v>18.0</v>
      </c>
      <c r="B20" s="56" t="s">
        <v>232</v>
      </c>
      <c r="C20" s="135">
        <v>9.81254555E8</v>
      </c>
      <c r="D20" s="56" t="s">
        <v>227</v>
      </c>
      <c r="E20" s="56" t="s">
        <v>233</v>
      </c>
      <c r="F20" s="13"/>
      <c r="G20" s="13"/>
      <c r="H20" s="13"/>
      <c r="I20" s="13"/>
    </row>
    <row r="21">
      <c r="A21" s="134">
        <v>19.0</v>
      </c>
      <c r="B21" s="56" t="s">
        <v>234</v>
      </c>
      <c r="C21" s="135">
        <v>9.71779017E8</v>
      </c>
      <c r="D21" s="56" t="s">
        <v>227</v>
      </c>
      <c r="E21" s="56" t="s">
        <v>233</v>
      </c>
      <c r="F21" s="13"/>
      <c r="G21" s="13"/>
      <c r="H21" s="13"/>
      <c r="I21" s="13"/>
    </row>
    <row r="22">
      <c r="A22" s="134">
        <v>20.0</v>
      </c>
      <c r="B22" s="56" t="s">
        <v>235</v>
      </c>
      <c r="C22" s="135" t="s">
        <v>236</v>
      </c>
      <c r="D22" s="56" t="s">
        <v>227</v>
      </c>
      <c r="E22" s="56" t="s">
        <v>233</v>
      </c>
      <c r="F22" s="13"/>
      <c r="G22" s="13"/>
      <c r="H22" s="13"/>
      <c r="I22" s="13"/>
    </row>
    <row r="23">
      <c r="A23" s="134">
        <v>21.0</v>
      </c>
      <c r="B23" s="56" t="s">
        <v>237</v>
      </c>
      <c r="C23" s="135">
        <v>9.81260687E8</v>
      </c>
      <c r="D23" s="56" t="s">
        <v>227</v>
      </c>
      <c r="E23" s="16" t="s">
        <v>212</v>
      </c>
      <c r="F23" s="13"/>
      <c r="G23" s="13"/>
      <c r="H23" s="13"/>
      <c r="I23" s="13"/>
    </row>
    <row r="24">
      <c r="A24" s="134">
        <v>22.0</v>
      </c>
      <c r="B24" s="56" t="s">
        <v>238</v>
      </c>
      <c r="C24" s="135" t="s">
        <v>239</v>
      </c>
      <c r="D24" s="56" t="s">
        <v>227</v>
      </c>
      <c r="E24" s="56" t="s">
        <v>233</v>
      </c>
      <c r="F24" s="13"/>
      <c r="G24" s="13"/>
      <c r="H24" s="13"/>
      <c r="I24" s="13"/>
    </row>
    <row r="25">
      <c r="A25" s="134">
        <v>23.0</v>
      </c>
      <c r="B25" s="16" t="s">
        <v>51</v>
      </c>
      <c r="C25" s="135" t="s">
        <v>240</v>
      </c>
      <c r="D25" s="56" t="s">
        <v>218</v>
      </c>
      <c r="E25" s="16" t="s">
        <v>212</v>
      </c>
    </row>
    <row r="26">
      <c r="A26" s="134">
        <v>24.0</v>
      </c>
      <c r="B26" s="16" t="s">
        <v>40</v>
      </c>
      <c r="C26" s="135" t="s">
        <v>241</v>
      </c>
      <c r="D26" s="56" t="s">
        <v>218</v>
      </c>
      <c r="E26" s="56" t="s">
        <v>233</v>
      </c>
    </row>
    <row r="27">
      <c r="A27" s="134">
        <v>25.0</v>
      </c>
      <c r="B27" s="16" t="s">
        <v>242</v>
      </c>
      <c r="C27" s="135">
        <v>9.8640099E8</v>
      </c>
      <c r="D27" s="56" t="s">
        <v>227</v>
      </c>
      <c r="E27" s="16" t="s">
        <v>212</v>
      </c>
    </row>
    <row r="28">
      <c r="A28" s="134">
        <v>26.0</v>
      </c>
      <c r="B28" s="16" t="s">
        <v>243</v>
      </c>
      <c r="C28" s="135">
        <v>9.956984E8</v>
      </c>
      <c r="D28" s="56" t="s">
        <v>227</v>
      </c>
      <c r="E28" s="56" t="s">
        <v>233</v>
      </c>
    </row>
    <row r="29">
      <c r="A29" s="134">
        <v>27.0</v>
      </c>
      <c r="B29" s="16" t="s">
        <v>244</v>
      </c>
      <c r="C29" s="12"/>
      <c r="D29" s="56" t="s">
        <v>227</v>
      </c>
      <c r="E29" s="56" t="s">
        <v>233</v>
      </c>
    </row>
    <row r="30">
      <c r="A30" s="134">
        <v>28.0</v>
      </c>
      <c r="B30" s="16" t="s">
        <v>245</v>
      </c>
      <c r="C30" s="135">
        <v>9.71621389E8</v>
      </c>
      <c r="D30" s="56" t="s">
        <v>227</v>
      </c>
      <c r="E30" s="56" t="s">
        <v>233</v>
      </c>
    </row>
    <row r="31">
      <c r="A31" s="134">
        <v>29.0</v>
      </c>
      <c r="B31" s="16" t="s">
        <v>246</v>
      </c>
      <c r="C31" s="135" t="s">
        <v>247</v>
      </c>
      <c r="D31" s="56" t="s">
        <v>227</v>
      </c>
      <c r="E31" s="56" t="s">
        <v>233</v>
      </c>
    </row>
    <row r="32">
      <c r="A32" s="134">
        <v>30.0</v>
      </c>
      <c r="B32" s="16" t="s">
        <v>248</v>
      </c>
      <c r="C32" s="135" t="s">
        <v>249</v>
      </c>
      <c r="D32" s="56" t="s">
        <v>227</v>
      </c>
      <c r="E32" s="16" t="s">
        <v>212</v>
      </c>
    </row>
    <row r="33">
      <c r="A33" s="134">
        <v>31.0</v>
      </c>
      <c r="B33" s="16" t="s">
        <v>250</v>
      </c>
      <c r="C33" s="135">
        <v>9.76596659E8</v>
      </c>
      <c r="D33" s="56" t="s">
        <v>227</v>
      </c>
      <c r="E33" s="56" t="s">
        <v>233</v>
      </c>
    </row>
    <row r="34">
      <c r="A34" s="134">
        <v>32.0</v>
      </c>
      <c r="B34" s="16" t="s">
        <v>251</v>
      </c>
      <c r="C34" s="135" t="s">
        <v>252</v>
      </c>
      <c r="D34" s="56" t="s">
        <v>227</v>
      </c>
      <c r="E34" s="56" t="s">
        <v>233</v>
      </c>
    </row>
    <row r="35">
      <c r="A35" s="134">
        <v>33.0</v>
      </c>
      <c r="B35" s="16" t="s">
        <v>253</v>
      </c>
      <c r="C35" s="135" t="s">
        <v>254</v>
      </c>
      <c r="D35" s="56" t="s">
        <v>227</v>
      </c>
      <c r="E35" s="56" t="s">
        <v>233</v>
      </c>
    </row>
    <row r="36">
      <c r="A36" s="134">
        <v>34.0</v>
      </c>
      <c r="B36" s="16" t="s">
        <v>255</v>
      </c>
      <c r="C36" s="135" t="s">
        <v>256</v>
      </c>
      <c r="D36" s="56" t="s">
        <v>227</v>
      </c>
      <c r="E36" s="56" t="s">
        <v>233</v>
      </c>
    </row>
    <row r="37">
      <c r="A37" s="134">
        <v>35.0</v>
      </c>
      <c r="B37" s="16" t="s">
        <v>257</v>
      </c>
      <c r="C37" s="135" t="s">
        <v>258</v>
      </c>
      <c r="D37" s="56" t="s">
        <v>227</v>
      </c>
      <c r="E37" s="56" t="s">
        <v>233</v>
      </c>
    </row>
    <row r="38">
      <c r="A38" s="134">
        <v>36.0</v>
      </c>
      <c r="B38" s="16" t="s">
        <v>259</v>
      </c>
      <c r="C38" s="135" t="s">
        <v>260</v>
      </c>
      <c r="D38" s="56" t="s">
        <v>227</v>
      </c>
      <c r="E38" s="56" t="s">
        <v>233</v>
      </c>
    </row>
    <row r="39">
      <c r="A39" s="134">
        <v>37.0</v>
      </c>
      <c r="B39" s="16" t="s">
        <v>261</v>
      </c>
      <c r="C39" s="136" t="s">
        <v>262</v>
      </c>
      <c r="D39" s="56" t="s">
        <v>227</v>
      </c>
      <c r="E39" s="16" t="s">
        <v>212</v>
      </c>
    </row>
    <row r="40">
      <c r="A40" s="134">
        <v>38.0</v>
      </c>
      <c r="B40" s="16" t="s">
        <v>263</v>
      </c>
      <c r="C40" s="136" t="s">
        <v>264</v>
      </c>
      <c r="D40" s="56" t="s">
        <v>227</v>
      </c>
      <c r="E40" s="56" t="s">
        <v>233</v>
      </c>
    </row>
    <row r="41">
      <c r="A41" s="134">
        <v>39.0</v>
      </c>
      <c r="B41" s="16" t="s">
        <v>165</v>
      </c>
      <c r="C41" s="135" t="s">
        <v>265</v>
      </c>
      <c r="D41" s="56" t="s">
        <v>227</v>
      </c>
      <c r="E41" s="56" t="s">
        <v>233</v>
      </c>
    </row>
    <row r="42">
      <c r="A42" s="134">
        <v>40.0</v>
      </c>
      <c r="B42" s="16" t="s">
        <v>266</v>
      </c>
      <c r="C42" s="135">
        <v>9.81864373E8</v>
      </c>
      <c r="D42" s="56" t="s">
        <v>227</v>
      </c>
      <c r="E42" s="56" t="s">
        <v>233</v>
      </c>
    </row>
    <row r="43">
      <c r="A43" s="134">
        <v>41.0</v>
      </c>
      <c r="B43" s="16" t="s">
        <v>267</v>
      </c>
      <c r="C43" s="135">
        <v>9.81981489E8</v>
      </c>
      <c r="D43" s="56" t="s">
        <v>227</v>
      </c>
      <c r="E43" s="56" t="s">
        <v>233</v>
      </c>
    </row>
    <row r="44">
      <c r="A44" s="134">
        <v>42.0</v>
      </c>
      <c r="B44" s="16" t="s">
        <v>268</v>
      </c>
      <c r="C44" s="135" t="s">
        <v>269</v>
      </c>
      <c r="D44" s="56" t="s">
        <v>227</v>
      </c>
      <c r="E44" s="56" t="s">
        <v>233</v>
      </c>
    </row>
    <row r="45">
      <c r="A45" s="134">
        <v>43.0</v>
      </c>
      <c r="B45" s="16" t="s">
        <v>270</v>
      </c>
      <c r="C45" s="135" t="s">
        <v>271</v>
      </c>
      <c r="D45" s="56" t="s">
        <v>227</v>
      </c>
      <c r="E45" s="56" t="s">
        <v>233</v>
      </c>
    </row>
    <row r="46">
      <c r="A46" s="134">
        <v>44.0</v>
      </c>
      <c r="B46" s="16" t="s">
        <v>199</v>
      </c>
      <c r="C46" s="135" t="s">
        <v>272</v>
      </c>
      <c r="D46" s="56" t="s">
        <v>218</v>
      </c>
      <c r="E46" s="56" t="s">
        <v>233</v>
      </c>
    </row>
    <row r="47">
      <c r="A47" s="134">
        <v>45.0</v>
      </c>
      <c r="B47" s="16" t="s">
        <v>273</v>
      </c>
      <c r="C47" s="136" t="s">
        <v>274</v>
      </c>
      <c r="D47" s="56" t="s">
        <v>227</v>
      </c>
      <c r="E47" s="56" t="s">
        <v>233</v>
      </c>
    </row>
    <row r="48">
      <c r="A48" s="134">
        <v>46.0</v>
      </c>
      <c r="B48" s="16" t="s">
        <v>275</v>
      </c>
      <c r="C48" s="136" t="s">
        <v>276</v>
      </c>
      <c r="D48" s="56" t="s">
        <v>227</v>
      </c>
      <c r="E48" s="56" t="s">
        <v>233</v>
      </c>
    </row>
    <row r="49">
      <c r="A49" s="134">
        <v>47.0</v>
      </c>
      <c r="B49" s="16" t="s">
        <v>277</v>
      </c>
      <c r="D49" s="56" t="s">
        <v>227</v>
      </c>
      <c r="E49" s="56" t="s">
        <v>233</v>
      </c>
    </row>
    <row r="50">
      <c r="A50" s="134">
        <v>48.0</v>
      </c>
      <c r="B50" s="16" t="s">
        <v>132</v>
      </c>
      <c r="C50" s="135" t="s">
        <v>278</v>
      </c>
      <c r="D50" s="56" t="s">
        <v>227</v>
      </c>
      <c r="E50" s="56" t="s">
        <v>233</v>
      </c>
    </row>
    <row r="51">
      <c r="A51" s="134">
        <v>49.0</v>
      </c>
      <c r="B51" s="16" t="s">
        <v>279</v>
      </c>
      <c r="C51" s="136" t="s">
        <v>280</v>
      </c>
      <c r="D51" s="56" t="s">
        <v>227</v>
      </c>
      <c r="E51" s="56" t="s">
        <v>233</v>
      </c>
    </row>
    <row r="52">
      <c r="A52" s="134">
        <v>50.0</v>
      </c>
      <c r="B52" s="16" t="s">
        <v>281</v>
      </c>
      <c r="C52" s="135" t="s">
        <v>282</v>
      </c>
      <c r="D52" s="56" t="s">
        <v>227</v>
      </c>
      <c r="E52" s="56" t="s">
        <v>233</v>
      </c>
    </row>
    <row r="53">
      <c r="A53" s="134">
        <v>51.0</v>
      </c>
      <c r="B53" s="16" t="s">
        <v>283</v>
      </c>
      <c r="C53" s="135" t="s">
        <v>284</v>
      </c>
      <c r="D53" s="56" t="s">
        <v>227</v>
      </c>
      <c r="E53" s="56" t="s">
        <v>233</v>
      </c>
    </row>
    <row r="54">
      <c r="A54" s="134">
        <v>52.0</v>
      </c>
      <c r="B54" s="16" t="s">
        <v>285</v>
      </c>
      <c r="C54" s="136" t="s">
        <v>286</v>
      </c>
      <c r="D54" s="56" t="s">
        <v>227</v>
      </c>
      <c r="E54" s="56" t="s">
        <v>233</v>
      </c>
    </row>
    <row r="55">
      <c r="A55" s="134">
        <v>53.0</v>
      </c>
      <c r="B55" s="16" t="s">
        <v>287</v>
      </c>
      <c r="C55" s="136" t="s">
        <v>288</v>
      </c>
      <c r="D55" s="56" t="s">
        <v>227</v>
      </c>
      <c r="E55" s="56" t="s">
        <v>233</v>
      </c>
    </row>
    <row r="56">
      <c r="A56" s="134">
        <v>54.0</v>
      </c>
      <c r="B56" s="16" t="s">
        <v>289</v>
      </c>
      <c r="C56" s="135" t="s">
        <v>290</v>
      </c>
      <c r="D56" s="56" t="s">
        <v>227</v>
      </c>
      <c r="E56" s="56" t="s">
        <v>233</v>
      </c>
    </row>
    <row r="57">
      <c r="A57" s="134">
        <v>55.0</v>
      </c>
      <c r="B57" s="16" t="s">
        <v>291</v>
      </c>
      <c r="C57" s="12"/>
      <c r="D57" s="56" t="s">
        <v>227</v>
      </c>
      <c r="E57" s="56" t="s">
        <v>233</v>
      </c>
    </row>
    <row r="58">
      <c r="A58" s="134">
        <v>56.0</v>
      </c>
      <c r="B58" s="16" t="s">
        <v>292</v>
      </c>
      <c r="C58" s="12"/>
      <c r="D58" s="56" t="s">
        <v>227</v>
      </c>
      <c r="E58" s="56" t="s">
        <v>233</v>
      </c>
    </row>
    <row r="59">
      <c r="A59" s="134">
        <v>57.0</v>
      </c>
      <c r="B59" s="16" t="s">
        <v>293</v>
      </c>
      <c r="C59" s="12"/>
      <c r="D59" s="56" t="s">
        <v>227</v>
      </c>
      <c r="E59" s="56" t="s">
        <v>233</v>
      </c>
    </row>
    <row r="60">
      <c r="A60" s="134">
        <v>58.0</v>
      </c>
      <c r="B60" s="16" t="s">
        <v>294</v>
      </c>
      <c r="C60" s="12"/>
      <c r="D60" s="56" t="s">
        <v>227</v>
      </c>
      <c r="E60" s="56" t="s">
        <v>233</v>
      </c>
    </row>
    <row r="61">
      <c r="A61" s="134">
        <v>59.0</v>
      </c>
      <c r="B61" s="16" t="s">
        <v>295</v>
      </c>
      <c r="C61" s="12"/>
      <c r="D61" s="56" t="s">
        <v>227</v>
      </c>
      <c r="E61" s="56" t="s">
        <v>233</v>
      </c>
    </row>
    <row r="62">
      <c r="A62" s="134">
        <v>60.0</v>
      </c>
      <c r="B62" s="16" t="s">
        <v>296</v>
      </c>
      <c r="C62" s="12"/>
      <c r="D62" s="56" t="s">
        <v>227</v>
      </c>
      <c r="E62" s="56" t="s">
        <v>233</v>
      </c>
    </row>
    <row r="63">
      <c r="A63" s="134">
        <v>61.0</v>
      </c>
      <c r="B63" s="16" t="s">
        <v>297</v>
      </c>
      <c r="C63" s="12"/>
      <c r="D63" s="56" t="s">
        <v>227</v>
      </c>
      <c r="E63" s="16" t="s">
        <v>212</v>
      </c>
    </row>
    <row r="64">
      <c r="A64" s="134">
        <v>62.0</v>
      </c>
      <c r="B64" s="16" t="s">
        <v>298</v>
      </c>
      <c r="C64" s="12"/>
      <c r="D64" s="56" t="s">
        <v>227</v>
      </c>
      <c r="E64" s="56" t="s">
        <v>233</v>
      </c>
    </row>
    <row r="65">
      <c r="A65" s="134">
        <v>63.0</v>
      </c>
      <c r="B65" s="16" t="s">
        <v>299</v>
      </c>
      <c r="C65" s="12"/>
      <c r="D65" s="56" t="s">
        <v>218</v>
      </c>
      <c r="E65" s="16" t="s">
        <v>212</v>
      </c>
    </row>
    <row r="66">
      <c r="A66" s="134">
        <v>64.0</v>
      </c>
      <c r="B66" s="16" t="s">
        <v>300</v>
      </c>
      <c r="C66" s="12"/>
      <c r="D66" s="56" t="s">
        <v>227</v>
      </c>
      <c r="E66" s="56" t="s">
        <v>233</v>
      </c>
    </row>
    <row r="67">
      <c r="A67" s="134">
        <v>65.0</v>
      </c>
      <c r="B67" s="16" t="s">
        <v>301</v>
      </c>
      <c r="C67" s="12"/>
      <c r="D67" s="56" t="s">
        <v>227</v>
      </c>
      <c r="E67" s="16" t="s">
        <v>212</v>
      </c>
    </row>
    <row r="68">
      <c r="A68" s="134">
        <v>66.0</v>
      </c>
      <c r="B68" s="16" t="s">
        <v>302</v>
      </c>
      <c r="C68" s="12"/>
      <c r="D68" s="56" t="s">
        <v>227</v>
      </c>
      <c r="E68" s="56" t="s">
        <v>233</v>
      </c>
    </row>
    <row r="69">
      <c r="A69" s="134">
        <v>67.0</v>
      </c>
      <c r="B69" s="16" t="s">
        <v>303</v>
      </c>
      <c r="C69" s="12"/>
      <c r="D69" s="56" t="s">
        <v>227</v>
      </c>
      <c r="E69" s="16" t="s">
        <v>212</v>
      </c>
    </row>
    <row r="70">
      <c r="A70" s="134">
        <v>68.0</v>
      </c>
      <c r="B70" s="16" t="s">
        <v>304</v>
      </c>
      <c r="C70" s="12"/>
      <c r="D70" s="56" t="s">
        <v>227</v>
      </c>
      <c r="E70" s="56" t="s">
        <v>233</v>
      </c>
    </row>
    <row r="71">
      <c r="A71" s="134">
        <v>69.0</v>
      </c>
      <c r="B71" s="16" t="s">
        <v>305</v>
      </c>
      <c r="C71" s="12"/>
      <c r="D71" s="56" t="s">
        <v>227</v>
      </c>
      <c r="E71" s="56" t="s">
        <v>233</v>
      </c>
    </row>
    <row r="72">
      <c r="A72" s="134">
        <v>70.0</v>
      </c>
      <c r="B72" s="16" t="s">
        <v>306</v>
      </c>
      <c r="C72" s="12"/>
      <c r="D72" s="56" t="s">
        <v>227</v>
      </c>
      <c r="E72" s="56" t="s">
        <v>233</v>
      </c>
    </row>
    <row r="73">
      <c r="A73" s="134">
        <v>71.0</v>
      </c>
      <c r="B73" s="16" t="s">
        <v>150</v>
      </c>
      <c r="C73" s="12"/>
      <c r="D73" s="56" t="s">
        <v>227</v>
      </c>
      <c r="E73" s="56" t="s">
        <v>233</v>
      </c>
    </row>
    <row r="74">
      <c r="A74" s="134">
        <v>72.0</v>
      </c>
      <c r="B74" s="16" t="s">
        <v>307</v>
      </c>
      <c r="C74" s="12"/>
      <c r="D74" s="56" t="s">
        <v>227</v>
      </c>
      <c r="E74" s="56" t="s">
        <v>233</v>
      </c>
    </row>
    <row r="75">
      <c r="A75" s="134">
        <v>73.0</v>
      </c>
      <c r="B75" s="16" t="s">
        <v>308</v>
      </c>
      <c r="C75" s="12"/>
      <c r="D75" s="56" t="s">
        <v>227</v>
      </c>
      <c r="E75" s="56" t="s">
        <v>233</v>
      </c>
    </row>
    <row r="76">
      <c r="A76" s="134">
        <v>74.0</v>
      </c>
      <c r="B76" s="16" t="s">
        <v>140</v>
      </c>
      <c r="C76" s="12"/>
      <c r="D76" s="56" t="s">
        <v>227</v>
      </c>
      <c r="E76" s="56" t="s">
        <v>233</v>
      </c>
    </row>
    <row r="77">
      <c r="A77" s="134">
        <v>75.0</v>
      </c>
      <c r="B77" s="16" t="s">
        <v>309</v>
      </c>
      <c r="C77" s="12"/>
      <c r="D77" s="56" t="s">
        <v>227</v>
      </c>
      <c r="E77" s="56" t="s">
        <v>233</v>
      </c>
    </row>
    <row r="78">
      <c r="A78" s="134">
        <v>76.0</v>
      </c>
      <c r="B78" s="16" t="s">
        <v>310</v>
      </c>
      <c r="C78" s="12"/>
      <c r="D78" s="56" t="s">
        <v>227</v>
      </c>
      <c r="E78" s="16" t="s">
        <v>212</v>
      </c>
    </row>
    <row r="79">
      <c r="A79" s="134">
        <v>77.0</v>
      </c>
      <c r="B79" s="16" t="s">
        <v>311</v>
      </c>
      <c r="C79" s="12"/>
      <c r="D79" s="56" t="s">
        <v>227</v>
      </c>
      <c r="E79" s="56" t="s">
        <v>233</v>
      </c>
    </row>
    <row r="80">
      <c r="A80" s="134">
        <v>78.0</v>
      </c>
      <c r="B80" s="16" t="s">
        <v>312</v>
      </c>
      <c r="C80" s="12"/>
      <c r="D80" s="56" t="s">
        <v>227</v>
      </c>
      <c r="E80" s="56" t="s">
        <v>233</v>
      </c>
    </row>
    <row r="81">
      <c r="A81" s="134">
        <v>79.0</v>
      </c>
      <c r="B81" s="16" t="s">
        <v>167</v>
      </c>
      <c r="C81" s="12"/>
      <c r="D81" s="56" t="s">
        <v>227</v>
      </c>
      <c r="E81" s="56" t="s">
        <v>233</v>
      </c>
    </row>
    <row r="82">
      <c r="A82" s="134">
        <v>80.0</v>
      </c>
      <c r="B82" s="16" t="s">
        <v>313</v>
      </c>
      <c r="C82" s="12"/>
      <c r="D82" s="56" t="s">
        <v>227</v>
      </c>
      <c r="E82" s="56" t="s">
        <v>233</v>
      </c>
    </row>
    <row r="83">
      <c r="A83" s="134">
        <v>81.0</v>
      </c>
      <c r="B83" s="16" t="s">
        <v>314</v>
      </c>
      <c r="C83" s="12"/>
      <c r="D83" s="56" t="s">
        <v>227</v>
      </c>
      <c r="E83" s="56" t="s">
        <v>233</v>
      </c>
    </row>
    <row r="84">
      <c r="A84" s="134">
        <v>82.0</v>
      </c>
      <c r="B84" s="16" t="s">
        <v>315</v>
      </c>
      <c r="C84" s="12"/>
      <c r="D84" s="56" t="s">
        <v>227</v>
      </c>
      <c r="E84" s="56" t="s">
        <v>233</v>
      </c>
    </row>
    <row r="85">
      <c r="A85" s="134">
        <v>83.0</v>
      </c>
      <c r="B85" s="16" t="s">
        <v>316</v>
      </c>
      <c r="C85" s="12"/>
      <c r="D85" s="56" t="s">
        <v>227</v>
      </c>
      <c r="E85" s="16" t="s">
        <v>212</v>
      </c>
    </row>
    <row r="86">
      <c r="A86" s="134">
        <v>84.0</v>
      </c>
      <c r="B86" s="16" t="s">
        <v>317</v>
      </c>
      <c r="C86" s="12"/>
      <c r="D86" s="56" t="s">
        <v>227</v>
      </c>
      <c r="E86" s="56" t="s">
        <v>233</v>
      </c>
    </row>
    <row r="87">
      <c r="A87" s="134">
        <v>85.0</v>
      </c>
      <c r="B87" s="16" t="s">
        <v>318</v>
      </c>
      <c r="C87" s="12"/>
      <c r="D87" s="56" t="s">
        <v>227</v>
      </c>
      <c r="E87" s="16" t="s">
        <v>212</v>
      </c>
    </row>
    <row r="88">
      <c r="A88" s="134">
        <v>86.0</v>
      </c>
      <c r="B88" s="16" t="s">
        <v>319</v>
      </c>
      <c r="C88" s="12"/>
      <c r="D88" s="56" t="s">
        <v>227</v>
      </c>
      <c r="E88" s="16" t="s">
        <v>212</v>
      </c>
    </row>
    <row r="89">
      <c r="A89" s="134">
        <v>87.0</v>
      </c>
      <c r="B89" s="16" t="s">
        <v>320</v>
      </c>
      <c r="C89" s="12"/>
      <c r="D89" s="56" t="s">
        <v>227</v>
      </c>
      <c r="E89" s="56" t="s">
        <v>233</v>
      </c>
    </row>
    <row r="90">
      <c r="A90" s="134">
        <v>88.0</v>
      </c>
      <c r="B90" s="16" t="s">
        <v>321</v>
      </c>
      <c r="C90" s="12"/>
      <c r="D90" s="56" t="s">
        <v>227</v>
      </c>
      <c r="E90" s="56" t="s">
        <v>233</v>
      </c>
    </row>
    <row r="91">
      <c r="A91" s="134">
        <v>89.0</v>
      </c>
      <c r="B91" s="16" t="s">
        <v>322</v>
      </c>
      <c r="C91" s="12"/>
      <c r="D91" s="56" t="s">
        <v>227</v>
      </c>
      <c r="E91" s="56" t="s">
        <v>233</v>
      </c>
    </row>
    <row r="92">
      <c r="A92" s="134">
        <v>90.0</v>
      </c>
      <c r="B92" s="16" t="s">
        <v>323</v>
      </c>
      <c r="C92" s="12"/>
      <c r="D92" s="56" t="s">
        <v>227</v>
      </c>
      <c r="E92" s="56" t="s">
        <v>233</v>
      </c>
    </row>
    <row r="93">
      <c r="A93" s="134">
        <v>91.0</v>
      </c>
      <c r="B93" s="16" t="s">
        <v>324</v>
      </c>
      <c r="C93" s="12"/>
      <c r="D93" s="56" t="s">
        <v>227</v>
      </c>
      <c r="E93" s="16" t="s">
        <v>212</v>
      </c>
    </row>
    <row r="94">
      <c r="A94" s="134">
        <v>92.0</v>
      </c>
      <c r="B94" s="16" t="s">
        <v>325</v>
      </c>
      <c r="C94" s="12"/>
      <c r="D94" s="56" t="s">
        <v>227</v>
      </c>
      <c r="E94" s="16" t="s">
        <v>212</v>
      </c>
    </row>
    <row r="95">
      <c r="A95" s="134">
        <v>93.0</v>
      </c>
      <c r="B95" s="16" t="s">
        <v>326</v>
      </c>
      <c r="C95" s="12"/>
      <c r="D95" s="56" t="s">
        <v>227</v>
      </c>
      <c r="E95" s="56" t="s">
        <v>233</v>
      </c>
    </row>
    <row r="96">
      <c r="A96" s="134">
        <v>94.0</v>
      </c>
      <c r="B96" s="16" t="s">
        <v>327</v>
      </c>
      <c r="C96" s="12"/>
      <c r="D96" s="56" t="s">
        <v>227</v>
      </c>
      <c r="E96" s="56" t="s">
        <v>233</v>
      </c>
    </row>
    <row r="97">
      <c r="A97" s="137">
        <v>3.0</v>
      </c>
      <c r="B97" s="16" t="s">
        <v>328</v>
      </c>
      <c r="C97" s="12"/>
      <c r="D97" s="56" t="s">
        <v>227</v>
      </c>
      <c r="E97" s="16" t="s">
        <v>212</v>
      </c>
    </row>
    <row r="98">
      <c r="A98" s="134">
        <v>96.0</v>
      </c>
      <c r="B98" s="16" t="s">
        <v>329</v>
      </c>
      <c r="C98" s="12"/>
      <c r="D98" s="56" t="s">
        <v>227</v>
      </c>
      <c r="E98" s="56" t="s">
        <v>233</v>
      </c>
    </row>
    <row r="99">
      <c r="A99" s="134">
        <v>97.0</v>
      </c>
      <c r="B99" s="16" t="s">
        <v>330</v>
      </c>
      <c r="C99" s="12"/>
      <c r="D99" s="56" t="s">
        <v>227</v>
      </c>
      <c r="E99" s="56" t="s">
        <v>233</v>
      </c>
    </row>
    <row r="100">
      <c r="A100" s="134">
        <v>98.0</v>
      </c>
      <c r="B100" s="16" t="s">
        <v>17</v>
      </c>
      <c r="C100" s="12"/>
      <c r="D100" s="56" t="s">
        <v>218</v>
      </c>
      <c r="E100" s="56" t="s">
        <v>233</v>
      </c>
    </row>
    <row r="101">
      <c r="A101" s="134">
        <v>99.0</v>
      </c>
      <c r="B101" s="16" t="s">
        <v>331</v>
      </c>
      <c r="C101" s="12"/>
      <c r="D101" s="56" t="s">
        <v>227</v>
      </c>
      <c r="E101" s="56" t="s">
        <v>233</v>
      </c>
    </row>
    <row r="102">
      <c r="A102" s="134">
        <v>100.0</v>
      </c>
      <c r="B102" s="16" t="s">
        <v>332</v>
      </c>
      <c r="C102" s="12"/>
      <c r="D102" s="56" t="s">
        <v>227</v>
      </c>
      <c r="E102" s="56" t="s">
        <v>233</v>
      </c>
    </row>
    <row r="103">
      <c r="A103" s="134">
        <v>101.0</v>
      </c>
      <c r="B103" s="16" t="s">
        <v>333</v>
      </c>
      <c r="C103" s="12"/>
      <c r="D103" s="56" t="s">
        <v>218</v>
      </c>
      <c r="E103" s="56" t="s">
        <v>233</v>
      </c>
    </row>
    <row r="104">
      <c r="A104" s="134">
        <v>102.0</v>
      </c>
      <c r="B104" s="16" t="s">
        <v>334</v>
      </c>
      <c r="C104" s="12"/>
      <c r="D104" s="56" t="s">
        <v>227</v>
      </c>
      <c r="E104" s="56" t="s">
        <v>233</v>
      </c>
    </row>
    <row r="105">
      <c r="A105" s="134">
        <v>103.0</v>
      </c>
      <c r="B105" s="16" t="s">
        <v>335</v>
      </c>
      <c r="C105" s="12"/>
      <c r="D105" s="56" t="s">
        <v>227</v>
      </c>
      <c r="E105" s="56" t="s">
        <v>233</v>
      </c>
    </row>
    <row r="106">
      <c r="A106" s="134">
        <v>104.0</v>
      </c>
      <c r="B106" s="16" t="s">
        <v>336</v>
      </c>
      <c r="C106" s="12"/>
      <c r="D106" s="56" t="s">
        <v>227</v>
      </c>
      <c r="E106" s="56" t="s">
        <v>233</v>
      </c>
    </row>
    <row r="107">
      <c r="A107" s="134">
        <v>105.0</v>
      </c>
      <c r="B107" s="16" t="s">
        <v>337</v>
      </c>
      <c r="C107" s="12"/>
      <c r="D107" s="56" t="s">
        <v>227</v>
      </c>
      <c r="E107" s="56" t="s">
        <v>233</v>
      </c>
    </row>
    <row r="108">
      <c r="A108" s="134">
        <v>106.0</v>
      </c>
      <c r="B108" s="16" t="s">
        <v>338</v>
      </c>
      <c r="C108" s="12"/>
      <c r="D108" s="56" t="s">
        <v>227</v>
      </c>
      <c r="E108" s="16" t="s">
        <v>212</v>
      </c>
    </row>
    <row r="109">
      <c r="A109" s="134">
        <v>107.0</v>
      </c>
      <c r="B109" s="16" t="s">
        <v>339</v>
      </c>
      <c r="C109" s="12"/>
      <c r="D109" s="56" t="s">
        <v>227</v>
      </c>
      <c r="E109" s="16" t="s">
        <v>212</v>
      </c>
    </row>
    <row r="110">
      <c r="A110" s="134">
        <v>108.0</v>
      </c>
      <c r="B110" s="16" t="s">
        <v>340</v>
      </c>
      <c r="C110" s="12"/>
      <c r="D110" s="56" t="s">
        <v>227</v>
      </c>
      <c r="E110" s="16" t="s">
        <v>212</v>
      </c>
    </row>
    <row r="111">
      <c r="A111" s="134">
        <v>109.0</v>
      </c>
      <c r="B111" s="16" t="s">
        <v>341</v>
      </c>
      <c r="C111" s="12"/>
      <c r="D111" s="56" t="s">
        <v>227</v>
      </c>
      <c r="E111" s="56" t="s">
        <v>233</v>
      </c>
    </row>
    <row r="112">
      <c r="A112" s="134">
        <v>110.0</v>
      </c>
      <c r="B112" s="16" t="s">
        <v>342</v>
      </c>
      <c r="C112" s="12"/>
      <c r="D112" s="56" t="s">
        <v>227</v>
      </c>
      <c r="E112" s="16" t="s">
        <v>212</v>
      </c>
    </row>
    <row r="113">
      <c r="A113" s="134">
        <v>111.0</v>
      </c>
      <c r="B113" s="16" t="s">
        <v>343</v>
      </c>
      <c r="C113" s="12"/>
      <c r="D113" s="56" t="s">
        <v>227</v>
      </c>
      <c r="E113" s="56" t="s">
        <v>233</v>
      </c>
    </row>
    <row r="114">
      <c r="A114" s="134">
        <v>112.0</v>
      </c>
      <c r="B114" s="16" t="s">
        <v>344</v>
      </c>
      <c r="C114" s="12"/>
      <c r="D114" s="56" t="s">
        <v>227</v>
      </c>
      <c r="E114" s="56" t="s">
        <v>233</v>
      </c>
    </row>
    <row r="115">
      <c r="A115" s="134">
        <v>113.0</v>
      </c>
      <c r="B115" s="16" t="s">
        <v>345</v>
      </c>
      <c r="C115" s="12"/>
      <c r="D115" s="56" t="s">
        <v>227</v>
      </c>
      <c r="E115" s="56" t="s">
        <v>233</v>
      </c>
    </row>
    <row r="116">
      <c r="A116" s="134">
        <v>114.0</v>
      </c>
      <c r="B116" s="16" t="s">
        <v>346</v>
      </c>
      <c r="C116" s="12"/>
      <c r="D116" s="56" t="s">
        <v>227</v>
      </c>
      <c r="E116" s="56" t="s">
        <v>233</v>
      </c>
    </row>
    <row r="117">
      <c r="A117" s="134">
        <v>115.0</v>
      </c>
      <c r="B117" s="16" t="s">
        <v>347</v>
      </c>
      <c r="C117" s="12"/>
      <c r="D117" s="56" t="s">
        <v>227</v>
      </c>
      <c r="E117" s="56" t="s">
        <v>233</v>
      </c>
    </row>
    <row r="118">
      <c r="A118" s="134">
        <v>116.0</v>
      </c>
      <c r="B118" s="16" t="s">
        <v>348</v>
      </c>
      <c r="C118" s="12"/>
      <c r="D118" s="56" t="s">
        <v>227</v>
      </c>
      <c r="E118" s="56" t="s">
        <v>233</v>
      </c>
    </row>
    <row r="119">
      <c r="A119" s="134">
        <v>117.0</v>
      </c>
      <c r="B119" s="16" t="s">
        <v>349</v>
      </c>
      <c r="C119" s="12"/>
      <c r="D119" s="56" t="s">
        <v>227</v>
      </c>
      <c r="E119" s="16" t="s">
        <v>212</v>
      </c>
    </row>
    <row r="120">
      <c r="A120" s="134">
        <v>118.0</v>
      </c>
      <c r="B120" s="16" t="s">
        <v>350</v>
      </c>
      <c r="C120" s="12"/>
      <c r="D120" s="56" t="s">
        <v>218</v>
      </c>
      <c r="E120" s="56" t="s">
        <v>233</v>
      </c>
    </row>
    <row r="121">
      <c r="A121" s="134">
        <v>119.0</v>
      </c>
      <c r="B121" s="16" t="s">
        <v>351</v>
      </c>
      <c r="C121" s="12"/>
      <c r="D121" s="56" t="s">
        <v>227</v>
      </c>
      <c r="E121" s="56" t="s">
        <v>233</v>
      </c>
    </row>
    <row r="122">
      <c r="A122" s="134">
        <v>120.0</v>
      </c>
      <c r="B122" s="16" t="s">
        <v>352</v>
      </c>
      <c r="C122" s="12"/>
      <c r="D122" s="56" t="s">
        <v>227</v>
      </c>
      <c r="E122" s="56" t="s">
        <v>233</v>
      </c>
    </row>
    <row r="123">
      <c r="A123" s="134">
        <v>121.0</v>
      </c>
      <c r="B123" s="16" t="s">
        <v>353</v>
      </c>
      <c r="C123" s="12"/>
      <c r="D123" s="56" t="s">
        <v>227</v>
      </c>
      <c r="E123" s="56" t="s">
        <v>233</v>
      </c>
    </row>
    <row r="124">
      <c r="A124" s="134">
        <v>122.0</v>
      </c>
      <c r="B124" s="16" t="s">
        <v>354</v>
      </c>
      <c r="C124" s="12"/>
      <c r="D124" s="56" t="s">
        <v>227</v>
      </c>
      <c r="E124" s="56" t="s">
        <v>233</v>
      </c>
    </row>
    <row r="125">
      <c r="A125" s="134">
        <v>123.0</v>
      </c>
      <c r="B125" s="16" t="s">
        <v>355</v>
      </c>
      <c r="C125" s="12"/>
      <c r="D125" s="56" t="s">
        <v>227</v>
      </c>
      <c r="E125" s="56" t="s">
        <v>233</v>
      </c>
    </row>
    <row r="126">
      <c r="A126" s="134">
        <v>124.0</v>
      </c>
      <c r="B126" s="16" t="s">
        <v>184</v>
      </c>
      <c r="C126" s="12"/>
      <c r="D126" s="56" t="s">
        <v>218</v>
      </c>
      <c r="E126" s="56" t="s">
        <v>233</v>
      </c>
    </row>
    <row r="127">
      <c r="A127" s="134">
        <v>125.0</v>
      </c>
      <c r="B127" s="16" t="s">
        <v>130</v>
      </c>
      <c r="C127" s="12"/>
      <c r="D127" s="56" t="s">
        <v>227</v>
      </c>
      <c r="E127" s="56" t="s">
        <v>233</v>
      </c>
    </row>
    <row r="128">
      <c r="A128" s="134">
        <v>126.0</v>
      </c>
      <c r="B128" s="16" t="s">
        <v>356</v>
      </c>
      <c r="C128" s="12"/>
      <c r="D128" s="56" t="s">
        <v>227</v>
      </c>
      <c r="E128" s="56" t="s">
        <v>233</v>
      </c>
    </row>
    <row r="129">
      <c r="A129" s="134">
        <v>127.0</v>
      </c>
      <c r="B129" s="16" t="s">
        <v>194</v>
      </c>
      <c r="C129" s="12"/>
      <c r="D129" s="56" t="s">
        <v>227</v>
      </c>
      <c r="E129" s="56" t="s">
        <v>233</v>
      </c>
    </row>
    <row r="130">
      <c r="A130" s="134">
        <v>128.0</v>
      </c>
      <c r="B130" s="16" t="s">
        <v>357</v>
      </c>
      <c r="C130" s="12"/>
      <c r="D130" s="56" t="s">
        <v>227</v>
      </c>
      <c r="E130" s="56" t="s">
        <v>233</v>
      </c>
    </row>
    <row r="131">
      <c r="A131" s="134">
        <v>129.0</v>
      </c>
      <c r="B131" s="16" t="s">
        <v>358</v>
      </c>
      <c r="C131" s="12"/>
      <c r="D131" s="56" t="s">
        <v>227</v>
      </c>
      <c r="E131" s="56" t="s">
        <v>233</v>
      </c>
    </row>
    <row r="132">
      <c r="A132" s="134">
        <v>130.0</v>
      </c>
      <c r="B132" s="16" t="s">
        <v>359</v>
      </c>
      <c r="C132" s="12"/>
      <c r="D132" s="56" t="s">
        <v>227</v>
      </c>
      <c r="E132" s="56" t="s">
        <v>233</v>
      </c>
    </row>
    <row r="133">
      <c r="A133" s="134">
        <v>131.0</v>
      </c>
      <c r="B133" s="16" t="s">
        <v>360</v>
      </c>
      <c r="C133" s="12"/>
      <c r="D133" s="56" t="s">
        <v>218</v>
      </c>
      <c r="E133" s="16" t="s">
        <v>212</v>
      </c>
    </row>
    <row r="134">
      <c r="A134" s="134">
        <v>132.0</v>
      </c>
      <c r="B134" s="16" t="s">
        <v>174</v>
      </c>
      <c r="C134" s="12"/>
      <c r="D134" s="56" t="s">
        <v>218</v>
      </c>
      <c r="E134" s="16" t="s">
        <v>212</v>
      </c>
    </row>
    <row r="135">
      <c r="A135" s="134">
        <v>133.0</v>
      </c>
      <c r="B135" s="16" t="s">
        <v>361</v>
      </c>
      <c r="C135" s="12"/>
      <c r="D135" s="56" t="s">
        <v>227</v>
      </c>
      <c r="E135" s="56" t="s">
        <v>233</v>
      </c>
    </row>
    <row r="136">
      <c r="A136" s="134">
        <v>134.0</v>
      </c>
      <c r="B136" s="16" t="s">
        <v>362</v>
      </c>
      <c r="C136" s="12"/>
      <c r="D136" s="56" t="s">
        <v>227</v>
      </c>
      <c r="E136" s="56" t="s">
        <v>233</v>
      </c>
    </row>
    <row r="137">
      <c r="A137" s="134">
        <v>135.0</v>
      </c>
      <c r="B137" s="16" t="s">
        <v>129</v>
      </c>
      <c r="C137" s="12"/>
      <c r="D137" s="56" t="s">
        <v>227</v>
      </c>
      <c r="E137" s="56" t="s">
        <v>233</v>
      </c>
    </row>
    <row r="138">
      <c r="A138" s="134">
        <v>136.0</v>
      </c>
      <c r="B138" s="16" t="s">
        <v>363</v>
      </c>
      <c r="C138" s="12"/>
      <c r="D138" s="56" t="s">
        <v>227</v>
      </c>
      <c r="E138" s="56" t="s">
        <v>233</v>
      </c>
    </row>
    <row r="139">
      <c r="A139" s="134">
        <v>137.0</v>
      </c>
      <c r="B139" s="16" t="s">
        <v>364</v>
      </c>
      <c r="C139" s="12"/>
      <c r="D139" s="56" t="s">
        <v>227</v>
      </c>
      <c r="E139" s="16" t="s">
        <v>212</v>
      </c>
    </row>
    <row r="140">
      <c r="A140" s="134">
        <v>138.0</v>
      </c>
      <c r="B140" s="16" t="s">
        <v>166</v>
      </c>
      <c r="C140" s="12"/>
      <c r="D140" s="56" t="s">
        <v>227</v>
      </c>
      <c r="E140" s="56" t="s">
        <v>233</v>
      </c>
    </row>
    <row r="141">
      <c r="A141" s="134">
        <v>139.0</v>
      </c>
      <c r="B141" s="16" t="s">
        <v>365</v>
      </c>
      <c r="C141" s="12"/>
      <c r="D141" s="56" t="s">
        <v>227</v>
      </c>
      <c r="E141" s="16" t="s">
        <v>212</v>
      </c>
    </row>
    <row r="142">
      <c r="A142" s="134">
        <v>140.0</v>
      </c>
      <c r="B142" s="16" t="s">
        <v>163</v>
      </c>
      <c r="C142" s="12"/>
      <c r="D142" s="56" t="s">
        <v>227</v>
      </c>
      <c r="E142" s="16" t="s">
        <v>212</v>
      </c>
    </row>
    <row r="143">
      <c r="A143" s="134">
        <v>141.0</v>
      </c>
      <c r="B143" s="16" t="s">
        <v>366</v>
      </c>
      <c r="C143" s="12"/>
      <c r="D143" s="56" t="s">
        <v>227</v>
      </c>
      <c r="E143" s="16" t="s">
        <v>212</v>
      </c>
    </row>
    <row r="144">
      <c r="A144" s="134">
        <v>142.0</v>
      </c>
      <c r="B144" s="16" t="s">
        <v>367</v>
      </c>
      <c r="C144" s="12"/>
      <c r="D144" s="56" t="s">
        <v>227</v>
      </c>
      <c r="E144" s="16" t="s">
        <v>212</v>
      </c>
    </row>
    <row r="145">
      <c r="A145" s="134">
        <v>143.0</v>
      </c>
      <c r="B145" s="16" t="s">
        <v>368</v>
      </c>
      <c r="C145" s="16" t="s">
        <v>369</v>
      </c>
      <c r="D145" s="56" t="s">
        <v>211</v>
      </c>
      <c r="E145" s="16" t="s">
        <v>212</v>
      </c>
    </row>
    <row r="146">
      <c r="A146" s="134">
        <v>144.0</v>
      </c>
      <c r="B146" s="16" t="s">
        <v>370</v>
      </c>
      <c r="C146" s="16" t="s">
        <v>371</v>
      </c>
      <c r="D146" s="56" t="s">
        <v>211</v>
      </c>
      <c r="E146" s="16" t="s">
        <v>212</v>
      </c>
    </row>
    <row r="147">
      <c r="A147" s="134">
        <v>145.0</v>
      </c>
      <c r="B147" s="16" t="s">
        <v>372</v>
      </c>
      <c r="C147" s="16" t="s">
        <v>373</v>
      </c>
      <c r="D147" s="56" t="s">
        <v>211</v>
      </c>
      <c r="E147" s="16" t="s">
        <v>212</v>
      </c>
    </row>
    <row r="148">
      <c r="A148" s="134">
        <v>146.0</v>
      </c>
      <c r="B148" s="16" t="s">
        <v>374</v>
      </c>
      <c r="C148" s="16" t="s">
        <v>375</v>
      </c>
      <c r="D148" s="56" t="s">
        <v>211</v>
      </c>
      <c r="E148" s="16" t="s">
        <v>212</v>
      </c>
    </row>
    <row r="149">
      <c r="A149" s="134">
        <v>147.0</v>
      </c>
      <c r="B149" s="16" t="s">
        <v>376</v>
      </c>
      <c r="C149" s="16" t="s">
        <v>377</v>
      </c>
      <c r="D149" s="56" t="s">
        <v>211</v>
      </c>
      <c r="E149" s="16" t="s">
        <v>212</v>
      </c>
    </row>
    <row r="150">
      <c r="A150" s="134">
        <v>148.0</v>
      </c>
      <c r="B150" s="16" t="s">
        <v>378</v>
      </c>
      <c r="C150" s="16" t="s">
        <v>379</v>
      </c>
      <c r="D150" s="56" t="s">
        <v>211</v>
      </c>
      <c r="E150" s="16" t="s">
        <v>212</v>
      </c>
    </row>
    <row r="151">
      <c r="A151" s="134">
        <v>149.0</v>
      </c>
      <c r="B151" s="16" t="s">
        <v>380</v>
      </c>
      <c r="C151" s="16" t="s">
        <v>381</v>
      </c>
      <c r="D151" s="56" t="s">
        <v>211</v>
      </c>
      <c r="E151" s="16" t="s">
        <v>212</v>
      </c>
    </row>
    <row r="152">
      <c r="A152" s="134">
        <v>150.0</v>
      </c>
      <c r="B152" s="16" t="s">
        <v>382</v>
      </c>
      <c r="C152" s="16" t="s">
        <v>383</v>
      </c>
      <c r="D152" s="56" t="s">
        <v>211</v>
      </c>
      <c r="E152" s="16" t="s">
        <v>212</v>
      </c>
    </row>
    <row r="153">
      <c r="A153" s="134">
        <v>151.0</v>
      </c>
      <c r="B153" s="16" t="s">
        <v>384</v>
      </c>
      <c r="C153" s="16" t="s">
        <v>385</v>
      </c>
      <c r="D153" s="56" t="s">
        <v>211</v>
      </c>
      <c r="E153" s="16" t="s">
        <v>212</v>
      </c>
    </row>
    <row r="154">
      <c r="A154" s="134">
        <v>152.0</v>
      </c>
      <c r="B154" s="16" t="s">
        <v>386</v>
      </c>
      <c r="C154" s="16" t="s">
        <v>387</v>
      </c>
      <c r="D154" s="56" t="s">
        <v>211</v>
      </c>
      <c r="E154" s="16" t="s">
        <v>212</v>
      </c>
    </row>
    <row r="155">
      <c r="A155" s="134">
        <v>153.0</v>
      </c>
      <c r="B155" s="16" t="s">
        <v>388</v>
      </c>
      <c r="C155" s="16" t="s">
        <v>389</v>
      </c>
      <c r="D155" s="56" t="s">
        <v>211</v>
      </c>
      <c r="E155" s="16" t="s">
        <v>212</v>
      </c>
    </row>
    <row r="156">
      <c r="A156" s="134">
        <v>154.0</v>
      </c>
      <c r="B156" s="16" t="s">
        <v>390</v>
      </c>
      <c r="C156" s="16" t="s">
        <v>391</v>
      </c>
      <c r="D156" s="56" t="s">
        <v>211</v>
      </c>
      <c r="E156" s="16" t="s">
        <v>212</v>
      </c>
    </row>
    <row r="157">
      <c r="A157" s="134">
        <v>155.0</v>
      </c>
      <c r="B157" s="16" t="s">
        <v>392</v>
      </c>
      <c r="C157" s="16" t="s">
        <v>393</v>
      </c>
      <c r="D157" s="56" t="s">
        <v>211</v>
      </c>
      <c r="E157" s="16" t="s">
        <v>212</v>
      </c>
    </row>
    <row r="158">
      <c r="A158" s="134">
        <v>156.0</v>
      </c>
      <c r="B158" s="16" t="s">
        <v>394</v>
      </c>
      <c r="C158" s="16" t="s">
        <v>395</v>
      </c>
      <c r="D158" s="56" t="s">
        <v>211</v>
      </c>
      <c r="E158" s="16" t="s">
        <v>212</v>
      </c>
    </row>
    <row r="159">
      <c r="A159" s="134">
        <v>157.0</v>
      </c>
      <c r="B159" s="16" t="s">
        <v>396</v>
      </c>
      <c r="C159" s="12"/>
      <c r="D159" s="56" t="s">
        <v>211</v>
      </c>
      <c r="E159" s="16" t="s">
        <v>212</v>
      </c>
    </row>
    <row r="160">
      <c r="A160" s="134">
        <v>158.0</v>
      </c>
      <c r="B160" s="16" t="s">
        <v>397</v>
      </c>
      <c r="C160" s="12"/>
      <c r="D160" s="56" t="s">
        <v>211</v>
      </c>
      <c r="E160" s="16" t="s">
        <v>212</v>
      </c>
    </row>
    <row r="161">
      <c r="A161" s="134">
        <v>159.0</v>
      </c>
      <c r="B161" s="16" t="s">
        <v>398</v>
      </c>
      <c r="C161" s="12"/>
      <c r="D161" s="56" t="s">
        <v>211</v>
      </c>
      <c r="E161" s="16" t="s">
        <v>399</v>
      </c>
    </row>
    <row r="162">
      <c r="A162" s="134">
        <v>160.0</v>
      </c>
      <c r="B162" s="16" t="s">
        <v>400</v>
      </c>
      <c r="C162" s="12"/>
      <c r="D162" s="56" t="s">
        <v>211</v>
      </c>
      <c r="E162" s="16" t="s">
        <v>399</v>
      </c>
    </row>
    <row r="163">
      <c r="A163" s="134">
        <v>161.0</v>
      </c>
      <c r="B163" s="16" t="s">
        <v>401</v>
      </c>
      <c r="C163" s="12"/>
      <c r="D163" s="56" t="s">
        <v>211</v>
      </c>
      <c r="E163" s="16" t="s">
        <v>399</v>
      </c>
    </row>
    <row r="164">
      <c r="A164" s="134">
        <v>162.0</v>
      </c>
      <c r="B164" s="16" t="s">
        <v>402</v>
      </c>
      <c r="C164" s="12"/>
      <c r="D164" s="56" t="s">
        <v>211</v>
      </c>
      <c r="E164" s="16" t="s">
        <v>399</v>
      </c>
    </row>
    <row r="165">
      <c r="A165" s="134">
        <v>163.0</v>
      </c>
      <c r="B165" s="16" t="s">
        <v>403</v>
      </c>
      <c r="C165" s="12"/>
      <c r="D165" s="56" t="s">
        <v>211</v>
      </c>
      <c r="E165" s="16" t="s">
        <v>399</v>
      </c>
    </row>
    <row r="166">
      <c r="A166" s="134">
        <v>164.0</v>
      </c>
      <c r="B166" s="16" t="s">
        <v>404</v>
      </c>
      <c r="C166" s="12"/>
      <c r="D166" s="56" t="s">
        <v>211</v>
      </c>
      <c r="E166" s="16" t="s">
        <v>399</v>
      </c>
    </row>
    <row r="167">
      <c r="A167" s="134">
        <v>165.0</v>
      </c>
      <c r="B167" s="16" t="s">
        <v>405</v>
      </c>
      <c r="C167" s="12"/>
      <c r="D167" s="56" t="s">
        <v>211</v>
      </c>
      <c r="E167" s="16" t="s">
        <v>399</v>
      </c>
    </row>
    <row r="168">
      <c r="A168" s="134">
        <v>166.0</v>
      </c>
      <c r="B168" s="16" t="s">
        <v>406</v>
      </c>
      <c r="C168" s="12"/>
      <c r="D168" s="56" t="s">
        <v>211</v>
      </c>
      <c r="E168" s="16" t="s">
        <v>399</v>
      </c>
    </row>
    <row r="169">
      <c r="A169" s="134">
        <v>167.0</v>
      </c>
      <c r="B169" s="16" t="s">
        <v>407</v>
      </c>
      <c r="C169" s="12"/>
      <c r="D169" s="56" t="s">
        <v>211</v>
      </c>
      <c r="E169" s="16" t="s">
        <v>399</v>
      </c>
    </row>
    <row r="170">
      <c r="A170" s="134">
        <v>168.0</v>
      </c>
      <c r="B170" s="16" t="s">
        <v>408</v>
      </c>
      <c r="C170" s="16">
        <v>9.9174201E8</v>
      </c>
      <c r="D170" s="56" t="s">
        <v>211</v>
      </c>
      <c r="E170" s="16" t="s">
        <v>399</v>
      </c>
    </row>
    <row r="171">
      <c r="A171" s="134">
        <v>169.0</v>
      </c>
      <c r="B171" s="16" t="s">
        <v>409</v>
      </c>
      <c r="C171" s="16">
        <v>9.83708365E8</v>
      </c>
      <c r="D171" s="56" t="s">
        <v>211</v>
      </c>
      <c r="E171" s="16" t="s">
        <v>399</v>
      </c>
    </row>
    <row r="172">
      <c r="A172" s="134">
        <v>170.0</v>
      </c>
      <c r="B172" s="16" t="s">
        <v>410</v>
      </c>
      <c r="C172" s="16">
        <v>9.83769321E8</v>
      </c>
      <c r="D172" s="56" t="s">
        <v>211</v>
      </c>
      <c r="E172" s="16" t="s">
        <v>399</v>
      </c>
    </row>
    <row r="173">
      <c r="A173" s="134">
        <v>171.0</v>
      </c>
      <c r="B173" s="16" t="s">
        <v>411</v>
      </c>
      <c r="C173" s="16" t="s">
        <v>412</v>
      </c>
      <c r="D173" s="56" t="s">
        <v>211</v>
      </c>
      <c r="E173" s="16" t="s">
        <v>399</v>
      </c>
    </row>
    <row r="174">
      <c r="A174" s="134">
        <v>172.0</v>
      </c>
      <c r="B174" s="16" t="s">
        <v>413</v>
      </c>
      <c r="C174" s="16">
        <v>9.91850933E8</v>
      </c>
      <c r="D174" s="56" t="s">
        <v>211</v>
      </c>
      <c r="E174" s="16" t="s">
        <v>399</v>
      </c>
    </row>
    <row r="175">
      <c r="A175" s="134">
        <v>173.0</v>
      </c>
      <c r="B175" s="16" t="s">
        <v>414</v>
      </c>
      <c r="C175" s="16">
        <v>9.8254671E8</v>
      </c>
      <c r="D175" s="56" t="s">
        <v>211</v>
      </c>
      <c r="E175" s="16" t="s">
        <v>399</v>
      </c>
    </row>
    <row r="176">
      <c r="A176" s="134">
        <v>174.0</v>
      </c>
      <c r="B176" s="16" t="s">
        <v>415</v>
      </c>
      <c r="C176" s="16">
        <v>9.91628391E8</v>
      </c>
      <c r="D176" s="56" t="s">
        <v>211</v>
      </c>
      <c r="E176" s="16" t="s">
        <v>399</v>
      </c>
    </row>
    <row r="177">
      <c r="A177" s="134">
        <v>175.0</v>
      </c>
      <c r="B177" s="16" t="s">
        <v>416</v>
      </c>
      <c r="C177" s="16">
        <v>9.84727678E8</v>
      </c>
      <c r="D177" s="56" t="s">
        <v>211</v>
      </c>
      <c r="E177" s="16" t="s">
        <v>399</v>
      </c>
    </row>
    <row r="178">
      <c r="A178" s="134">
        <v>176.0</v>
      </c>
      <c r="B178" s="16" t="s">
        <v>417</v>
      </c>
      <c r="C178" s="16">
        <v>9.85198673E8</v>
      </c>
      <c r="D178" s="56" t="s">
        <v>211</v>
      </c>
      <c r="E178" s="16" t="s">
        <v>399</v>
      </c>
    </row>
    <row r="179">
      <c r="A179" s="134">
        <v>177.0</v>
      </c>
      <c r="B179" s="16" t="s">
        <v>418</v>
      </c>
      <c r="C179" s="16">
        <v>9.92422928E8</v>
      </c>
      <c r="D179" s="56" t="s">
        <v>211</v>
      </c>
      <c r="E179" s="16" t="s">
        <v>399</v>
      </c>
    </row>
    <row r="180">
      <c r="A180" s="134">
        <v>178.0</v>
      </c>
      <c r="B180" s="16" t="s">
        <v>419</v>
      </c>
      <c r="C180" s="16">
        <v>9.84950796E8</v>
      </c>
      <c r="D180" s="56" t="s">
        <v>211</v>
      </c>
      <c r="E180" s="16" t="s">
        <v>399</v>
      </c>
    </row>
    <row r="181">
      <c r="A181" s="134">
        <v>179.0</v>
      </c>
      <c r="B181" s="16" t="s">
        <v>420</v>
      </c>
      <c r="C181" s="16">
        <v>9.94157165E8</v>
      </c>
      <c r="D181" s="56" t="s">
        <v>211</v>
      </c>
      <c r="E181" s="16" t="s">
        <v>399</v>
      </c>
    </row>
    <row r="182">
      <c r="A182" s="134">
        <v>180.0</v>
      </c>
      <c r="B182" s="16" t="s">
        <v>421</v>
      </c>
      <c r="C182" s="16">
        <v>9.91804915E8</v>
      </c>
      <c r="D182" s="56" t="s">
        <v>211</v>
      </c>
      <c r="E182" s="16" t="s">
        <v>399</v>
      </c>
    </row>
    <row r="183">
      <c r="A183" s="134">
        <v>181.0</v>
      </c>
      <c r="B183" s="16" t="s">
        <v>175</v>
      </c>
      <c r="C183" s="12"/>
      <c r="D183" s="56" t="s">
        <v>218</v>
      </c>
      <c r="E183" s="16" t="s">
        <v>212</v>
      </c>
    </row>
    <row r="184">
      <c r="A184" s="134">
        <v>182.0</v>
      </c>
      <c r="B184" s="16" t="s">
        <v>143</v>
      </c>
      <c r="C184" s="12"/>
      <c r="D184" s="56" t="s">
        <v>218</v>
      </c>
      <c r="E184" s="16" t="s">
        <v>212</v>
      </c>
    </row>
    <row r="185">
      <c r="A185" s="134">
        <v>183.0</v>
      </c>
      <c r="B185" s="16" t="s">
        <v>422</v>
      </c>
      <c r="C185" s="138">
        <v>9.72670704E8</v>
      </c>
      <c r="D185" s="56" t="s">
        <v>211</v>
      </c>
      <c r="E185" s="16" t="s">
        <v>212</v>
      </c>
    </row>
    <row r="186">
      <c r="A186" s="134">
        <v>184.0</v>
      </c>
      <c r="B186" s="16" t="s">
        <v>423</v>
      </c>
      <c r="C186" s="17"/>
      <c r="D186" s="17"/>
      <c r="E186" s="17"/>
    </row>
    <row r="187">
      <c r="A187" s="134">
        <v>185.0</v>
      </c>
      <c r="B187" s="16" t="s">
        <v>424</v>
      </c>
      <c r="C187" s="17"/>
      <c r="D187" s="56" t="s">
        <v>211</v>
      </c>
      <c r="E187" s="16" t="s">
        <v>399</v>
      </c>
    </row>
    <row r="188">
      <c r="A188" s="134">
        <v>186.0</v>
      </c>
      <c r="B188" s="16" t="s">
        <v>425</v>
      </c>
      <c r="C188" s="138">
        <v>9.8414211E8</v>
      </c>
      <c r="D188" s="17"/>
      <c r="E188" s="138" t="s">
        <v>426</v>
      </c>
    </row>
    <row r="189">
      <c r="A189" s="134">
        <v>187.0</v>
      </c>
      <c r="B189" s="12"/>
      <c r="C189" s="17"/>
      <c r="D189" s="17"/>
      <c r="E189" s="17"/>
    </row>
    <row r="190">
      <c r="A190" s="134">
        <v>188.0</v>
      </c>
      <c r="B190" s="12"/>
      <c r="C190" s="17"/>
      <c r="D190" s="17"/>
      <c r="E190" s="17"/>
    </row>
    <row r="191">
      <c r="A191" s="134">
        <v>189.0</v>
      </c>
      <c r="B191" s="12"/>
      <c r="C191" s="17"/>
      <c r="D191" s="17"/>
      <c r="E191" s="17"/>
    </row>
    <row r="192">
      <c r="A192" s="134">
        <v>190.0</v>
      </c>
      <c r="B192" s="12"/>
      <c r="C192" s="17"/>
      <c r="D192" s="17"/>
      <c r="E192" s="17"/>
    </row>
    <row r="193">
      <c r="A193" s="134">
        <v>191.0</v>
      </c>
      <c r="B193" s="12"/>
      <c r="C193" s="17"/>
      <c r="D193" s="17"/>
      <c r="E193" s="17"/>
    </row>
    <row r="194">
      <c r="A194" s="134">
        <v>192.0</v>
      </c>
      <c r="B194" s="12"/>
      <c r="C194" s="17"/>
      <c r="D194" s="17"/>
      <c r="E194" s="17"/>
    </row>
    <row r="195">
      <c r="A195" s="134">
        <v>193.0</v>
      </c>
      <c r="B195" s="12"/>
      <c r="C195" s="17"/>
      <c r="D195" s="17"/>
      <c r="E195" s="17"/>
    </row>
    <row r="196">
      <c r="A196" s="134">
        <v>194.0</v>
      </c>
      <c r="B196" s="12"/>
      <c r="C196" s="17"/>
      <c r="D196" s="17"/>
      <c r="E196" s="17"/>
    </row>
    <row r="197">
      <c r="A197" s="134">
        <v>195.0</v>
      </c>
      <c r="B197" s="12"/>
      <c r="C197" s="17"/>
      <c r="D197" s="17"/>
      <c r="E197" s="17"/>
    </row>
    <row r="198">
      <c r="A198" s="134">
        <v>196.0</v>
      </c>
      <c r="B198" s="12"/>
      <c r="C198" s="17"/>
      <c r="D198" s="17"/>
      <c r="E198" s="17"/>
    </row>
    <row r="199">
      <c r="A199" s="134">
        <v>197.0</v>
      </c>
      <c r="B199" s="12"/>
      <c r="C199" s="17"/>
      <c r="D199" s="17"/>
      <c r="E199" s="17"/>
    </row>
    <row r="200">
      <c r="A200" s="134">
        <v>198.0</v>
      </c>
      <c r="B200" s="12"/>
      <c r="C200" s="17"/>
      <c r="D200" s="17"/>
      <c r="E200" s="17"/>
    </row>
    <row r="201">
      <c r="A201" s="134">
        <v>199.0</v>
      </c>
      <c r="B201" s="12"/>
      <c r="C201" s="17"/>
      <c r="D201" s="17"/>
      <c r="E201" s="17"/>
    </row>
    <row r="202">
      <c r="A202" s="134">
        <v>200.0</v>
      </c>
      <c r="B202" s="12"/>
      <c r="C202" s="17"/>
      <c r="D202" s="17"/>
      <c r="E202" s="17"/>
    </row>
    <row r="203">
      <c r="A203" s="134">
        <v>201.0</v>
      </c>
      <c r="B203" s="12"/>
      <c r="C203" s="17"/>
      <c r="D203" s="17"/>
      <c r="E203" s="17"/>
    </row>
    <row r="204">
      <c r="A204" s="134">
        <v>202.0</v>
      </c>
      <c r="B204" s="12"/>
      <c r="C204" s="17"/>
      <c r="D204" s="17"/>
      <c r="E204" s="17"/>
    </row>
    <row r="205">
      <c r="A205" s="134">
        <v>203.0</v>
      </c>
      <c r="B205" s="12"/>
      <c r="C205" s="17"/>
      <c r="D205" s="17"/>
      <c r="E205" s="17"/>
    </row>
    <row r="206">
      <c r="A206" s="134">
        <v>204.0</v>
      </c>
      <c r="B206" s="12"/>
      <c r="C206" s="17"/>
      <c r="D206" s="17"/>
      <c r="E206" s="17"/>
    </row>
    <row r="207">
      <c r="A207" s="134">
        <v>205.0</v>
      </c>
      <c r="B207" s="12"/>
      <c r="C207" s="17"/>
      <c r="D207" s="17"/>
      <c r="E207" s="17"/>
    </row>
    <row r="208">
      <c r="A208" s="134">
        <v>206.0</v>
      </c>
      <c r="B208" s="12"/>
      <c r="C208" s="17"/>
      <c r="D208" s="17"/>
      <c r="E208" s="17"/>
    </row>
  </sheetData>
  <autoFilter ref="$A$2:$E$208"/>
  <mergeCells count="1">
    <mergeCell ref="A1:I1"/>
  </mergeCells>
  <dataValidations>
    <dataValidation type="list" allowBlank="1" showErrorMessage="1" sqref="D3:D185 D187">
      <formula1>"No Consultante,Activo,Inactivo"</formula1>
    </dataValidation>
    <dataValidation type="list" allowBlank="1" showErrorMessage="1" sqref="E3:E156 E183:E185">
      <formula1>"material enviado,no respondio"</formula1>
    </dataValidation>
    <dataValidation type="list" allowBlank="1" showErrorMessage="1" sqref="E157:E182 E187">
      <formula1>"material enviado,no respondio,mensaje enviado"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4" max="4" width="31.63"/>
  </cols>
  <sheetData>
    <row r="1" ht="15.0" customHeight="1">
      <c r="A1" s="139" t="s">
        <v>427</v>
      </c>
      <c r="B1" s="140" t="s">
        <v>428</v>
      </c>
      <c r="C1" s="141" t="s">
        <v>429</v>
      </c>
      <c r="D1" s="141" t="s">
        <v>430</v>
      </c>
      <c r="E1" s="141" t="s">
        <v>431</v>
      </c>
      <c r="F1" s="140" t="s">
        <v>432</v>
      </c>
      <c r="G1" s="140" t="s">
        <v>227</v>
      </c>
      <c r="H1" s="141" t="s">
        <v>198</v>
      </c>
      <c r="I1" s="141" t="s">
        <v>433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</row>
    <row r="2">
      <c r="A2" s="142" t="s">
        <v>434</v>
      </c>
      <c r="B2" s="143" t="s">
        <v>435</v>
      </c>
      <c r="C2" s="135">
        <v>9.71779017E8</v>
      </c>
      <c r="D2" s="143" t="s">
        <v>435</v>
      </c>
      <c r="E2" s="143" t="s">
        <v>435</v>
      </c>
      <c r="F2" s="143" t="s">
        <v>435</v>
      </c>
      <c r="G2" s="143" t="s">
        <v>227</v>
      </c>
      <c r="H2" s="143"/>
      <c r="I2" s="143" t="s">
        <v>436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>
      <c r="A3" s="144" t="s">
        <v>232</v>
      </c>
      <c r="B3" s="143" t="s">
        <v>435</v>
      </c>
      <c r="C3" s="135">
        <v>9.81254555E8</v>
      </c>
      <c r="D3" s="143" t="s">
        <v>435</v>
      </c>
      <c r="E3" s="143" t="s">
        <v>435</v>
      </c>
      <c r="F3" s="143" t="s">
        <v>435</v>
      </c>
      <c r="G3" s="143" t="s">
        <v>227</v>
      </c>
      <c r="H3" s="143"/>
      <c r="I3" s="143" t="s">
        <v>436</v>
      </c>
      <c r="J3" s="145" t="s">
        <v>437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>
      <c r="A4" s="144" t="s">
        <v>231</v>
      </c>
      <c r="B4" s="143" t="s">
        <v>435</v>
      </c>
      <c r="C4" s="135">
        <v>9.81371507E8</v>
      </c>
      <c r="D4" s="143" t="s">
        <v>435</v>
      </c>
      <c r="E4" s="143" t="s">
        <v>438</v>
      </c>
      <c r="F4" s="143" t="s">
        <v>435</v>
      </c>
      <c r="G4" s="143" t="s">
        <v>227</v>
      </c>
      <c r="H4" s="143" t="s">
        <v>435</v>
      </c>
      <c r="I4" s="143" t="s">
        <v>436</v>
      </c>
      <c r="J4" s="145" t="s">
        <v>437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>
      <c r="A5" s="144" t="s">
        <v>126</v>
      </c>
      <c r="B5" s="135" t="s">
        <v>439</v>
      </c>
      <c r="C5" s="135">
        <v>9.72900041E8</v>
      </c>
      <c r="D5" s="135" t="s">
        <v>440</v>
      </c>
      <c r="E5" s="143" t="s">
        <v>438</v>
      </c>
      <c r="F5" s="143" t="s">
        <v>441</v>
      </c>
      <c r="G5" s="135" t="s">
        <v>227</v>
      </c>
      <c r="H5" s="143"/>
      <c r="I5" s="143" t="s">
        <v>436</v>
      </c>
      <c r="J5" s="145" t="s">
        <v>437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>
      <c r="A6" s="142" t="s">
        <v>442</v>
      </c>
      <c r="B6" s="143" t="s">
        <v>435</v>
      </c>
      <c r="C6" s="135" t="s">
        <v>236</v>
      </c>
      <c r="D6" s="143" t="s">
        <v>435</v>
      </c>
      <c r="E6" s="143" t="s">
        <v>438</v>
      </c>
      <c r="F6" s="143" t="s">
        <v>435</v>
      </c>
      <c r="G6" s="135" t="s">
        <v>227</v>
      </c>
      <c r="H6" s="143"/>
      <c r="I6" s="143" t="s">
        <v>436</v>
      </c>
      <c r="J6" s="145" t="s">
        <v>437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>
      <c r="A7" s="144" t="s">
        <v>237</v>
      </c>
      <c r="B7" s="143" t="s">
        <v>435</v>
      </c>
      <c r="C7" s="135">
        <v>9.81260687E8</v>
      </c>
      <c r="D7" s="143" t="s">
        <v>443</v>
      </c>
      <c r="E7" s="143" t="s">
        <v>438</v>
      </c>
      <c r="F7" s="143" t="s">
        <v>435</v>
      </c>
      <c r="G7" s="143" t="s">
        <v>227</v>
      </c>
      <c r="H7" s="143"/>
      <c r="I7" s="143" t="s">
        <v>436</v>
      </c>
      <c r="J7" s="145" t="s">
        <v>437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>
      <c r="A8" s="144" t="s">
        <v>163</v>
      </c>
      <c r="B8" s="143" t="s">
        <v>435</v>
      </c>
      <c r="C8" s="135">
        <v>9.83467446E8</v>
      </c>
      <c r="D8" s="143" t="s">
        <v>444</v>
      </c>
      <c r="E8" s="143" t="s">
        <v>438</v>
      </c>
      <c r="F8" s="143" t="s">
        <v>441</v>
      </c>
      <c r="G8" s="135" t="s">
        <v>227</v>
      </c>
      <c r="H8" s="143"/>
      <c r="I8" s="143" t="s">
        <v>436</v>
      </c>
      <c r="J8" s="145" t="s">
        <v>437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>
      <c r="A9" s="144" t="s">
        <v>201</v>
      </c>
      <c r="B9" s="135" t="s">
        <v>445</v>
      </c>
      <c r="C9" s="135">
        <v>9.76596659E8</v>
      </c>
      <c r="D9" s="143" t="s">
        <v>446</v>
      </c>
      <c r="E9" s="143" t="s">
        <v>438</v>
      </c>
      <c r="F9" s="135" t="s">
        <v>447</v>
      </c>
      <c r="G9" s="135" t="s">
        <v>227</v>
      </c>
      <c r="H9" s="146"/>
      <c r="I9" s="143" t="s">
        <v>436</v>
      </c>
      <c r="J9" s="145" t="s">
        <v>437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>
      <c r="A10" s="144" t="s">
        <v>448</v>
      </c>
      <c r="B10" s="143" t="s">
        <v>435</v>
      </c>
      <c r="C10" s="135" t="s">
        <v>249</v>
      </c>
      <c r="D10" s="135"/>
      <c r="E10" s="143" t="s">
        <v>449</v>
      </c>
      <c r="F10" s="143" t="s">
        <v>435</v>
      </c>
      <c r="G10" s="143" t="s">
        <v>227</v>
      </c>
      <c r="H10" s="147"/>
      <c r="I10" s="143" t="s">
        <v>436</v>
      </c>
      <c r="J10" s="145" t="s">
        <v>437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>
      <c r="A11" s="144" t="s">
        <v>450</v>
      </c>
      <c r="B11" s="143" t="s">
        <v>435</v>
      </c>
      <c r="C11" s="143" t="s">
        <v>435</v>
      </c>
      <c r="D11" s="143" t="s">
        <v>435</v>
      </c>
      <c r="E11" s="143" t="s">
        <v>435</v>
      </c>
      <c r="F11" s="143" t="s">
        <v>435</v>
      </c>
      <c r="G11" s="143" t="s">
        <v>227</v>
      </c>
      <c r="H11" s="143"/>
      <c r="I11" s="143" t="s">
        <v>451</v>
      </c>
      <c r="J11" s="145" t="s">
        <v>437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>
      <c r="A12" s="144" t="s">
        <v>245</v>
      </c>
      <c r="B12" s="143" t="s">
        <v>435</v>
      </c>
      <c r="C12" s="135">
        <v>9.71621389E8</v>
      </c>
      <c r="D12" s="143" t="s">
        <v>435</v>
      </c>
      <c r="E12" s="143" t="s">
        <v>435</v>
      </c>
      <c r="F12" s="143" t="s">
        <v>435</v>
      </c>
      <c r="G12" s="143" t="s">
        <v>227</v>
      </c>
      <c r="H12" s="143"/>
      <c r="I12" s="143" t="s">
        <v>436</v>
      </c>
      <c r="J12" s="145" t="s">
        <v>437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>
      <c r="A13" s="144" t="s">
        <v>452</v>
      </c>
      <c r="B13" s="143" t="s">
        <v>435</v>
      </c>
      <c r="C13" s="135">
        <v>9.8581133E8</v>
      </c>
      <c r="D13" s="143" t="s">
        <v>435</v>
      </c>
      <c r="E13" s="143" t="s">
        <v>438</v>
      </c>
      <c r="F13" s="143" t="s">
        <v>435</v>
      </c>
      <c r="G13" s="143" t="s">
        <v>227</v>
      </c>
      <c r="H13" s="143"/>
      <c r="I13" s="143" t="s">
        <v>436</v>
      </c>
      <c r="J13" s="145" t="s">
        <v>437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>
      <c r="A14" s="148" t="s">
        <v>243</v>
      </c>
      <c r="B14" s="143" t="s">
        <v>435</v>
      </c>
      <c r="C14" s="135">
        <v>9.956984E8</v>
      </c>
      <c r="D14" s="143" t="s">
        <v>453</v>
      </c>
      <c r="E14" s="143" t="s">
        <v>438</v>
      </c>
      <c r="F14" s="143" t="s">
        <v>435</v>
      </c>
      <c r="G14" s="143" t="s">
        <v>227</v>
      </c>
      <c r="H14" s="143"/>
      <c r="I14" s="143" t="s">
        <v>436</v>
      </c>
      <c r="J14" s="145" t="s">
        <v>437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>
      <c r="A15" s="142" t="s">
        <v>454</v>
      </c>
      <c r="B15" s="143" t="s">
        <v>435</v>
      </c>
      <c r="C15" s="135">
        <v>9.8640099E8</v>
      </c>
      <c r="D15" s="135" t="s">
        <v>455</v>
      </c>
      <c r="E15" s="143" t="s">
        <v>438</v>
      </c>
      <c r="F15" s="143" t="s">
        <v>435</v>
      </c>
      <c r="G15" s="135" t="s">
        <v>227</v>
      </c>
      <c r="H15" s="143"/>
      <c r="I15" s="143" t="s">
        <v>436</v>
      </c>
      <c r="J15" s="145" t="s">
        <v>437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>
      <c r="A16" s="142" t="s">
        <v>40</v>
      </c>
      <c r="B16" s="135" t="s">
        <v>456</v>
      </c>
      <c r="C16" s="135" t="s">
        <v>241</v>
      </c>
      <c r="D16" s="135" t="s">
        <v>457</v>
      </c>
      <c r="E16" s="143" t="s">
        <v>438</v>
      </c>
      <c r="F16" s="135" t="s">
        <v>447</v>
      </c>
      <c r="G16" s="143" t="s">
        <v>218</v>
      </c>
      <c r="H16" s="143"/>
      <c r="I16" s="143" t="s">
        <v>436</v>
      </c>
      <c r="J16" s="145" t="s">
        <v>437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>
      <c r="A17" s="149" t="s">
        <v>51</v>
      </c>
      <c r="B17" s="135" t="s">
        <v>458</v>
      </c>
      <c r="C17" s="135" t="s">
        <v>240</v>
      </c>
      <c r="D17" s="135" t="s">
        <v>459</v>
      </c>
      <c r="E17" s="143" t="s">
        <v>438</v>
      </c>
      <c r="F17" s="143"/>
      <c r="G17" s="143" t="s">
        <v>218</v>
      </c>
      <c r="H17" s="143"/>
      <c r="I17" s="143" t="s">
        <v>436</v>
      </c>
      <c r="J17" s="145" t="s">
        <v>437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>
      <c r="A18" s="144" t="s">
        <v>460</v>
      </c>
      <c r="B18" s="143" t="s">
        <v>435</v>
      </c>
      <c r="C18" s="135" t="s">
        <v>461</v>
      </c>
      <c r="D18" s="143" t="s">
        <v>462</v>
      </c>
      <c r="E18" s="143" t="s">
        <v>435</v>
      </c>
      <c r="F18" s="143" t="s">
        <v>435</v>
      </c>
      <c r="G18" s="143" t="s">
        <v>227</v>
      </c>
      <c r="H18" s="143"/>
      <c r="I18" s="143" t="s">
        <v>436</v>
      </c>
      <c r="J18" s="145" t="s">
        <v>463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>
      <c r="A19" s="144" t="s">
        <v>238</v>
      </c>
      <c r="B19" s="143" t="s">
        <v>435</v>
      </c>
      <c r="C19" s="135" t="s">
        <v>239</v>
      </c>
      <c r="D19" s="143" t="s">
        <v>435</v>
      </c>
      <c r="E19" s="143" t="s">
        <v>435</v>
      </c>
      <c r="F19" s="143" t="s">
        <v>435</v>
      </c>
      <c r="G19" s="143" t="s">
        <v>227</v>
      </c>
      <c r="H19" s="143"/>
      <c r="I19" s="143" t="s">
        <v>436</v>
      </c>
      <c r="J19" s="145" t="s">
        <v>437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>
      <c r="A20" s="144" t="s">
        <v>251</v>
      </c>
      <c r="B20" s="143" t="s">
        <v>435</v>
      </c>
      <c r="C20" s="135" t="s">
        <v>252</v>
      </c>
      <c r="D20" s="143" t="s">
        <v>435</v>
      </c>
      <c r="E20" s="143" t="s">
        <v>435</v>
      </c>
      <c r="F20" s="143" t="s">
        <v>435</v>
      </c>
      <c r="G20" s="143" t="s">
        <v>227</v>
      </c>
      <c r="H20" s="143"/>
      <c r="I20" s="143" t="s">
        <v>436</v>
      </c>
      <c r="J20" s="145" t="s">
        <v>437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>
      <c r="A21" s="144" t="s">
        <v>464</v>
      </c>
      <c r="B21" s="143" t="s">
        <v>435</v>
      </c>
      <c r="C21" s="135" t="s">
        <v>254</v>
      </c>
      <c r="D21" s="143" t="s">
        <v>435</v>
      </c>
      <c r="E21" s="143" t="s">
        <v>435</v>
      </c>
      <c r="F21" s="143" t="s">
        <v>435</v>
      </c>
      <c r="G21" s="143" t="s">
        <v>227</v>
      </c>
      <c r="H21" s="143"/>
      <c r="I21" s="143" t="s">
        <v>436</v>
      </c>
      <c r="J21" s="145" t="s">
        <v>437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>
      <c r="A22" s="142" t="s">
        <v>255</v>
      </c>
      <c r="B22" s="143" t="s">
        <v>435</v>
      </c>
      <c r="C22" s="135" t="s">
        <v>256</v>
      </c>
      <c r="D22" s="143" t="s">
        <v>435</v>
      </c>
      <c r="E22" s="143" t="s">
        <v>438</v>
      </c>
      <c r="F22" s="143" t="s">
        <v>435</v>
      </c>
      <c r="G22" s="143" t="s">
        <v>227</v>
      </c>
      <c r="H22" s="143" t="s">
        <v>435</v>
      </c>
      <c r="I22" s="143" t="s">
        <v>436</v>
      </c>
      <c r="J22" s="145" t="s">
        <v>437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>
      <c r="A23" s="142" t="s">
        <v>465</v>
      </c>
      <c r="B23" s="143" t="s">
        <v>435</v>
      </c>
      <c r="C23" s="135" t="s">
        <v>258</v>
      </c>
      <c r="D23" s="143" t="s">
        <v>435</v>
      </c>
      <c r="E23" s="143" t="s">
        <v>435</v>
      </c>
      <c r="F23" s="143" t="s">
        <v>435</v>
      </c>
      <c r="G23" s="143" t="s">
        <v>227</v>
      </c>
      <c r="H23" s="143" t="s">
        <v>435</v>
      </c>
      <c r="I23" s="143" t="s">
        <v>436</v>
      </c>
      <c r="J23" s="145" t="s">
        <v>437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>
      <c r="A24" s="142" t="s">
        <v>70</v>
      </c>
      <c r="B24" s="143" t="s">
        <v>435</v>
      </c>
      <c r="C24" s="135" t="s">
        <v>466</v>
      </c>
      <c r="D24" s="143" t="s">
        <v>467</v>
      </c>
      <c r="E24" s="143" t="s">
        <v>449</v>
      </c>
      <c r="F24" s="143" t="s">
        <v>447</v>
      </c>
      <c r="G24" s="143" t="s">
        <v>218</v>
      </c>
      <c r="H24" s="143" t="s">
        <v>435</v>
      </c>
      <c r="I24" s="143" t="s">
        <v>436</v>
      </c>
      <c r="J24" s="145" t="s">
        <v>437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>
      <c r="A25" s="142" t="s">
        <v>259</v>
      </c>
      <c r="B25" s="143" t="s">
        <v>435</v>
      </c>
      <c r="C25" s="135" t="s">
        <v>260</v>
      </c>
      <c r="D25" s="143" t="s">
        <v>435</v>
      </c>
      <c r="E25" s="143" t="s">
        <v>435</v>
      </c>
      <c r="F25" s="143" t="s">
        <v>435</v>
      </c>
      <c r="G25" s="143" t="s">
        <v>227</v>
      </c>
      <c r="H25" s="143"/>
      <c r="I25" s="135" t="s">
        <v>451</v>
      </c>
      <c r="J25" s="145" t="s">
        <v>437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>
      <c r="A26" s="142" t="s">
        <v>468</v>
      </c>
      <c r="B26" s="143" t="s">
        <v>435</v>
      </c>
      <c r="C26" s="135" t="s">
        <v>262</v>
      </c>
      <c r="D26" s="143" t="s">
        <v>435</v>
      </c>
      <c r="E26" s="143" t="s">
        <v>435</v>
      </c>
      <c r="F26" s="143" t="s">
        <v>435</v>
      </c>
      <c r="G26" s="143" t="s">
        <v>227</v>
      </c>
      <c r="H26" s="143"/>
      <c r="I26" s="143" t="s">
        <v>436</v>
      </c>
      <c r="J26" s="145" t="s">
        <v>437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>
      <c r="A27" s="142" t="s">
        <v>469</v>
      </c>
      <c r="B27" s="135" t="s">
        <v>458</v>
      </c>
      <c r="C27" s="135">
        <v>9.81864373E8</v>
      </c>
      <c r="D27" s="135" t="s">
        <v>470</v>
      </c>
      <c r="E27" s="143" t="s">
        <v>438</v>
      </c>
      <c r="F27" s="143" t="s">
        <v>447</v>
      </c>
      <c r="G27" s="135" t="s">
        <v>227</v>
      </c>
      <c r="H27" s="143"/>
      <c r="I27" s="143" t="s">
        <v>436</v>
      </c>
      <c r="J27" s="145" t="s">
        <v>437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>
      <c r="A28" s="142" t="s">
        <v>471</v>
      </c>
      <c r="B28" s="143" t="s">
        <v>435</v>
      </c>
      <c r="C28" s="135" t="s">
        <v>264</v>
      </c>
      <c r="D28" s="143" t="s">
        <v>435</v>
      </c>
      <c r="E28" s="143" t="s">
        <v>435</v>
      </c>
      <c r="F28" s="143" t="s">
        <v>435</v>
      </c>
      <c r="G28" s="143" t="s">
        <v>227</v>
      </c>
      <c r="H28" s="143"/>
      <c r="I28" s="143" t="s">
        <v>436</v>
      </c>
      <c r="J28" s="145" t="s">
        <v>437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>
      <c r="A29" s="144" t="s">
        <v>472</v>
      </c>
      <c r="B29" s="143" t="s">
        <v>473</v>
      </c>
      <c r="C29" s="135" t="s">
        <v>474</v>
      </c>
      <c r="D29" s="143" t="s">
        <v>435</v>
      </c>
      <c r="E29" s="143" t="s">
        <v>438</v>
      </c>
      <c r="F29" s="143" t="s">
        <v>447</v>
      </c>
      <c r="G29" s="135" t="s">
        <v>227</v>
      </c>
      <c r="H29" s="143"/>
      <c r="I29" s="143" t="s">
        <v>436</v>
      </c>
      <c r="J29" s="145" t="s">
        <v>437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>
      <c r="A30" s="144" t="s">
        <v>475</v>
      </c>
      <c r="B30" s="143" t="s">
        <v>435</v>
      </c>
      <c r="C30" s="135" t="s">
        <v>476</v>
      </c>
      <c r="D30" s="143" t="s">
        <v>435</v>
      </c>
      <c r="E30" s="143" t="s">
        <v>435</v>
      </c>
      <c r="F30" s="143" t="s">
        <v>435</v>
      </c>
      <c r="G30" s="143" t="s">
        <v>227</v>
      </c>
      <c r="H30" s="143"/>
      <c r="I30" s="143" t="s">
        <v>436</v>
      </c>
      <c r="J30" s="145" t="s">
        <v>437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>
      <c r="A31" s="142" t="s">
        <v>165</v>
      </c>
      <c r="B31" s="143" t="s">
        <v>477</v>
      </c>
      <c r="C31" s="135" t="s">
        <v>265</v>
      </c>
      <c r="D31" s="135" t="s">
        <v>478</v>
      </c>
      <c r="E31" s="143" t="s">
        <v>438</v>
      </c>
      <c r="F31" s="143" t="s">
        <v>435</v>
      </c>
      <c r="G31" s="143" t="s">
        <v>218</v>
      </c>
      <c r="H31" s="143" t="s">
        <v>435</v>
      </c>
      <c r="I31" s="143" t="s">
        <v>436</v>
      </c>
      <c r="J31" s="145" t="s">
        <v>437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>
      <c r="A32" s="144" t="s">
        <v>120</v>
      </c>
      <c r="B32" s="135" t="s">
        <v>479</v>
      </c>
      <c r="C32" s="135" t="s">
        <v>480</v>
      </c>
      <c r="D32" s="135" t="s">
        <v>481</v>
      </c>
      <c r="E32" s="143" t="s">
        <v>438</v>
      </c>
      <c r="F32" s="143" t="s">
        <v>447</v>
      </c>
      <c r="G32" s="143" t="s">
        <v>218</v>
      </c>
      <c r="H32" s="143"/>
      <c r="I32" s="143" t="s">
        <v>436</v>
      </c>
      <c r="J32" s="145" t="s">
        <v>437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>
      <c r="A33" s="142" t="s">
        <v>267</v>
      </c>
      <c r="B33" s="143" t="s">
        <v>435</v>
      </c>
      <c r="C33" s="135">
        <v>9.81981489E8</v>
      </c>
      <c r="D33" s="135" t="s">
        <v>482</v>
      </c>
      <c r="E33" s="143" t="s">
        <v>438</v>
      </c>
      <c r="F33" s="143" t="s">
        <v>435</v>
      </c>
      <c r="G33" s="143" t="s">
        <v>227</v>
      </c>
      <c r="H33" s="143"/>
      <c r="I33" s="143" t="s">
        <v>436</v>
      </c>
      <c r="J33" s="145" t="s">
        <v>437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>
      <c r="A34" s="144" t="s">
        <v>199</v>
      </c>
      <c r="B34" s="143" t="s">
        <v>435</v>
      </c>
      <c r="C34" s="135" t="s">
        <v>272</v>
      </c>
      <c r="D34" s="143" t="s">
        <v>483</v>
      </c>
      <c r="E34" s="143" t="s">
        <v>438</v>
      </c>
      <c r="F34" s="143"/>
      <c r="G34" s="135" t="s">
        <v>227</v>
      </c>
      <c r="H34" s="146">
        <v>45349.0</v>
      </c>
      <c r="I34" s="143" t="s">
        <v>436</v>
      </c>
      <c r="J34" s="145" t="s">
        <v>437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>
      <c r="A35" s="144" t="s">
        <v>484</v>
      </c>
      <c r="B35" s="143" t="s">
        <v>435</v>
      </c>
      <c r="C35" s="135" t="s">
        <v>271</v>
      </c>
      <c r="D35" s="143" t="s">
        <v>435</v>
      </c>
      <c r="E35" s="143" t="s">
        <v>438</v>
      </c>
      <c r="F35" s="143" t="s">
        <v>435</v>
      </c>
      <c r="G35" s="135" t="s">
        <v>227</v>
      </c>
      <c r="H35" s="143"/>
      <c r="I35" s="143" t="s">
        <v>451</v>
      </c>
      <c r="J35" s="145" t="s">
        <v>437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>
      <c r="A36" s="144" t="s">
        <v>268</v>
      </c>
      <c r="B36" s="135" t="s">
        <v>485</v>
      </c>
      <c r="C36" s="135" t="s">
        <v>269</v>
      </c>
      <c r="D36" s="143" t="s">
        <v>486</v>
      </c>
      <c r="E36" s="143" t="s">
        <v>438</v>
      </c>
      <c r="F36" s="143" t="s">
        <v>441</v>
      </c>
      <c r="G36" s="143" t="s">
        <v>218</v>
      </c>
      <c r="H36" s="146"/>
      <c r="I36" s="143" t="s">
        <v>436</v>
      </c>
      <c r="J36" s="145" t="s">
        <v>437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>
      <c r="A37" s="150" t="s">
        <v>487</v>
      </c>
      <c r="B37" s="135" t="s">
        <v>488</v>
      </c>
      <c r="C37" s="135" t="s">
        <v>489</v>
      </c>
      <c r="D37" s="135" t="s">
        <v>490</v>
      </c>
      <c r="E37" s="143" t="s">
        <v>438</v>
      </c>
      <c r="F37" s="143"/>
      <c r="G37" s="143" t="s">
        <v>218</v>
      </c>
      <c r="H37" s="143"/>
      <c r="I37" s="143" t="s">
        <v>436</v>
      </c>
      <c r="J37" s="145" t="s">
        <v>437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>
      <c r="A38" s="142" t="s">
        <v>491</v>
      </c>
      <c r="B38" s="143" t="s">
        <v>435</v>
      </c>
      <c r="C38" s="135"/>
      <c r="D38" s="143" t="s">
        <v>492</v>
      </c>
      <c r="E38" s="143" t="s">
        <v>438</v>
      </c>
      <c r="F38" s="143"/>
      <c r="G38" s="135" t="s">
        <v>227</v>
      </c>
      <c r="H38" s="151">
        <v>45524.0</v>
      </c>
      <c r="I38" s="143" t="s">
        <v>436</v>
      </c>
      <c r="J38" s="145" t="s">
        <v>437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>
      <c r="A39" s="144" t="s">
        <v>493</v>
      </c>
      <c r="B39" s="143" t="s">
        <v>435</v>
      </c>
      <c r="C39" s="135" t="s">
        <v>274</v>
      </c>
      <c r="D39" s="143" t="s">
        <v>435</v>
      </c>
      <c r="E39" s="143" t="s">
        <v>438</v>
      </c>
      <c r="F39" s="152" t="s">
        <v>435</v>
      </c>
      <c r="G39" s="135" t="s">
        <v>227</v>
      </c>
      <c r="H39" s="143"/>
      <c r="I39" s="143" t="s">
        <v>436</v>
      </c>
      <c r="J39" s="145" t="s">
        <v>437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>
      <c r="A40" s="144" t="s">
        <v>132</v>
      </c>
      <c r="B40" s="143" t="s">
        <v>435</v>
      </c>
      <c r="C40" s="135" t="s">
        <v>278</v>
      </c>
      <c r="D40" s="143" t="s">
        <v>435</v>
      </c>
      <c r="E40" s="143" t="s">
        <v>438</v>
      </c>
      <c r="F40" s="143" t="s">
        <v>435</v>
      </c>
      <c r="G40" s="143" t="s">
        <v>227</v>
      </c>
      <c r="H40" s="143"/>
      <c r="I40" s="143" t="s">
        <v>436</v>
      </c>
      <c r="J40" s="145" t="s">
        <v>437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>
      <c r="A41" s="142" t="s">
        <v>275</v>
      </c>
      <c r="B41" s="143" t="s">
        <v>435</v>
      </c>
      <c r="C41" s="135" t="s">
        <v>276</v>
      </c>
      <c r="D41" s="143" t="s">
        <v>435</v>
      </c>
      <c r="E41" s="143" t="s">
        <v>435</v>
      </c>
      <c r="F41" s="143" t="s">
        <v>435</v>
      </c>
      <c r="G41" s="143" t="s">
        <v>227</v>
      </c>
      <c r="H41" s="143"/>
      <c r="I41" s="143" t="s">
        <v>436</v>
      </c>
      <c r="J41" s="145" t="s">
        <v>437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>
      <c r="A42" s="153" t="s">
        <v>494</v>
      </c>
      <c r="B42" s="143" t="s">
        <v>435</v>
      </c>
      <c r="C42" s="135" t="s">
        <v>280</v>
      </c>
      <c r="D42" s="143" t="s">
        <v>435</v>
      </c>
      <c r="E42" s="143" t="s">
        <v>438</v>
      </c>
      <c r="F42" s="143"/>
      <c r="G42" s="143" t="s">
        <v>227</v>
      </c>
      <c r="H42" s="143"/>
      <c r="I42" s="143" t="s">
        <v>436</v>
      </c>
      <c r="J42" s="145" t="s">
        <v>437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>
      <c r="A43" s="142" t="s">
        <v>495</v>
      </c>
      <c r="B43" s="135" t="s">
        <v>496</v>
      </c>
      <c r="C43" s="135" t="s">
        <v>497</v>
      </c>
      <c r="D43" s="143" t="s">
        <v>435</v>
      </c>
      <c r="E43" s="143" t="s">
        <v>438</v>
      </c>
      <c r="F43" s="135" t="s">
        <v>447</v>
      </c>
      <c r="G43" s="135" t="s">
        <v>227</v>
      </c>
      <c r="H43" s="143"/>
      <c r="I43" s="143" t="s">
        <v>436</v>
      </c>
      <c r="J43" s="145" t="s">
        <v>437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>
      <c r="A44" s="144" t="s">
        <v>498</v>
      </c>
      <c r="B44" s="143" t="s">
        <v>435</v>
      </c>
      <c r="C44" s="135" t="s">
        <v>282</v>
      </c>
      <c r="D44" s="143" t="s">
        <v>435</v>
      </c>
      <c r="E44" s="143" t="s">
        <v>438</v>
      </c>
      <c r="F44" s="143" t="s">
        <v>435</v>
      </c>
      <c r="G44" s="143" t="s">
        <v>227</v>
      </c>
      <c r="H44" s="143"/>
      <c r="I44" s="143" t="s">
        <v>436</v>
      </c>
      <c r="J44" s="145" t="s">
        <v>437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>
      <c r="A45" s="144" t="s">
        <v>499</v>
      </c>
      <c r="B45" s="143" t="s">
        <v>435</v>
      </c>
      <c r="C45" s="135" t="s">
        <v>286</v>
      </c>
      <c r="D45" s="143" t="s">
        <v>435</v>
      </c>
      <c r="E45" s="143" t="s">
        <v>438</v>
      </c>
      <c r="F45" s="143" t="s">
        <v>435</v>
      </c>
      <c r="G45" s="143" t="s">
        <v>227</v>
      </c>
      <c r="H45" s="143"/>
      <c r="I45" s="143" t="s">
        <v>436</v>
      </c>
      <c r="J45" s="145" t="s">
        <v>437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>
      <c r="A46" s="144" t="s">
        <v>283</v>
      </c>
      <c r="B46" s="143" t="s">
        <v>435</v>
      </c>
      <c r="C46" s="135" t="s">
        <v>284</v>
      </c>
      <c r="D46" s="135" t="s">
        <v>500</v>
      </c>
      <c r="E46" s="143" t="s">
        <v>438</v>
      </c>
      <c r="F46" s="143" t="s">
        <v>435</v>
      </c>
      <c r="G46" s="143" t="s">
        <v>227</v>
      </c>
      <c r="H46" s="143"/>
      <c r="I46" s="143" t="s">
        <v>451</v>
      </c>
      <c r="J46" s="145" t="s">
        <v>437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>
      <c r="A47" s="144" t="s">
        <v>287</v>
      </c>
      <c r="B47" s="143" t="s">
        <v>501</v>
      </c>
      <c r="C47" s="135" t="s">
        <v>288</v>
      </c>
      <c r="D47" s="143" t="s">
        <v>435</v>
      </c>
      <c r="E47" s="143" t="s">
        <v>438</v>
      </c>
      <c r="F47" s="143" t="s">
        <v>447</v>
      </c>
      <c r="G47" s="135" t="s">
        <v>227</v>
      </c>
      <c r="H47" s="143"/>
      <c r="I47" s="143" t="s">
        <v>436</v>
      </c>
      <c r="J47" s="145" t="s">
        <v>437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>
      <c r="A48" s="144" t="s">
        <v>291</v>
      </c>
      <c r="B48" s="143" t="s">
        <v>435</v>
      </c>
      <c r="C48" s="135" t="s">
        <v>502</v>
      </c>
      <c r="D48" s="143" t="s">
        <v>435</v>
      </c>
      <c r="E48" s="143" t="s">
        <v>435</v>
      </c>
      <c r="F48" s="143" t="s">
        <v>435</v>
      </c>
      <c r="G48" s="143" t="s">
        <v>227</v>
      </c>
      <c r="H48" s="143"/>
      <c r="I48" s="143" t="s">
        <v>436</v>
      </c>
      <c r="J48" s="145" t="s">
        <v>437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>
      <c r="A49" s="144" t="s">
        <v>289</v>
      </c>
      <c r="B49" s="143" t="s">
        <v>435</v>
      </c>
      <c r="C49" s="135" t="s">
        <v>290</v>
      </c>
      <c r="D49" s="143" t="s">
        <v>435</v>
      </c>
      <c r="E49" s="143" t="s">
        <v>435</v>
      </c>
      <c r="F49" s="143" t="s">
        <v>435</v>
      </c>
      <c r="G49" s="143" t="s">
        <v>227</v>
      </c>
      <c r="H49" s="143"/>
      <c r="I49" s="143" t="s">
        <v>436</v>
      </c>
      <c r="J49" s="145" t="s">
        <v>437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>
      <c r="A50" s="144" t="s">
        <v>292</v>
      </c>
      <c r="B50" s="143" t="s">
        <v>435</v>
      </c>
      <c r="C50" s="135" t="s">
        <v>503</v>
      </c>
      <c r="D50" s="143" t="s">
        <v>440</v>
      </c>
      <c r="E50" s="143" t="s">
        <v>435</v>
      </c>
      <c r="F50" s="143" t="s">
        <v>435</v>
      </c>
      <c r="G50" s="143" t="s">
        <v>227</v>
      </c>
      <c r="H50" s="143"/>
      <c r="I50" s="143" t="s">
        <v>436</v>
      </c>
      <c r="J50" s="145" t="s">
        <v>437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>
      <c r="A51" s="154" t="s">
        <v>504</v>
      </c>
      <c r="B51" s="143" t="s">
        <v>435</v>
      </c>
      <c r="C51" s="135" t="s">
        <v>505</v>
      </c>
      <c r="D51" s="143" t="s">
        <v>435</v>
      </c>
      <c r="E51" s="143" t="s">
        <v>438</v>
      </c>
      <c r="F51" s="143" t="s">
        <v>435</v>
      </c>
      <c r="G51" s="143" t="s">
        <v>227</v>
      </c>
      <c r="H51" s="143"/>
      <c r="I51" s="143" t="s">
        <v>436</v>
      </c>
      <c r="J51" s="145" t="s">
        <v>437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>
      <c r="A52" s="154" t="s">
        <v>367</v>
      </c>
      <c r="B52" s="143" t="s">
        <v>435</v>
      </c>
      <c r="C52" s="135" t="s">
        <v>506</v>
      </c>
      <c r="D52" s="143" t="s">
        <v>435</v>
      </c>
      <c r="E52" s="143" t="s">
        <v>438</v>
      </c>
      <c r="F52" s="143" t="s">
        <v>435</v>
      </c>
      <c r="G52" s="143" t="s">
        <v>227</v>
      </c>
      <c r="H52" s="143"/>
      <c r="I52" s="143" t="s">
        <v>436</v>
      </c>
      <c r="J52" s="145" t="s">
        <v>437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>
      <c r="A53" s="144" t="s">
        <v>293</v>
      </c>
      <c r="B53" s="143" t="s">
        <v>435</v>
      </c>
      <c r="C53" s="135" t="s">
        <v>507</v>
      </c>
      <c r="D53" s="143" t="s">
        <v>435</v>
      </c>
      <c r="E53" s="143" t="s">
        <v>435</v>
      </c>
      <c r="F53" s="143" t="s">
        <v>435</v>
      </c>
      <c r="G53" s="143" t="s">
        <v>227</v>
      </c>
      <c r="H53" s="143"/>
      <c r="I53" s="143" t="s">
        <v>436</v>
      </c>
      <c r="J53" s="145" t="s">
        <v>437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>
      <c r="A54" s="144" t="s">
        <v>294</v>
      </c>
      <c r="B54" s="143" t="s">
        <v>435</v>
      </c>
      <c r="C54" s="135" t="s">
        <v>508</v>
      </c>
      <c r="D54" s="143" t="s">
        <v>435</v>
      </c>
      <c r="E54" s="143" t="s">
        <v>435</v>
      </c>
      <c r="F54" s="143" t="s">
        <v>435</v>
      </c>
      <c r="G54" s="143" t="s">
        <v>227</v>
      </c>
      <c r="H54" s="143"/>
      <c r="I54" s="143" t="s">
        <v>436</v>
      </c>
      <c r="J54" s="145" t="s">
        <v>437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>
      <c r="A55" s="144" t="s">
        <v>509</v>
      </c>
      <c r="B55" s="143" t="s">
        <v>435</v>
      </c>
      <c r="C55" s="135" t="s">
        <v>510</v>
      </c>
      <c r="D55" s="143" t="s">
        <v>435</v>
      </c>
      <c r="E55" s="143" t="s">
        <v>438</v>
      </c>
      <c r="F55" s="143" t="s">
        <v>435</v>
      </c>
      <c r="G55" s="143" t="s">
        <v>227</v>
      </c>
      <c r="H55" s="143"/>
      <c r="I55" s="143" t="s">
        <v>436</v>
      </c>
      <c r="J55" s="145" t="s">
        <v>437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>
      <c r="A56" s="144" t="s">
        <v>296</v>
      </c>
      <c r="B56" s="143" t="s">
        <v>435</v>
      </c>
      <c r="C56" s="135" t="s">
        <v>511</v>
      </c>
      <c r="D56" s="143" t="s">
        <v>435</v>
      </c>
      <c r="E56" s="143" t="s">
        <v>438</v>
      </c>
      <c r="F56" s="143" t="s">
        <v>435</v>
      </c>
      <c r="G56" s="143" t="s">
        <v>227</v>
      </c>
      <c r="H56" s="143" t="s">
        <v>435</v>
      </c>
      <c r="I56" s="143" t="s">
        <v>436</v>
      </c>
      <c r="J56" s="145" t="s">
        <v>437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>
      <c r="A57" s="144" t="s">
        <v>512</v>
      </c>
      <c r="B57" s="143" t="s">
        <v>513</v>
      </c>
      <c r="C57" s="135" t="s">
        <v>514</v>
      </c>
      <c r="D57" s="135" t="s">
        <v>515</v>
      </c>
      <c r="E57" s="143" t="s">
        <v>438</v>
      </c>
      <c r="F57" s="143" t="s">
        <v>447</v>
      </c>
      <c r="G57" s="143" t="s">
        <v>218</v>
      </c>
      <c r="H57" s="143"/>
      <c r="I57" s="143" t="s">
        <v>436</v>
      </c>
      <c r="J57" s="145" t="s">
        <v>437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>
      <c r="A58" s="142" t="s">
        <v>516</v>
      </c>
      <c r="B58" s="135"/>
      <c r="C58" s="135" t="s">
        <v>517</v>
      </c>
      <c r="D58" s="143" t="s">
        <v>435</v>
      </c>
      <c r="E58" s="143" t="s">
        <v>438</v>
      </c>
      <c r="F58" s="143" t="s">
        <v>435</v>
      </c>
      <c r="G58" s="135" t="s">
        <v>227</v>
      </c>
      <c r="H58" s="143"/>
      <c r="I58" s="143" t="s">
        <v>436</v>
      </c>
      <c r="J58" s="145" t="s">
        <v>437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>
      <c r="A59" s="155" t="s">
        <v>518</v>
      </c>
      <c r="B59" s="143" t="s">
        <v>435</v>
      </c>
      <c r="C59" s="135" t="s">
        <v>519</v>
      </c>
      <c r="D59" s="143" t="s">
        <v>435</v>
      </c>
      <c r="E59" s="143" t="s">
        <v>438</v>
      </c>
      <c r="F59" s="143" t="s">
        <v>435</v>
      </c>
      <c r="G59" s="143" t="s">
        <v>227</v>
      </c>
      <c r="H59" s="143"/>
      <c r="I59" s="143" t="s">
        <v>436</v>
      </c>
      <c r="J59" s="145" t="s">
        <v>437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>
      <c r="A60" s="156" t="s">
        <v>520</v>
      </c>
      <c r="B60" s="135" t="s">
        <v>521</v>
      </c>
      <c r="C60" s="135" t="s">
        <v>522</v>
      </c>
      <c r="D60" s="143" t="s">
        <v>435</v>
      </c>
      <c r="E60" s="143" t="s">
        <v>438</v>
      </c>
      <c r="F60" s="135" t="s">
        <v>447</v>
      </c>
      <c r="G60" s="143" t="s">
        <v>218</v>
      </c>
      <c r="H60" s="143"/>
      <c r="I60" s="143" t="s">
        <v>436</v>
      </c>
      <c r="J60" s="145" t="s">
        <v>437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>
      <c r="A61" s="144" t="s">
        <v>523</v>
      </c>
      <c r="B61" s="143" t="s">
        <v>435</v>
      </c>
      <c r="C61" s="143" t="s">
        <v>435</v>
      </c>
      <c r="D61" s="143" t="s">
        <v>435</v>
      </c>
      <c r="E61" s="143" t="s">
        <v>449</v>
      </c>
      <c r="F61" s="143" t="s">
        <v>435</v>
      </c>
      <c r="G61" s="143" t="s">
        <v>227</v>
      </c>
      <c r="H61" s="143"/>
      <c r="I61" s="143" t="s">
        <v>436</v>
      </c>
      <c r="J61" s="145" t="s">
        <v>437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>
      <c r="A62" s="142" t="s">
        <v>524</v>
      </c>
      <c r="B62" s="143" t="s">
        <v>435</v>
      </c>
      <c r="C62" s="135">
        <v>3.4645277792E10</v>
      </c>
      <c r="D62" s="143" t="s">
        <v>435</v>
      </c>
      <c r="E62" s="143" t="s">
        <v>438</v>
      </c>
      <c r="F62" s="143" t="s">
        <v>435</v>
      </c>
      <c r="G62" s="143" t="s">
        <v>227</v>
      </c>
      <c r="H62" s="143" t="s">
        <v>435</v>
      </c>
      <c r="I62" s="143" t="s">
        <v>436</v>
      </c>
      <c r="J62" s="145" t="s">
        <v>437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>
      <c r="A63" s="142" t="s">
        <v>525</v>
      </c>
      <c r="B63" s="143" t="s">
        <v>435</v>
      </c>
      <c r="C63" s="143"/>
      <c r="D63" s="143" t="s">
        <v>526</v>
      </c>
      <c r="E63" s="143" t="s">
        <v>449</v>
      </c>
      <c r="F63" s="143" t="s">
        <v>435</v>
      </c>
      <c r="G63" s="143" t="s">
        <v>227</v>
      </c>
      <c r="H63" s="151">
        <v>45370.0</v>
      </c>
      <c r="I63" s="143" t="s">
        <v>436</v>
      </c>
      <c r="J63" s="145" t="s">
        <v>437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>
      <c r="A64" s="142" t="s">
        <v>301</v>
      </c>
      <c r="B64" s="135" t="s">
        <v>527</v>
      </c>
      <c r="C64" s="135" t="s">
        <v>528</v>
      </c>
      <c r="D64" s="135" t="s">
        <v>529</v>
      </c>
      <c r="E64" s="143" t="s">
        <v>438</v>
      </c>
      <c r="F64" s="143" t="s">
        <v>435</v>
      </c>
      <c r="G64" s="143" t="s">
        <v>227</v>
      </c>
      <c r="H64" s="157">
        <v>45603.0</v>
      </c>
      <c r="I64" s="143" t="s">
        <v>436</v>
      </c>
      <c r="J64" s="145" t="s">
        <v>437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>
      <c r="A65" s="150" t="s">
        <v>304</v>
      </c>
      <c r="B65" s="143" t="s">
        <v>435</v>
      </c>
      <c r="C65" s="135" t="s">
        <v>530</v>
      </c>
      <c r="D65" s="143" t="s">
        <v>435</v>
      </c>
      <c r="E65" s="143" t="s">
        <v>438</v>
      </c>
      <c r="F65" s="143"/>
      <c r="G65" s="143" t="s">
        <v>227</v>
      </c>
      <c r="H65" s="143"/>
      <c r="I65" s="143" t="s">
        <v>436</v>
      </c>
      <c r="J65" s="145" t="s">
        <v>437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>
      <c r="A66" s="142" t="s">
        <v>305</v>
      </c>
      <c r="B66" s="135" t="s">
        <v>531</v>
      </c>
      <c r="C66" s="135" t="s">
        <v>532</v>
      </c>
      <c r="D66" s="143" t="s">
        <v>533</v>
      </c>
      <c r="E66" s="143" t="s">
        <v>438</v>
      </c>
      <c r="F66" s="143" t="s">
        <v>447</v>
      </c>
      <c r="G66" s="135" t="s">
        <v>218</v>
      </c>
      <c r="H66" s="143"/>
      <c r="I66" s="143" t="s">
        <v>436</v>
      </c>
      <c r="J66" s="145" t="s">
        <v>437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>
      <c r="A67" s="142" t="s">
        <v>302</v>
      </c>
      <c r="B67" s="135" t="s">
        <v>534</v>
      </c>
      <c r="C67" s="135" t="s">
        <v>535</v>
      </c>
      <c r="D67" s="143" t="s">
        <v>536</v>
      </c>
      <c r="E67" s="143" t="s">
        <v>438</v>
      </c>
      <c r="F67" s="143" t="s">
        <v>435</v>
      </c>
      <c r="G67" s="135" t="s">
        <v>218</v>
      </c>
      <c r="H67" s="143"/>
      <c r="I67" s="143" t="s">
        <v>436</v>
      </c>
      <c r="J67" s="145" t="s">
        <v>437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>
      <c r="A68" s="154" t="s">
        <v>246</v>
      </c>
      <c r="B68" s="143" t="s">
        <v>435</v>
      </c>
      <c r="C68" s="135" t="s">
        <v>247</v>
      </c>
      <c r="D68" s="143" t="s">
        <v>435</v>
      </c>
      <c r="E68" s="143" t="s">
        <v>438</v>
      </c>
      <c r="F68" s="143" t="s">
        <v>435</v>
      </c>
      <c r="G68" s="143" t="s">
        <v>227</v>
      </c>
      <c r="H68" s="143"/>
      <c r="I68" s="143" t="s">
        <v>436</v>
      </c>
      <c r="J68" s="145" t="s">
        <v>437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>
      <c r="A69" s="144" t="s">
        <v>537</v>
      </c>
      <c r="B69" s="143" t="s">
        <v>435</v>
      </c>
      <c r="C69" s="135" t="s">
        <v>538</v>
      </c>
      <c r="D69" s="143" t="s">
        <v>435</v>
      </c>
      <c r="E69" s="143" t="s">
        <v>438</v>
      </c>
      <c r="F69" s="143" t="s">
        <v>435</v>
      </c>
      <c r="G69" s="135" t="s">
        <v>227</v>
      </c>
      <c r="H69" s="143"/>
      <c r="I69" s="143" t="s">
        <v>451</v>
      </c>
      <c r="J69" s="145" t="s">
        <v>437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>
      <c r="A70" s="142" t="s">
        <v>539</v>
      </c>
      <c r="B70" s="143" t="s">
        <v>435</v>
      </c>
      <c r="C70" s="135" t="s">
        <v>540</v>
      </c>
      <c r="D70" s="143" t="s">
        <v>435</v>
      </c>
      <c r="E70" s="143" t="s">
        <v>438</v>
      </c>
      <c r="F70" s="143"/>
      <c r="G70" s="135" t="s">
        <v>227</v>
      </c>
      <c r="H70" s="143"/>
      <c r="I70" s="143" t="s">
        <v>436</v>
      </c>
      <c r="J70" s="145" t="s">
        <v>437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>
      <c r="A71" s="144" t="s">
        <v>541</v>
      </c>
      <c r="B71" s="135" t="s">
        <v>542</v>
      </c>
      <c r="C71" s="135" t="s">
        <v>543</v>
      </c>
      <c r="D71" s="143" t="s">
        <v>544</v>
      </c>
      <c r="E71" s="143" t="s">
        <v>438</v>
      </c>
      <c r="F71" s="143" t="s">
        <v>435</v>
      </c>
      <c r="G71" s="135" t="s">
        <v>218</v>
      </c>
      <c r="H71" s="143"/>
      <c r="I71" s="143" t="s">
        <v>436</v>
      </c>
      <c r="J71" s="145" t="s">
        <v>437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>
      <c r="A72" s="144" t="s">
        <v>307</v>
      </c>
      <c r="B72" s="143" t="s">
        <v>435</v>
      </c>
      <c r="C72" s="135" t="s">
        <v>545</v>
      </c>
      <c r="D72" s="143" t="s">
        <v>435</v>
      </c>
      <c r="E72" s="143" t="s">
        <v>438</v>
      </c>
      <c r="F72" s="143" t="s">
        <v>435</v>
      </c>
      <c r="G72" s="143" t="s">
        <v>227</v>
      </c>
      <c r="H72" s="143"/>
      <c r="I72" s="143" t="s">
        <v>436</v>
      </c>
      <c r="J72" s="145" t="s">
        <v>437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>
      <c r="A73" s="142" t="s">
        <v>546</v>
      </c>
      <c r="B73" s="143" t="s">
        <v>435</v>
      </c>
      <c r="C73" s="135" t="s">
        <v>547</v>
      </c>
      <c r="D73" s="143" t="s">
        <v>435</v>
      </c>
      <c r="E73" s="143" t="s">
        <v>438</v>
      </c>
      <c r="F73" s="143" t="s">
        <v>435</v>
      </c>
      <c r="G73" s="143" t="s">
        <v>227</v>
      </c>
      <c r="H73" s="143"/>
      <c r="I73" s="143" t="s">
        <v>436</v>
      </c>
      <c r="J73" s="145" t="s">
        <v>437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>
      <c r="A74" s="144" t="s">
        <v>548</v>
      </c>
      <c r="B74" s="143" t="s">
        <v>435</v>
      </c>
      <c r="C74" s="135" t="s">
        <v>549</v>
      </c>
      <c r="D74" s="143" t="s">
        <v>435</v>
      </c>
      <c r="E74" s="143" t="s">
        <v>438</v>
      </c>
      <c r="F74" s="143" t="s">
        <v>435</v>
      </c>
      <c r="G74" s="143" t="s">
        <v>227</v>
      </c>
      <c r="H74" s="143"/>
      <c r="I74" s="143" t="s">
        <v>436</v>
      </c>
      <c r="J74" s="145" t="s">
        <v>437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>
      <c r="A75" s="144" t="s">
        <v>550</v>
      </c>
      <c r="B75" s="143" t="s">
        <v>435</v>
      </c>
      <c r="C75" s="135" t="s">
        <v>551</v>
      </c>
      <c r="D75" s="143" t="s">
        <v>552</v>
      </c>
      <c r="E75" s="143" t="s">
        <v>449</v>
      </c>
      <c r="F75" s="143" t="s">
        <v>435</v>
      </c>
      <c r="G75" s="135" t="s">
        <v>227</v>
      </c>
      <c r="H75" s="143"/>
      <c r="I75" s="143" t="s">
        <v>436</v>
      </c>
      <c r="J75" s="145" t="s">
        <v>437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>
      <c r="A76" s="153" t="s">
        <v>140</v>
      </c>
      <c r="B76" s="135" t="s">
        <v>553</v>
      </c>
      <c r="C76" s="135" t="s">
        <v>554</v>
      </c>
      <c r="D76" s="135" t="s">
        <v>555</v>
      </c>
      <c r="E76" s="143" t="s">
        <v>438</v>
      </c>
      <c r="F76" s="143"/>
      <c r="G76" s="143" t="s">
        <v>218</v>
      </c>
      <c r="H76" s="143"/>
      <c r="I76" s="143" t="s">
        <v>436</v>
      </c>
      <c r="J76" s="145" t="s">
        <v>437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>
      <c r="A77" s="156" t="s">
        <v>309</v>
      </c>
      <c r="B77" s="143" t="s">
        <v>435</v>
      </c>
      <c r="C77" s="135" t="s">
        <v>556</v>
      </c>
      <c r="D77" s="143" t="s">
        <v>435</v>
      </c>
      <c r="E77" s="143" t="s">
        <v>438</v>
      </c>
      <c r="F77" s="143" t="s">
        <v>435</v>
      </c>
      <c r="G77" s="135" t="s">
        <v>227</v>
      </c>
      <c r="H77" s="143"/>
      <c r="I77" s="143" t="s">
        <v>436</v>
      </c>
      <c r="J77" s="145" t="s">
        <v>437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>
      <c r="A78" s="142" t="s">
        <v>310</v>
      </c>
      <c r="B78" s="143" t="s">
        <v>435</v>
      </c>
      <c r="C78" s="135" t="s">
        <v>557</v>
      </c>
      <c r="D78" s="143" t="s">
        <v>435</v>
      </c>
      <c r="E78" s="143" t="s">
        <v>438</v>
      </c>
      <c r="F78" s="143" t="s">
        <v>435</v>
      </c>
      <c r="G78" s="143" t="s">
        <v>227</v>
      </c>
      <c r="H78" s="143"/>
      <c r="I78" s="143" t="s">
        <v>436</v>
      </c>
      <c r="J78" s="145" t="s">
        <v>437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>
      <c r="A79" s="144" t="s">
        <v>312</v>
      </c>
      <c r="B79" s="143" t="s">
        <v>435</v>
      </c>
      <c r="C79" s="135" t="s">
        <v>558</v>
      </c>
      <c r="D79" s="143" t="s">
        <v>435</v>
      </c>
      <c r="E79" s="143" t="s">
        <v>435</v>
      </c>
      <c r="F79" s="143" t="s">
        <v>435</v>
      </c>
      <c r="G79" s="143" t="s">
        <v>227</v>
      </c>
      <c r="H79" s="143"/>
      <c r="I79" s="143" t="s">
        <v>436</v>
      </c>
      <c r="J79" s="145" t="s">
        <v>437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>
      <c r="A80" s="144" t="s">
        <v>311</v>
      </c>
      <c r="B80" s="143" t="s">
        <v>435</v>
      </c>
      <c r="C80" s="135" t="s">
        <v>559</v>
      </c>
      <c r="D80" s="158" t="s">
        <v>435</v>
      </c>
      <c r="E80" s="158" t="s">
        <v>435</v>
      </c>
      <c r="F80" s="143" t="s">
        <v>435</v>
      </c>
      <c r="G80" s="143" t="s">
        <v>227</v>
      </c>
      <c r="H80" s="143"/>
      <c r="I80" s="143" t="s">
        <v>436</v>
      </c>
      <c r="J80" s="145" t="s">
        <v>437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>
      <c r="A81" s="144" t="s">
        <v>167</v>
      </c>
      <c r="B81" s="135" t="s">
        <v>560</v>
      </c>
      <c r="C81" s="135" t="s">
        <v>561</v>
      </c>
      <c r="D81" s="158" t="s">
        <v>526</v>
      </c>
      <c r="E81" s="158" t="s">
        <v>438</v>
      </c>
      <c r="F81" s="143" t="s">
        <v>435</v>
      </c>
      <c r="G81" s="143" t="s">
        <v>227</v>
      </c>
      <c r="H81" s="146">
        <v>45666.0</v>
      </c>
      <c r="I81" s="143" t="s">
        <v>436</v>
      </c>
      <c r="J81" s="145" t="s">
        <v>437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>
      <c r="A82" s="144" t="s">
        <v>562</v>
      </c>
      <c r="B82" s="143" t="s">
        <v>435</v>
      </c>
      <c r="C82" s="135" t="s">
        <v>563</v>
      </c>
      <c r="D82" s="158" t="s">
        <v>435</v>
      </c>
      <c r="E82" s="158" t="s">
        <v>435</v>
      </c>
      <c r="F82" s="143" t="s">
        <v>435</v>
      </c>
      <c r="G82" s="143" t="s">
        <v>227</v>
      </c>
      <c r="H82" s="143"/>
      <c r="I82" s="143" t="s">
        <v>436</v>
      </c>
      <c r="J82" s="145" t="s">
        <v>437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>
      <c r="A83" s="144" t="s">
        <v>365</v>
      </c>
      <c r="B83" s="143" t="s">
        <v>435</v>
      </c>
      <c r="C83" s="135" t="s">
        <v>564</v>
      </c>
      <c r="D83" s="143" t="s">
        <v>435</v>
      </c>
      <c r="E83" s="143" t="s">
        <v>435</v>
      </c>
      <c r="F83" s="143" t="s">
        <v>435</v>
      </c>
      <c r="G83" s="143" t="s">
        <v>227</v>
      </c>
      <c r="H83" s="143"/>
      <c r="I83" s="143" t="s">
        <v>436</v>
      </c>
      <c r="J83" s="145" t="s">
        <v>437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>
      <c r="A84" s="142" t="s">
        <v>565</v>
      </c>
      <c r="B84" s="143" t="s">
        <v>435</v>
      </c>
      <c r="C84" s="135" t="s">
        <v>566</v>
      </c>
      <c r="D84" s="143" t="s">
        <v>435</v>
      </c>
      <c r="E84" s="143" t="s">
        <v>435</v>
      </c>
      <c r="F84" s="143" t="s">
        <v>435</v>
      </c>
      <c r="G84" s="143" t="s">
        <v>227</v>
      </c>
      <c r="H84" s="143"/>
      <c r="I84" s="143" t="s">
        <v>436</v>
      </c>
      <c r="J84" s="145" t="s">
        <v>437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>
      <c r="A85" s="159" t="s">
        <v>313</v>
      </c>
      <c r="B85" s="143" t="s">
        <v>435</v>
      </c>
      <c r="C85" s="135" t="s">
        <v>567</v>
      </c>
      <c r="D85" s="135" t="s">
        <v>568</v>
      </c>
      <c r="E85" s="143" t="s">
        <v>438</v>
      </c>
      <c r="F85" s="143"/>
      <c r="G85" s="143" t="s">
        <v>218</v>
      </c>
      <c r="H85" s="143"/>
      <c r="I85" s="143" t="s">
        <v>436</v>
      </c>
      <c r="J85" s="145" t="s">
        <v>437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>
      <c r="A86" s="144" t="s">
        <v>569</v>
      </c>
      <c r="B86" s="143" t="s">
        <v>435</v>
      </c>
      <c r="C86" s="135" t="s">
        <v>570</v>
      </c>
      <c r="D86" s="143" t="s">
        <v>571</v>
      </c>
      <c r="E86" s="143" t="s">
        <v>438</v>
      </c>
      <c r="F86" s="143" t="s">
        <v>435</v>
      </c>
      <c r="G86" s="135" t="s">
        <v>227</v>
      </c>
      <c r="H86" s="143"/>
      <c r="I86" s="143" t="s">
        <v>436</v>
      </c>
      <c r="J86" s="145" t="s">
        <v>437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>
      <c r="A87" s="144" t="s">
        <v>572</v>
      </c>
      <c r="B87" s="143" t="s">
        <v>435</v>
      </c>
      <c r="C87" s="135" t="s">
        <v>573</v>
      </c>
      <c r="D87" s="143" t="s">
        <v>574</v>
      </c>
      <c r="E87" s="143" t="s">
        <v>435</v>
      </c>
      <c r="F87" s="143" t="s">
        <v>435</v>
      </c>
      <c r="G87" s="143" t="s">
        <v>227</v>
      </c>
      <c r="H87" s="143"/>
      <c r="I87" s="143" t="s">
        <v>436</v>
      </c>
      <c r="J87" s="145" t="s">
        <v>437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>
      <c r="A88" s="144" t="s">
        <v>575</v>
      </c>
      <c r="B88" s="143" t="s">
        <v>435</v>
      </c>
      <c r="C88" s="135" t="s">
        <v>576</v>
      </c>
      <c r="D88" s="143" t="s">
        <v>435</v>
      </c>
      <c r="E88" s="143" t="s">
        <v>435</v>
      </c>
      <c r="F88" s="143" t="s">
        <v>435</v>
      </c>
      <c r="G88" s="143" t="s">
        <v>227</v>
      </c>
      <c r="H88" s="143"/>
      <c r="I88" s="143" t="s">
        <v>436</v>
      </c>
      <c r="J88" s="145" t="s">
        <v>437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>
      <c r="A89" s="144" t="s">
        <v>577</v>
      </c>
      <c r="B89" s="143" t="s">
        <v>435</v>
      </c>
      <c r="C89" s="135" t="s">
        <v>578</v>
      </c>
      <c r="D89" s="143" t="s">
        <v>435</v>
      </c>
      <c r="E89" s="143" t="s">
        <v>438</v>
      </c>
      <c r="F89" s="143" t="s">
        <v>435</v>
      </c>
      <c r="G89" s="143" t="s">
        <v>227</v>
      </c>
      <c r="H89" s="143"/>
      <c r="I89" s="143" t="s">
        <v>436</v>
      </c>
      <c r="J89" s="145" t="s">
        <v>437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>
      <c r="A90" s="144" t="s">
        <v>319</v>
      </c>
      <c r="B90" s="143" t="s">
        <v>435</v>
      </c>
      <c r="C90" s="135" t="s">
        <v>579</v>
      </c>
      <c r="D90" s="135" t="s">
        <v>580</v>
      </c>
      <c r="E90" s="143" t="s">
        <v>435</v>
      </c>
      <c r="F90" s="143" t="s">
        <v>435</v>
      </c>
      <c r="G90" s="143" t="s">
        <v>227</v>
      </c>
      <c r="H90" s="143"/>
      <c r="I90" s="143" t="s">
        <v>436</v>
      </c>
      <c r="J90" s="145" t="s">
        <v>437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>
      <c r="A91" s="156" t="s">
        <v>321</v>
      </c>
      <c r="B91" s="143" t="s">
        <v>435</v>
      </c>
      <c r="C91" s="135" t="s">
        <v>581</v>
      </c>
      <c r="D91" s="135" t="s">
        <v>582</v>
      </c>
      <c r="E91" s="143" t="s">
        <v>438</v>
      </c>
      <c r="F91" s="143" t="s">
        <v>435</v>
      </c>
      <c r="G91" s="143" t="s">
        <v>227</v>
      </c>
      <c r="H91" s="143"/>
      <c r="I91" s="143" t="s">
        <v>436</v>
      </c>
      <c r="J91" s="145" t="s">
        <v>437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>
      <c r="A92" s="144" t="s">
        <v>583</v>
      </c>
      <c r="B92" s="143" t="s">
        <v>435</v>
      </c>
      <c r="C92" s="135" t="s">
        <v>584</v>
      </c>
      <c r="D92" s="143" t="s">
        <v>435</v>
      </c>
      <c r="E92" s="143" t="s">
        <v>438</v>
      </c>
      <c r="F92" s="143" t="s">
        <v>435</v>
      </c>
      <c r="G92" s="143" t="s">
        <v>227</v>
      </c>
      <c r="H92" s="143"/>
      <c r="I92" s="143" t="s">
        <v>436</v>
      </c>
      <c r="J92" s="145" t="s">
        <v>437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>
      <c r="A93" s="144" t="s">
        <v>322</v>
      </c>
      <c r="B93" s="143" t="s">
        <v>435</v>
      </c>
      <c r="C93" s="135" t="s">
        <v>585</v>
      </c>
      <c r="D93" s="135" t="s">
        <v>586</v>
      </c>
      <c r="E93" s="143" t="s">
        <v>438</v>
      </c>
      <c r="F93" s="143" t="s">
        <v>435</v>
      </c>
      <c r="G93" s="143" t="s">
        <v>227</v>
      </c>
      <c r="H93" s="143" t="s">
        <v>435</v>
      </c>
      <c r="I93" s="143" t="s">
        <v>436</v>
      </c>
      <c r="J93" s="145" t="s">
        <v>437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>
      <c r="A94" s="160" t="s">
        <v>587</v>
      </c>
      <c r="B94" s="143" t="s">
        <v>435</v>
      </c>
      <c r="C94" s="135" t="s">
        <v>588</v>
      </c>
      <c r="D94" s="143" t="s">
        <v>435</v>
      </c>
      <c r="E94" s="143" t="s">
        <v>438</v>
      </c>
      <c r="F94" s="143"/>
      <c r="G94" s="143" t="s">
        <v>227</v>
      </c>
      <c r="H94" s="143"/>
      <c r="I94" s="143" t="s">
        <v>436</v>
      </c>
      <c r="J94" s="145" t="s">
        <v>437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>
      <c r="A95" s="142" t="s">
        <v>589</v>
      </c>
      <c r="B95" s="143" t="s">
        <v>435</v>
      </c>
      <c r="C95" s="135" t="s">
        <v>590</v>
      </c>
      <c r="D95" s="143" t="s">
        <v>435</v>
      </c>
      <c r="E95" s="143" t="s">
        <v>438</v>
      </c>
      <c r="F95" s="143" t="s">
        <v>435</v>
      </c>
      <c r="G95" s="143" t="s">
        <v>227</v>
      </c>
      <c r="H95" s="143"/>
      <c r="I95" s="143" t="s">
        <v>436</v>
      </c>
      <c r="J95" s="145" t="s">
        <v>437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>
      <c r="A96" s="142" t="s">
        <v>591</v>
      </c>
      <c r="B96" s="143" t="s">
        <v>435</v>
      </c>
      <c r="C96" s="135" t="s">
        <v>592</v>
      </c>
      <c r="D96" s="135" t="s">
        <v>593</v>
      </c>
      <c r="E96" s="143" t="s">
        <v>449</v>
      </c>
      <c r="F96" s="135" t="s">
        <v>594</v>
      </c>
      <c r="G96" s="143" t="s">
        <v>218</v>
      </c>
      <c r="H96" s="143"/>
      <c r="I96" s="143" t="s">
        <v>436</v>
      </c>
      <c r="J96" s="145" t="s">
        <v>437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>
      <c r="A97" s="144" t="s">
        <v>595</v>
      </c>
      <c r="B97" s="143" t="s">
        <v>435</v>
      </c>
      <c r="C97" s="143" t="s">
        <v>435</v>
      </c>
      <c r="D97" s="143" t="s">
        <v>435</v>
      </c>
      <c r="E97" s="143" t="s">
        <v>435</v>
      </c>
      <c r="F97" s="143" t="s">
        <v>435</v>
      </c>
      <c r="G97" s="143" t="s">
        <v>227</v>
      </c>
      <c r="H97" s="143"/>
      <c r="I97" s="143" t="s">
        <v>451</v>
      </c>
      <c r="J97" s="145" t="s">
        <v>437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>
      <c r="A98" s="144" t="s">
        <v>596</v>
      </c>
      <c r="B98" s="143" t="s">
        <v>435</v>
      </c>
      <c r="C98" s="135" t="s">
        <v>597</v>
      </c>
      <c r="D98" s="143" t="s">
        <v>435</v>
      </c>
      <c r="E98" s="143" t="s">
        <v>435</v>
      </c>
      <c r="F98" s="143" t="s">
        <v>435</v>
      </c>
      <c r="G98" s="143" t="s">
        <v>227</v>
      </c>
      <c r="H98" s="143"/>
      <c r="I98" s="143" t="s">
        <v>436</v>
      </c>
      <c r="J98" s="145" t="s">
        <v>437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>
      <c r="A99" s="142" t="s">
        <v>598</v>
      </c>
      <c r="B99" s="143" t="s">
        <v>435</v>
      </c>
      <c r="C99" s="135">
        <v>9.84542968E8</v>
      </c>
      <c r="D99" s="143" t="s">
        <v>435</v>
      </c>
      <c r="E99" s="143" t="s">
        <v>438</v>
      </c>
      <c r="F99" s="143" t="s">
        <v>435</v>
      </c>
      <c r="G99" s="143" t="s">
        <v>227</v>
      </c>
      <c r="H99" s="143"/>
      <c r="I99" s="143" t="s">
        <v>436</v>
      </c>
      <c r="J99" s="145" t="s">
        <v>437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>
      <c r="A100" s="144" t="s">
        <v>327</v>
      </c>
      <c r="B100" s="135" t="s">
        <v>599</v>
      </c>
      <c r="C100" s="135" t="s">
        <v>600</v>
      </c>
      <c r="D100" s="143" t="s">
        <v>526</v>
      </c>
      <c r="E100" s="143" t="s">
        <v>438</v>
      </c>
      <c r="F100" s="143" t="s">
        <v>441</v>
      </c>
      <c r="G100" s="143" t="s">
        <v>218</v>
      </c>
      <c r="H100" s="143"/>
      <c r="I100" s="143" t="s">
        <v>436</v>
      </c>
      <c r="J100" s="145" t="s">
        <v>437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>
      <c r="A101" s="142" t="s">
        <v>601</v>
      </c>
      <c r="B101" s="143" t="s">
        <v>435</v>
      </c>
      <c r="C101" s="135" t="s">
        <v>602</v>
      </c>
      <c r="D101" s="143" t="s">
        <v>435</v>
      </c>
      <c r="E101" s="143" t="s">
        <v>438</v>
      </c>
      <c r="F101" s="143" t="s">
        <v>447</v>
      </c>
      <c r="G101" s="135" t="s">
        <v>227</v>
      </c>
      <c r="H101" s="143"/>
      <c r="I101" s="143" t="s">
        <v>436</v>
      </c>
      <c r="J101" s="145" t="s">
        <v>437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>
      <c r="A102" s="144" t="s">
        <v>603</v>
      </c>
      <c r="B102" s="143" t="s">
        <v>435</v>
      </c>
      <c r="C102" s="135" t="s">
        <v>604</v>
      </c>
      <c r="D102" s="144" t="s">
        <v>435</v>
      </c>
      <c r="E102" s="143" t="s">
        <v>438</v>
      </c>
      <c r="F102" s="143"/>
      <c r="G102" s="143" t="s">
        <v>227</v>
      </c>
      <c r="H102" s="143"/>
      <c r="I102" s="143" t="s">
        <v>436</v>
      </c>
      <c r="J102" s="145" t="s">
        <v>437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>
      <c r="A103" s="144" t="s">
        <v>328</v>
      </c>
      <c r="B103" s="143" t="s">
        <v>435</v>
      </c>
      <c r="C103" s="135" t="s">
        <v>605</v>
      </c>
      <c r="D103" s="143" t="s">
        <v>435</v>
      </c>
      <c r="E103" s="143" t="s">
        <v>435</v>
      </c>
      <c r="F103" s="143" t="s">
        <v>435</v>
      </c>
      <c r="G103" s="143" t="s">
        <v>227</v>
      </c>
      <c r="H103" s="143"/>
      <c r="I103" s="143" t="s">
        <v>436</v>
      </c>
      <c r="J103" s="145" t="s">
        <v>437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>
      <c r="A104" s="144" t="s">
        <v>330</v>
      </c>
      <c r="B104" s="143" t="s">
        <v>435</v>
      </c>
      <c r="C104" s="135" t="s">
        <v>606</v>
      </c>
      <c r="D104" s="143" t="s">
        <v>435</v>
      </c>
      <c r="E104" s="143" t="s">
        <v>435</v>
      </c>
      <c r="F104" s="143" t="s">
        <v>435</v>
      </c>
      <c r="G104" s="143" t="s">
        <v>227</v>
      </c>
      <c r="H104" s="143"/>
      <c r="I104" s="143" t="s">
        <v>436</v>
      </c>
      <c r="J104" s="145" t="s">
        <v>437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>
      <c r="A105" s="156" t="s">
        <v>607</v>
      </c>
      <c r="B105" s="143" t="s">
        <v>435</v>
      </c>
      <c r="C105" s="135" t="s">
        <v>608</v>
      </c>
      <c r="D105" s="144" t="s">
        <v>435</v>
      </c>
      <c r="E105" s="143" t="s">
        <v>449</v>
      </c>
      <c r="F105" s="143"/>
      <c r="G105" s="143" t="s">
        <v>227</v>
      </c>
      <c r="H105" s="143"/>
      <c r="I105" s="143" t="s">
        <v>436</v>
      </c>
      <c r="J105" s="145" t="s">
        <v>437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>
      <c r="A106" s="144" t="s">
        <v>609</v>
      </c>
      <c r="B106" s="143" t="s">
        <v>435</v>
      </c>
      <c r="C106" s="135" t="s">
        <v>610</v>
      </c>
      <c r="D106" s="144" t="s">
        <v>435</v>
      </c>
      <c r="E106" s="143" t="s">
        <v>438</v>
      </c>
      <c r="F106" s="143" t="s">
        <v>435</v>
      </c>
      <c r="G106" s="143" t="s">
        <v>227</v>
      </c>
      <c r="H106" s="143" t="s">
        <v>435</v>
      </c>
      <c r="I106" s="143" t="s">
        <v>436</v>
      </c>
      <c r="J106" s="145" t="s">
        <v>437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>
      <c r="A107" s="144" t="s">
        <v>17</v>
      </c>
      <c r="B107" s="143" t="s">
        <v>435</v>
      </c>
      <c r="C107" s="135" t="s">
        <v>611</v>
      </c>
      <c r="D107" s="144" t="s">
        <v>435</v>
      </c>
      <c r="E107" s="143" t="s">
        <v>435</v>
      </c>
      <c r="F107" s="143" t="s">
        <v>435</v>
      </c>
      <c r="G107" s="143" t="s">
        <v>227</v>
      </c>
      <c r="H107" s="143"/>
      <c r="I107" s="143" t="s">
        <v>436</v>
      </c>
      <c r="J107" s="145" t="s">
        <v>437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>
      <c r="A108" s="142" t="s">
        <v>612</v>
      </c>
      <c r="B108" s="143" t="s">
        <v>435</v>
      </c>
      <c r="C108" s="135" t="s">
        <v>613</v>
      </c>
      <c r="D108" s="142" t="s">
        <v>614</v>
      </c>
      <c r="E108" s="143" t="s">
        <v>438</v>
      </c>
      <c r="F108" s="143" t="s">
        <v>435</v>
      </c>
      <c r="G108" s="135" t="s">
        <v>227</v>
      </c>
      <c r="H108" s="143"/>
      <c r="I108" s="143" t="s">
        <v>436</v>
      </c>
      <c r="J108" s="145" t="s">
        <v>437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>
      <c r="A109" s="144" t="s">
        <v>615</v>
      </c>
      <c r="B109" s="143" t="s">
        <v>435</v>
      </c>
      <c r="C109" s="135" t="s">
        <v>616</v>
      </c>
      <c r="D109" s="158" t="s">
        <v>617</v>
      </c>
      <c r="E109" s="143" t="s">
        <v>435</v>
      </c>
      <c r="F109" s="143" t="s">
        <v>435</v>
      </c>
      <c r="G109" s="143" t="s">
        <v>227</v>
      </c>
      <c r="H109" s="143"/>
      <c r="I109" s="143" t="s">
        <v>436</v>
      </c>
      <c r="J109" s="145" t="s">
        <v>437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>
      <c r="A110" s="135" t="s">
        <v>618</v>
      </c>
      <c r="B110" s="143" t="s">
        <v>435</v>
      </c>
      <c r="C110" s="135" t="s">
        <v>619</v>
      </c>
      <c r="D110" s="143" t="s">
        <v>435</v>
      </c>
      <c r="E110" s="143" t="s">
        <v>438</v>
      </c>
      <c r="F110" s="143" t="s">
        <v>435</v>
      </c>
      <c r="G110" s="143" t="s">
        <v>227</v>
      </c>
      <c r="H110" s="143"/>
      <c r="I110" s="143" t="s">
        <v>436</v>
      </c>
      <c r="J110" s="145" t="s">
        <v>437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>
      <c r="A111" s="161" t="s">
        <v>164</v>
      </c>
      <c r="B111" s="135" t="s">
        <v>620</v>
      </c>
      <c r="C111" s="135" t="s">
        <v>621</v>
      </c>
      <c r="D111" s="143" t="s">
        <v>526</v>
      </c>
      <c r="E111" s="143" t="s">
        <v>438</v>
      </c>
      <c r="F111" s="143" t="s">
        <v>435</v>
      </c>
      <c r="G111" s="143" t="s">
        <v>227</v>
      </c>
      <c r="H111" s="146">
        <v>45666.0</v>
      </c>
      <c r="I111" s="143" t="s">
        <v>436</v>
      </c>
      <c r="J111" s="145" t="s">
        <v>437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>
      <c r="A112" s="135" t="s">
        <v>622</v>
      </c>
      <c r="B112" s="143" t="s">
        <v>435</v>
      </c>
      <c r="C112" s="135" t="s">
        <v>230</v>
      </c>
      <c r="D112" s="143" t="s">
        <v>435</v>
      </c>
      <c r="E112" s="143" t="s">
        <v>435</v>
      </c>
      <c r="F112" s="143" t="s">
        <v>435</v>
      </c>
      <c r="G112" s="143" t="s">
        <v>227</v>
      </c>
      <c r="H112" s="143"/>
      <c r="I112" s="143" t="s">
        <v>436</v>
      </c>
      <c r="J112" s="145" t="s">
        <v>437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>
      <c r="A113" s="143" t="s">
        <v>229</v>
      </c>
      <c r="B113" s="143" t="s">
        <v>435</v>
      </c>
      <c r="C113" s="135" t="s">
        <v>230</v>
      </c>
      <c r="D113" s="143" t="s">
        <v>435</v>
      </c>
      <c r="E113" s="143" t="s">
        <v>438</v>
      </c>
      <c r="F113" s="143" t="s">
        <v>435</v>
      </c>
      <c r="G113" s="143" t="s">
        <v>227</v>
      </c>
      <c r="H113" s="143"/>
      <c r="I113" s="143" t="s">
        <v>436</v>
      </c>
      <c r="J113" s="145" t="s">
        <v>437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>
      <c r="A114" s="143" t="s">
        <v>623</v>
      </c>
      <c r="B114" s="143" t="s">
        <v>435</v>
      </c>
      <c r="C114" s="143"/>
      <c r="D114" s="143" t="s">
        <v>467</v>
      </c>
      <c r="E114" s="143" t="s">
        <v>449</v>
      </c>
      <c r="F114" s="143" t="s">
        <v>435</v>
      </c>
      <c r="G114" s="143" t="s">
        <v>227</v>
      </c>
      <c r="H114" s="162">
        <v>45277.0</v>
      </c>
      <c r="I114" s="143" t="s">
        <v>436</v>
      </c>
      <c r="J114" s="145" t="s">
        <v>437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>
      <c r="A115" s="143" t="s">
        <v>624</v>
      </c>
      <c r="B115" s="143" t="s">
        <v>435</v>
      </c>
      <c r="C115" s="135" t="s">
        <v>625</v>
      </c>
      <c r="D115" s="143" t="s">
        <v>626</v>
      </c>
      <c r="E115" s="143" t="s">
        <v>449</v>
      </c>
      <c r="F115" s="143" t="s">
        <v>435</v>
      </c>
      <c r="G115" s="143" t="s">
        <v>218</v>
      </c>
      <c r="H115" s="143" t="s">
        <v>435</v>
      </c>
      <c r="I115" s="143" t="s">
        <v>436</v>
      </c>
      <c r="J115" s="145" t="s">
        <v>437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>
      <c r="A116" s="143" t="s">
        <v>627</v>
      </c>
      <c r="B116" s="143" t="s">
        <v>628</v>
      </c>
      <c r="C116" s="135" t="s">
        <v>629</v>
      </c>
      <c r="D116" s="143" t="s">
        <v>435</v>
      </c>
      <c r="E116" s="143" t="s">
        <v>438</v>
      </c>
      <c r="F116" s="143"/>
      <c r="G116" s="143" t="s">
        <v>218</v>
      </c>
      <c r="H116" s="143"/>
      <c r="I116" s="143" t="s">
        <v>436</v>
      </c>
      <c r="J116" s="145" t="s">
        <v>437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>
      <c r="A117" s="136" t="s">
        <v>335</v>
      </c>
      <c r="B117" s="135" t="s">
        <v>630</v>
      </c>
      <c r="C117" s="135" t="s">
        <v>631</v>
      </c>
      <c r="D117" s="135" t="s">
        <v>490</v>
      </c>
      <c r="E117" s="143" t="s">
        <v>438</v>
      </c>
      <c r="F117" s="143"/>
      <c r="G117" s="143" t="s">
        <v>218</v>
      </c>
      <c r="H117" s="143"/>
      <c r="I117" s="143" t="s">
        <v>436</v>
      </c>
      <c r="J117" s="145" t="s">
        <v>437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>
      <c r="A118" s="161" t="s">
        <v>340</v>
      </c>
      <c r="B118" s="143" t="s">
        <v>435</v>
      </c>
      <c r="C118" s="135" t="s">
        <v>632</v>
      </c>
      <c r="D118" s="143" t="s">
        <v>435</v>
      </c>
      <c r="E118" s="143" t="s">
        <v>438</v>
      </c>
      <c r="F118" s="143" t="s">
        <v>435</v>
      </c>
      <c r="G118" s="143" t="s">
        <v>227</v>
      </c>
      <c r="H118" s="143"/>
      <c r="I118" s="143" t="s">
        <v>436</v>
      </c>
      <c r="J118" s="145" t="s">
        <v>437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>
      <c r="A119" s="135" t="s">
        <v>633</v>
      </c>
      <c r="B119" s="143" t="s">
        <v>435</v>
      </c>
      <c r="C119" s="135" t="s">
        <v>634</v>
      </c>
      <c r="D119" s="143" t="s">
        <v>635</v>
      </c>
      <c r="E119" s="143" t="s">
        <v>438</v>
      </c>
      <c r="F119" s="143" t="s">
        <v>435</v>
      </c>
      <c r="G119" s="143" t="s">
        <v>227</v>
      </c>
      <c r="H119" s="143"/>
      <c r="I119" s="143" t="s">
        <v>436</v>
      </c>
      <c r="J119" s="145" t="s">
        <v>437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>
      <c r="A120" s="143" t="s">
        <v>191</v>
      </c>
      <c r="B120" s="143" t="s">
        <v>636</v>
      </c>
      <c r="C120" s="135" t="s">
        <v>637</v>
      </c>
      <c r="D120" s="143" t="s">
        <v>435</v>
      </c>
      <c r="E120" s="143" t="s">
        <v>438</v>
      </c>
      <c r="F120" s="143" t="s">
        <v>441</v>
      </c>
      <c r="G120" s="143" t="s">
        <v>218</v>
      </c>
      <c r="H120" s="143"/>
      <c r="I120" s="143" t="s">
        <v>436</v>
      </c>
      <c r="J120" s="145" t="s">
        <v>437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>
      <c r="A121" s="143" t="s">
        <v>638</v>
      </c>
      <c r="B121" s="143" t="s">
        <v>435</v>
      </c>
      <c r="C121" s="135" t="s">
        <v>639</v>
      </c>
      <c r="D121" s="143" t="s">
        <v>435</v>
      </c>
      <c r="E121" s="143" t="s">
        <v>435</v>
      </c>
      <c r="F121" s="143" t="s">
        <v>435</v>
      </c>
      <c r="G121" s="143" t="s">
        <v>227</v>
      </c>
      <c r="H121" s="143"/>
      <c r="I121" s="143" t="s">
        <v>436</v>
      </c>
      <c r="J121" s="145" t="s">
        <v>437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>
      <c r="A122" s="135" t="s">
        <v>179</v>
      </c>
      <c r="B122" s="135" t="s">
        <v>458</v>
      </c>
      <c r="C122" s="135" t="s">
        <v>640</v>
      </c>
      <c r="D122" s="135" t="s">
        <v>641</v>
      </c>
      <c r="E122" s="143" t="s">
        <v>438</v>
      </c>
      <c r="F122" s="135" t="s">
        <v>447</v>
      </c>
      <c r="G122" s="143" t="s">
        <v>218</v>
      </c>
      <c r="H122" s="143"/>
      <c r="I122" s="143" t="s">
        <v>436</v>
      </c>
      <c r="J122" s="145" t="s">
        <v>437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>
      <c r="A123" s="143" t="s">
        <v>642</v>
      </c>
      <c r="B123" s="143" t="s">
        <v>435</v>
      </c>
      <c r="C123" s="135" t="s">
        <v>643</v>
      </c>
      <c r="D123" s="143" t="s">
        <v>644</v>
      </c>
      <c r="E123" s="143" t="s">
        <v>435</v>
      </c>
      <c r="F123" s="143" t="s">
        <v>435</v>
      </c>
      <c r="G123" s="143" t="s">
        <v>227</v>
      </c>
      <c r="H123" s="143"/>
      <c r="I123" s="143" t="s">
        <v>436</v>
      </c>
      <c r="J123" s="145" t="s">
        <v>437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>
      <c r="A124" s="143" t="s">
        <v>345</v>
      </c>
      <c r="B124" s="143" t="s">
        <v>645</v>
      </c>
      <c r="C124" s="135" t="s">
        <v>646</v>
      </c>
      <c r="D124" s="143" t="s">
        <v>526</v>
      </c>
      <c r="E124" s="143" t="s">
        <v>438</v>
      </c>
      <c r="F124" s="143" t="s">
        <v>435</v>
      </c>
      <c r="G124" s="143" t="s">
        <v>218</v>
      </c>
      <c r="H124" s="147"/>
      <c r="I124" s="143" t="s">
        <v>436</v>
      </c>
      <c r="J124" s="145" t="s">
        <v>437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>
      <c r="A125" s="143" t="s">
        <v>647</v>
      </c>
      <c r="B125" s="143" t="s">
        <v>648</v>
      </c>
      <c r="C125" s="135" t="s">
        <v>649</v>
      </c>
      <c r="D125" s="143" t="s">
        <v>435</v>
      </c>
      <c r="E125" s="143" t="s">
        <v>438</v>
      </c>
      <c r="F125" s="143" t="s">
        <v>441</v>
      </c>
      <c r="G125" s="143" t="s">
        <v>218</v>
      </c>
      <c r="H125" s="143"/>
      <c r="I125" s="143" t="s">
        <v>436</v>
      </c>
      <c r="J125" s="145" t="s">
        <v>437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>
      <c r="A126" s="135" t="s">
        <v>650</v>
      </c>
      <c r="B126" s="143" t="s">
        <v>435</v>
      </c>
      <c r="C126" s="135">
        <v>9.85498982E8</v>
      </c>
      <c r="D126" s="143" t="s">
        <v>435</v>
      </c>
      <c r="E126" s="143" t="s">
        <v>438</v>
      </c>
      <c r="F126" s="143" t="s">
        <v>435</v>
      </c>
      <c r="G126" s="135" t="s">
        <v>227</v>
      </c>
      <c r="H126" s="143"/>
      <c r="I126" s="143" t="s">
        <v>451</v>
      </c>
      <c r="J126" s="145" t="s">
        <v>437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>
      <c r="A127" s="158" t="s">
        <v>347</v>
      </c>
      <c r="B127" s="143" t="s">
        <v>435</v>
      </c>
      <c r="C127" s="135" t="s">
        <v>551</v>
      </c>
      <c r="D127" s="143" t="s">
        <v>552</v>
      </c>
      <c r="E127" s="143" t="s">
        <v>438</v>
      </c>
      <c r="F127" s="143" t="s">
        <v>435</v>
      </c>
      <c r="G127" s="135" t="s">
        <v>227</v>
      </c>
      <c r="H127" s="143"/>
      <c r="I127" s="143" t="s">
        <v>436</v>
      </c>
      <c r="J127" s="145" t="s">
        <v>437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>
      <c r="A128" s="143" t="s">
        <v>349</v>
      </c>
      <c r="B128" s="143" t="s">
        <v>435</v>
      </c>
      <c r="C128" s="135" t="s">
        <v>651</v>
      </c>
      <c r="D128" s="143" t="s">
        <v>435</v>
      </c>
      <c r="E128" s="143" t="s">
        <v>438</v>
      </c>
      <c r="F128" s="143" t="s">
        <v>435</v>
      </c>
      <c r="G128" s="135" t="s">
        <v>227</v>
      </c>
      <c r="H128" s="143"/>
      <c r="I128" s="143" t="s">
        <v>436</v>
      </c>
      <c r="J128" s="145" t="s">
        <v>437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>
      <c r="A129" s="143" t="s">
        <v>96</v>
      </c>
      <c r="B129" s="135" t="s">
        <v>445</v>
      </c>
      <c r="C129" s="135" t="s">
        <v>652</v>
      </c>
      <c r="D129" s="143" t="s">
        <v>435</v>
      </c>
      <c r="E129" s="143" t="s">
        <v>438</v>
      </c>
      <c r="F129" s="143" t="s">
        <v>447</v>
      </c>
      <c r="G129" s="143" t="s">
        <v>218</v>
      </c>
      <c r="H129" s="143"/>
      <c r="I129" s="143" t="s">
        <v>436</v>
      </c>
      <c r="J129" s="145" t="s">
        <v>437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>
      <c r="A130" s="163" t="s">
        <v>348</v>
      </c>
      <c r="B130" s="143" t="s">
        <v>435</v>
      </c>
      <c r="C130" s="135" t="s">
        <v>653</v>
      </c>
      <c r="D130" s="143" t="s">
        <v>435</v>
      </c>
      <c r="E130" s="143" t="s">
        <v>438</v>
      </c>
      <c r="F130" s="143"/>
      <c r="G130" s="143" t="s">
        <v>227</v>
      </c>
      <c r="H130" s="143"/>
      <c r="I130" s="143" t="s">
        <v>436</v>
      </c>
      <c r="J130" s="145" t="s">
        <v>437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>
      <c r="A131" s="143" t="s">
        <v>654</v>
      </c>
      <c r="B131" s="143" t="s">
        <v>501</v>
      </c>
      <c r="C131" s="135" t="s">
        <v>655</v>
      </c>
      <c r="D131" s="143" t="s">
        <v>435</v>
      </c>
      <c r="E131" s="143" t="s">
        <v>438</v>
      </c>
      <c r="F131" s="143" t="s">
        <v>447</v>
      </c>
      <c r="G131" s="143" t="s">
        <v>218</v>
      </c>
      <c r="H131" s="143"/>
      <c r="I131" s="143" t="s">
        <v>436</v>
      </c>
      <c r="J131" s="145" t="s">
        <v>437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>
      <c r="A132" s="135" t="s">
        <v>656</v>
      </c>
      <c r="B132" s="143" t="s">
        <v>435</v>
      </c>
      <c r="C132" s="135">
        <v>9.84555736E8</v>
      </c>
      <c r="D132" s="143" t="s">
        <v>435</v>
      </c>
      <c r="E132" s="143" t="s">
        <v>438</v>
      </c>
      <c r="F132" s="143" t="s">
        <v>435</v>
      </c>
      <c r="G132" s="143" t="s">
        <v>227</v>
      </c>
      <c r="H132" s="143"/>
      <c r="I132" s="143" t="s">
        <v>436</v>
      </c>
      <c r="J132" s="145" t="s">
        <v>437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>
      <c r="A133" s="143" t="s">
        <v>352</v>
      </c>
      <c r="B133" s="143" t="s">
        <v>657</v>
      </c>
      <c r="C133" s="135" t="s">
        <v>658</v>
      </c>
      <c r="D133" s="143" t="s">
        <v>659</v>
      </c>
      <c r="E133" s="143" t="s">
        <v>438</v>
      </c>
      <c r="F133" s="143" t="s">
        <v>447</v>
      </c>
      <c r="G133" s="143" t="s">
        <v>218</v>
      </c>
      <c r="H133" s="143"/>
      <c r="I133" s="143" t="s">
        <v>451</v>
      </c>
      <c r="J133" s="145" t="s">
        <v>437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>
      <c r="A134" s="143" t="s">
        <v>182</v>
      </c>
      <c r="B134" s="143" t="s">
        <v>435</v>
      </c>
      <c r="C134" s="135" t="s">
        <v>660</v>
      </c>
      <c r="D134" s="135" t="s">
        <v>661</v>
      </c>
      <c r="E134" s="143" t="s">
        <v>449</v>
      </c>
      <c r="F134" s="143" t="s">
        <v>435</v>
      </c>
      <c r="G134" s="143" t="s">
        <v>218</v>
      </c>
      <c r="H134" s="143"/>
      <c r="I134" s="143" t="s">
        <v>436</v>
      </c>
      <c r="J134" s="145" t="s">
        <v>437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>
      <c r="A135" s="144" t="s">
        <v>662</v>
      </c>
      <c r="B135" s="143" t="s">
        <v>435</v>
      </c>
      <c r="C135" s="164" t="s">
        <v>663</v>
      </c>
      <c r="D135" s="143" t="s">
        <v>435</v>
      </c>
      <c r="E135" s="143" t="s">
        <v>438</v>
      </c>
      <c r="F135" s="143" t="s">
        <v>435</v>
      </c>
      <c r="G135" s="143" t="s">
        <v>227</v>
      </c>
      <c r="H135" s="143"/>
      <c r="I135" s="143" t="s">
        <v>451</v>
      </c>
      <c r="J135" s="145" t="s">
        <v>437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>
      <c r="A136" s="164" t="s">
        <v>664</v>
      </c>
      <c r="B136" s="143" t="s">
        <v>435</v>
      </c>
      <c r="C136" s="135" t="s">
        <v>665</v>
      </c>
      <c r="D136" s="165" t="s">
        <v>666</v>
      </c>
      <c r="E136" s="143" t="s">
        <v>449</v>
      </c>
      <c r="F136" s="143" t="s">
        <v>435</v>
      </c>
      <c r="G136" s="135" t="s">
        <v>227</v>
      </c>
      <c r="H136" s="143"/>
      <c r="I136" s="143" t="s">
        <v>436</v>
      </c>
      <c r="J136" s="145" t="s">
        <v>437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>
      <c r="A137" s="158" t="s">
        <v>667</v>
      </c>
      <c r="B137" s="143" t="s">
        <v>435</v>
      </c>
      <c r="C137" s="135" t="s">
        <v>668</v>
      </c>
      <c r="D137" s="143" t="s">
        <v>435</v>
      </c>
      <c r="E137" s="143" t="s">
        <v>435</v>
      </c>
      <c r="F137" s="143" t="s">
        <v>435</v>
      </c>
      <c r="G137" s="143" t="s">
        <v>227</v>
      </c>
      <c r="H137" s="143"/>
      <c r="I137" s="143" t="s">
        <v>436</v>
      </c>
      <c r="J137" s="145" t="s">
        <v>437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>
      <c r="A138" s="158" t="s">
        <v>194</v>
      </c>
      <c r="B138" s="143" t="s">
        <v>435</v>
      </c>
      <c r="C138" s="135">
        <v>8.86900353714E11</v>
      </c>
      <c r="D138" s="143" t="s">
        <v>435</v>
      </c>
      <c r="E138" s="143" t="s">
        <v>438</v>
      </c>
      <c r="F138" s="143" t="s">
        <v>435</v>
      </c>
      <c r="G138" s="143" t="s">
        <v>227</v>
      </c>
      <c r="H138" s="143"/>
      <c r="I138" s="143" t="s">
        <v>436</v>
      </c>
      <c r="J138" s="145" t="s">
        <v>437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>
      <c r="A139" s="164" t="s">
        <v>669</v>
      </c>
      <c r="B139" s="135" t="s">
        <v>670</v>
      </c>
      <c r="C139" s="135" t="s">
        <v>671</v>
      </c>
      <c r="D139" s="143" t="s">
        <v>672</v>
      </c>
      <c r="E139" s="143" t="s">
        <v>438</v>
      </c>
      <c r="F139" s="135" t="s">
        <v>441</v>
      </c>
      <c r="G139" s="135" t="s">
        <v>218</v>
      </c>
      <c r="H139" s="143"/>
      <c r="I139" s="143" t="s">
        <v>436</v>
      </c>
      <c r="J139" s="145" t="s">
        <v>437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>
      <c r="A140" s="158" t="s">
        <v>58</v>
      </c>
      <c r="B140" s="135" t="s">
        <v>673</v>
      </c>
      <c r="C140" s="135" t="s">
        <v>674</v>
      </c>
      <c r="D140" s="143" t="s">
        <v>435</v>
      </c>
      <c r="E140" s="143" t="s">
        <v>449</v>
      </c>
      <c r="F140" s="143" t="s">
        <v>447</v>
      </c>
      <c r="G140" s="143" t="s">
        <v>218</v>
      </c>
      <c r="H140" s="143"/>
      <c r="I140" s="143" t="s">
        <v>436</v>
      </c>
      <c r="J140" s="145" t="s">
        <v>437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>
      <c r="A141" s="158" t="s">
        <v>356</v>
      </c>
      <c r="B141" s="143" t="s">
        <v>675</v>
      </c>
      <c r="C141" s="135" t="s">
        <v>676</v>
      </c>
      <c r="D141" s="143" t="s">
        <v>435</v>
      </c>
      <c r="E141" s="143" t="s">
        <v>438</v>
      </c>
      <c r="F141" s="143" t="s">
        <v>441</v>
      </c>
      <c r="G141" s="143" t="s">
        <v>218</v>
      </c>
      <c r="H141" s="143"/>
      <c r="I141" s="143" t="s">
        <v>436</v>
      </c>
      <c r="J141" s="145" t="s">
        <v>437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>
      <c r="A142" s="158" t="s">
        <v>677</v>
      </c>
      <c r="B142" s="143" t="s">
        <v>678</v>
      </c>
      <c r="C142" s="135">
        <v>8.86981491158E11</v>
      </c>
      <c r="D142" s="143" t="s">
        <v>435</v>
      </c>
      <c r="E142" s="143" t="s">
        <v>438</v>
      </c>
      <c r="F142" s="143" t="s">
        <v>447</v>
      </c>
      <c r="G142" s="143" t="s">
        <v>218</v>
      </c>
      <c r="H142" s="143"/>
      <c r="I142" s="143" t="s">
        <v>436</v>
      </c>
      <c r="J142" s="145" t="s">
        <v>437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>
      <c r="A143" s="158" t="s">
        <v>357</v>
      </c>
      <c r="B143" s="143" t="s">
        <v>435</v>
      </c>
      <c r="C143" s="135">
        <v>8.86900435207E11</v>
      </c>
      <c r="D143" s="143" t="s">
        <v>435</v>
      </c>
      <c r="E143" s="143" t="s">
        <v>435</v>
      </c>
      <c r="F143" s="143" t="s">
        <v>435</v>
      </c>
      <c r="G143" s="143" t="s">
        <v>227</v>
      </c>
      <c r="H143" s="143"/>
      <c r="I143" s="143" t="s">
        <v>436</v>
      </c>
      <c r="J143" s="145" t="s">
        <v>437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>
      <c r="A144" s="158" t="s">
        <v>679</v>
      </c>
      <c r="B144" s="143" t="s">
        <v>435</v>
      </c>
      <c r="C144" s="135">
        <v>9.72143255E8</v>
      </c>
      <c r="D144" s="143" t="s">
        <v>435</v>
      </c>
      <c r="E144" s="143" t="s">
        <v>435</v>
      </c>
      <c r="F144" s="143" t="s">
        <v>435</v>
      </c>
      <c r="G144" s="143" t="s">
        <v>227</v>
      </c>
      <c r="H144" s="143"/>
      <c r="I144" s="143" t="s">
        <v>436</v>
      </c>
      <c r="J144" s="145" t="s">
        <v>437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>
      <c r="A145" s="158" t="s">
        <v>680</v>
      </c>
      <c r="B145" s="143" t="s">
        <v>435</v>
      </c>
      <c r="C145" s="135" t="s">
        <v>681</v>
      </c>
      <c r="D145" s="143" t="s">
        <v>435</v>
      </c>
      <c r="E145" s="143" t="s">
        <v>438</v>
      </c>
      <c r="F145" s="143" t="s">
        <v>441</v>
      </c>
      <c r="G145" s="143" t="s">
        <v>218</v>
      </c>
      <c r="H145" s="143"/>
      <c r="I145" s="143" t="s">
        <v>436</v>
      </c>
      <c r="J145" s="145" t="s">
        <v>437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>
      <c r="A146" s="158" t="s">
        <v>682</v>
      </c>
      <c r="B146" s="143" t="s">
        <v>683</v>
      </c>
      <c r="C146" s="135" t="s">
        <v>684</v>
      </c>
      <c r="D146" s="143" t="s">
        <v>685</v>
      </c>
      <c r="E146" s="143" t="s">
        <v>438</v>
      </c>
      <c r="F146" s="143" t="s">
        <v>441</v>
      </c>
      <c r="G146" s="143" t="s">
        <v>218</v>
      </c>
      <c r="H146" s="143"/>
      <c r="I146" s="143" t="s">
        <v>436</v>
      </c>
      <c r="J146" s="145" t="s">
        <v>437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>
      <c r="A147" s="158" t="s">
        <v>91</v>
      </c>
      <c r="B147" s="143" t="s">
        <v>636</v>
      </c>
      <c r="C147" s="135" t="s">
        <v>686</v>
      </c>
      <c r="D147" s="143" t="s">
        <v>687</v>
      </c>
      <c r="E147" s="143" t="s">
        <v>438</v>
      </c>
      <c r="F147" s="143" t="s">
        <v>447</v>
      </c>
      <c r="G147" s="143" t="s">
        <v>218</v>
      </c>
      <c r="H147" s="143"/>
      <c r="I147" s="143" t="s">
        <v>436</v>
      </c>
      <c r="J147" s="145" t="s">
        <v>437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>
      <c r="A148" s="164" t="s">
        <v>174</v>
      </c>
      <c r="B148" s="135" t="s">
        <v>673</v>
      </c>
      <c r="C148" s="135" t="s">
        <v>688</v>
      </c>
      <c r="D148" s="135" t="s">
        <v>689</v>
      </c>
      <c r="E148" s="143" t="s">
        <v>438</v>
      </c>
      <c r="F148" s="143" t="s">
        <v>441</v>
      </c>
      <c r="G148" s="143" t="s">
        <v>218</v>
      </c>
      <c r="H148" s="143"/>
      <c r="I148" s="143" t="s">
        <v>436</v>
      </c>
      <c r="J148" s="145" t="s">
        <v>437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>
      <c r="A149" s="166" t="s">
        <v>192</v>
      </c>
      <c r="B149" s="135" t="s">
        <v>690</v>
      </c>
      <c r="C149" s="135" t="s">
        <v>691</v>
      </c>
      <c r="D149" s="143"/>
      <c r="E149" s="143" t="s">
        <v>438</v>
      </c>
      <c r="F149" s="143" t="s">
        <v>441</v>
      </c>
      <c r="G149" s="143" t="s">
        <v>218</v>
      </c>
      <c r="H149" s="143"/>
      <c r="I149" s="143" t="s">
        <v>436</v>
      </c>
      <c r="J149" s="145" t="s">
        <v>437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>
      <c r="A150" s="166" t="s">
        <v>361</v>
      </c>
      <c r="B150" s="135" t="s">
        <v>435</v>
      </c>
      <c r="C150" s="135" t="s">
        <v>692</v>
      </c>
      <c r="D150" s="135" t="s">
        <v>693</v>
      </c>
      <c r="E150" s="143" t="s">
        <v>438</v>
      </c>
      <c r="F150" s="143" t="s">
        <v>435</v>
      </c>
      <c r="G150" s="143" t="s">
        <v>227</v>
      </c>
      <c r="H150" s="147">
        <v>45593.0</v>
      </c>
      <c r="I150" s="143" t="s">
        <v>436</v>
      </c>
      <c r="J150" s="145" t="s">
        <v>437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>
      <c r="A151" s="166" t="s">
        <v>366</v>
      </c>
      <c r="B151" s="135" t="s">
        <v>435</v>
      </c>
      <c r="C151" s="135" t="s">
        <v>694</v>
      </c>
      <c r="D151" s="143"/>
      <c r="E151" s="143" t="s">
        <v>438</v>
      </c>
      <c r="F151" s="143"/>
      <c r="G151" s="143" t="s">
        <v>218</v>
      </c>
      <c r="H151" s="143"/>
      <c r="I151" s="143" t="s">
        <v>436</v>
      </c>
      <c r="J151" s="145" t="s">
        <v>437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>
      <c r="A152" s="166" t="s">
        <v>362</v>
      </c>
      <c r="B152" s="135" t="s">
        <v>435</v>
      </c>
      <c r="C152" s="135" t="s">
        <v>695</v>
      </c>
      <c r="D152" s="143"/>
      <c r="E152" s="143" t="s">
        <v>438</v>
      </c>
      <c r="F152" s="143"/>
      <c r="G152" s="143" t="s">
        <v>218</v>
      </c>
      <c r="H152" s="143"/>
      <c r="I152" s="143" t="s">
        <v>436</v>
      </c>
      <c r="J152" s="145" t="s">
        <v>437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>
      <c r="A153" s="166" t="s">
        <v>129</v>
      </c>
      <c r="B153" s="135" t="s">
        <v>435</v>
      </c>
      <c r="C153" s="135" t="s">
        <v>696</v>
      </c>
      <c r="D153" s="143" t="s">
        <v>697</v>
      </c>
      <c r="E153" s="143" t="s">
        <v>438</v>
      </c>
      <c r="F153" s="143"/>
      <c r="G153" s="143" t="s">
        <v>218</v>
      </c>
      <c r="H153" s="143"/>
      <c r="I153" s="143" t="s">
        <v>436</v>
      </c>
      <c r="J153" s="145" t="s">
        <v>437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>
      <c r="A154" s="166" t="s">
        <v>363</v>
      </c>
      <c r="B154" s="135" t="s">
        <v>698</v>
      </c>
      <c r="C154" s="135" t="s">
        <v>699</v>
      </c>
      <c r="D154" s="143"/>
      <c r="E154" s="143" t="s">
        <v>438</v>
      </c>
      <c r="F154" s="143"/>
      <c r="G154" s="143" t="s">
        <v>218</v>
      </c>
      <c r="H154" s="143"/>
      <c r="I154" s="143" t="s">
        <v>436</v>
      </c>
      <c r="J154" s="145" t="s">
        <v>437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>
      <c r="A155" s="166" t="s">
        <v>700</v>
      </c>
      <c r="B155" s="135" t="s">
        <v>435</v>
      </c>
      <c r="C155" s="135"/>
      <c r="D155" s="143"/>
      <c r="E155" s="143" t="s">
        <v>438</v>
      </c>
      <c r="F155" s="143"/>
      <c r="G155" s="143" t="s">
        <v>218</v>
      </c>
      <c r="H155" s="143"/>
      <c r="I155" s="143" t="s">
        <v>436</v>
      </c>
      <c r="J155" s="145" t="s">
        <v>437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>
      <c r="A156" s="166" t="s">
        <v>701</v>
      </c>
      <c r="B156" s="135" t="s">
        <v>435</v>
      </c>
      <c r="C156" s="135" t="s">
        <v>702</v>
      </c>
      <c r="D156" s="143"/>
      <c r="E156" s="143" t="s">
        <v>438</v>
      </c>
      <c r="F156" s="143"/>
      <c r="G156" s="143" t="s">
        <v>218</v>
      </c>
      <c r="H156" s="143"/>
      <c r="I156" s="143" t="s">
        <v>436</v>
      </c>
      <c r="J156" s="145" t="s">
        <v>437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>
      <c r="A157" s="166" t="s">
        <v>364</v>
      </c>
      <c r="B157" s="135" t="s">
        <v>435</v>
      </c>
      <c r="C157" s="135" t="s">
        <v>703</v>
      </c>
      <c r="D157" s="143" t="s">
        <v>704</v>
      </c>
      <c r="E157" s="143" t="s">
        <v>438</v>
      </c>
      <c r="F157" s="143"/>
      <c r="G157" s="143" t="s">
        <v>218</v>
      </c>
      <c r="H157" s="143"/>
      <c r="I157" s="143" t="s">
        <v>436</v>
      </c>
      <c r="J157" s="145" t="s">
        <v>437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>
      <c r="A158" s="166" t="s">
        <v>166</v>
      </c>
      <c r="B158" s="135" t="s">
        <v>705</v>
      </c>
      <c r="C158" s="135"/>
      <c r="D158" s="143" t="s">
        <v>706</v>
      </c>
      <c r="E158" s="143" t="s">
        <v>438</v>
      </c>
      <c r="F158" s="143"/>
      <c r="G158" s="143" t="s">
        <v>218</v>
      </c>
      <c r="H158" s="143"/>
      <c r="I158" s="143" t="s">
        <v>436</v>
      </c>
      <c r="J158" s="145" t="s">
        <v>437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>
      <c r="A159" s="166" t="s">
        <v>188</v>
      </c>
      <c r="B159" s="135" t="s">
        <v>435</v>
      </c>
      <c r="C159" s="135"/>
      <c r="D159" s="143"/>
      <c r="E159" s="143" t="s">
        <v>438</v>
      </c>
      <c r="F159" s="143"/>
      <c r="G159" s="143" t="s">
        <v>218</v>
      </c>
      <c r="H159" s="143"/>
      <c r="I159" s="143" t="s">
        <v>436</v>
      </c>
      <c r="J159" s="145" t="s">
        <v>437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>
      <c r="A160" s="166" t="s">
        <v>707</v>
      </c>
      <c r="B160" s="135" t="s">
        <v>435</v>
      </c>
      <c r="C160" s="135" t="s">
        <v>708</v>
      </c>
      <c r="D160" s="143" t="s">
        <v>709</v>
      </c>
      <c r="E160" s="143" t="s">
        <v>438</v>
      </c>
      <c r="F160" s="143"/>
      <c r="G160" s="143" t="s">
        <v>218</v>
      </c>
      <c r="H160" s="143"/>
      <c r="I160" s="143" t="s">
        <v>436</v>
      </c>
      <c r="J160" s="145" t="s">
        <v>463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>
      <c r="A161" s="167" t="s">
        <v>68</v>
      </c>
      <c r="B161" s="168"/>
      <c r="C161" s="167" t="s">
        <v>710</v>
      </c>
      <c r="D161" s="167" t="s">
        <v>711</v>
      </c>
      <c r="E161" s="168"/>
      <c r="F161" s="168"/>
      <c r="G161" s="167" t="s">
        <v>218</v>
      </c>
      <c r="H161" s="168"/>
      <c r="I161" s="143" t="s">
        <v>436</v>
      </c>
      <c r="J161" s="145" t="s">
        <v>463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>
      <c r="A162" s="5"/>
      <c r="B162" s="5"/>
      <c r="C162" s="168"/>
      <c r="D162" s="167"/>
      <c r="E162" s="5"/>
      <c r="F162" s="5"/>
      <c r="G162" s="5"/>
      <c r="H162" s="16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>
      <c r="A163" s="5"/>
      <c r="B163" s="5"/>
      <c r="C163" s="168"/>
      <c r="D163" s="168"/>
      <c r="E163" s="5"/>
      <c r="F163" s="5"/>
      <c r="G163" s="5"/>
      <c r="H163" s="16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>
      <c r="A164" s="5"/>
      <c r="B164" s="5"/>
      <c r="C164" s="168"/>
      <c r="D164" s="168"/>
      <c r="E164" s="5"/>
      <c r="F164" s="5"/>
      <c r="G164" s="5"/>
      <c r="H164" s="16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>
      <c r="A165" s="5"/>
      <c r="B165" s="5"/>
      <c r="C165" s="168"/>
      <c r="D165" s="168"/>
      <c r="E165" s="5"/>
      <c r="F165" s="5"/>
      <c r="G165" s="5"/>
      <c r="H165" s="16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>
      <c r="A166" s="5"/>
      <c r="B166" s="5"/>
      <c r="C166" s="168"/>
      <c r="D166" s="168"/>
      <c r="E166" s="5"/>
      <c r="F166" s="5"/>
      <c r="G166" s="5"/>
      <c r="H166" s="16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>
      <c r="A167" s="5"/>
      <c r="B167" s="5"/>
      <c r="C167" s="168"/>
      <c r="D167" s="168"/>
      <c r="E167" s="5"/>
      <c r="F167" s="5"/>
      <c r="G167" s="5"/>
      <c r="H167" s="16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>
      <c r="A168" s="5"/>
      <c r="B168" s="5"/>
      <c r="C168" s="168"/>
      <c r="D168" s="168"/>
      <c r="E168" s="5"/>
      <c r="F168" s="5"/>
      <c r="G168" s="5"/>
      <c r="H168" s="16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>
      <c r="A169" s="5"/>
      <c r="B169" s="5"/>
      <c r="C169" s="168"/>
      <c r="D169" s="168"/>
      <c r="E169" s="5"/>
      <c r="F169" s="5"/>
      <c r="G169" s="5"/>
      <c r="H169" s="16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>
      <c r="A170" s="5"/>
      <c r="B170" s="5"/>
      <c r="C170" s="168"/>
      <c r="D170" s="168"/>
      <c r="E170" s="5"/>
      <c r="F170" s="5"/>
      <c r="G170" s="5"/>
      <c r="H170" s="16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>
      <c r="A171" s="5"/>
      <c r="B171" s="5"/>
      <c r="C171" s="168"/>
      <c r="D171" s="168"/>
      <c r="E171" s="5"/>
      <c r="F171" s="5"/>
      <c r="G171" s="5"/>
      <c r="H171" s="16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>
      <c r="A172" s="5"/>
      <c r="B172" s="5"/>
      <c r="C172" s="168"/>
      <c r="D172" s="168"/>
      <c r="E172" s="5"/>
      <c r="F172" s="5"/>
      <c r="G172" s="5"/>
      <c r="H172" s="16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>
      <c r="A173" s="5"/>
      <c r="B173" s="5"/>
      <c r="C173" s="168"/>
      <c r="D173" s="168"/>
      <c r="E173" s="5"/>
      <c r="F173" s="5"/>
      <c r="G173" s="5"/>
      <c r="H173" s="16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>
      <c r="A174" s="5"/>
      <c r="B174" s="5"/>
      <c r="C174" s="168"/>
      <c r="D174" s="168"/>
      <c r="E174" s="5"/>
      <c r="F174" s="5"/>
      <c r="G174" s="5"/>
      <c r="H174" s="16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>
      <c r="A175" s="5"/>
      <c r="B175" s="5"/>
      <c r="C175" s="168"/>
      <c r="D175" s="168"/>
      <c r="E175" s="5"/>
      <c r="F175" s="5"/>
      <c r="G175" s="5"/>
      <c r="H175" s="16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>
      <c r="A176" s="5"/>
      <c r="B176" s="5"/>
      <c r="C176" s="168"/>
      <c r="D176" s="168"/>
      <c r="E176" s="5"/>
      <c r="F176" s="5"/>
      <c r="G176" s="5"/>
      <c r="H176" s="16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>
      <c r="A177" s="5"/>
      <c r="B177" s="5"/>
      <c r="C177" s="168"/>
      <c r="D177" s="168"/>
      <c r="E177" s="5"/>
      <c r="F177" s="5"/>
      <c r="G177" s="5"/>
      <c r="H177" s="16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>
      <c r="A178" s="5"/>
      <c r="B178" s="5"/>
      <c r="C178" s="168"/>
      <c r="D178" s="168"/>
      <c r="E178" s="5"/>
      <c r="F178" s="5"/>
      <c r="G178" s="5"/>
      <c r="H178" s="16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>
      <c r="A179" s="5"/>
      <c r="B179" s="5"/>
      <c r="C179" s="168"/>
      <c r="D179" s="168"/>
      <c r="E179" s="5"/>
      <c r="F179" s="5"/>
      <c r="G179" s="5"/>
      <c r="H179" s="16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>
      <c r="A180" s="5"/>
      <c r="B180" s="5"/>
      <c r="C180" s="168"/>
      <c r="D180" s="168"/>
      <c r="E180" s="5"/>
      <c r="F180" s="5"/>
      <c r="G180" s="5"/>
      <c r="H180" s="16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>
      <c r="A181" s="5"/>
      <c r="B181" s="5"/>
      <c r="C181" s="168"/>
      <c r="D181" s="168"/>
      <c r="E181" s="5"/>
      <c r="F181" s="5"/>
      <c r="G181" s="5"/>
      <c r="H181" s="16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>
      <c r="A182" s="5"/>
      <c r="B182" s="5"/>
      <c r="C182" s="168"/>
      <c r="D182" s="168"/>
      <c r="E182" s="5"/>
      <c r="F182" s="5"/>
      <c r="G182" s="5"/>
      <c r="H182" s="16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>
      <c r="A183" s="5"/>
      <c r="B183" s="5"/>
      <c r="C183" s="168"/>
      <c r="D183" s="168"/>
      <c r="E183" s="5"/>
      <c r="F183" s="5"/>
      <c r="G183" s="5"/>
      <c r="H183" s="16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>
      <c r="A184" s="5"/>
      <c r="B184" s="5"/>
      <c r="C184" s="168"/>
      <c r="D184" s="168"/>
      <c r="E184" s="5"/>
      <c r="F184" s="5"/>
      <c r="G184" s="5"/>
      <c r="H184" s="16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>
      <c r="A185" s="5"/>
      <c r="B185" s="5"/>
      <c r="C185" s="168"/>
      <c r="D185" s="168"/>
      <c r="E185" s="5"/>
      <c r="F185" s="5"/>
      <c r="G185" s="5"/>
      <c r="H185" s="16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>
      <c r="A186" s="5"/>
      <c r="B186" s="5"/>
      <c r="C186" s="168"/>
      <c r="D186" s="168"/>
      <c r="E186" s="5"/>
      <c r="F186" s="5"/>
      <c r="G186" s="5"/>
      <c r="H186" s="16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>
      <c r="A187" s="5"/>
      <c r="B187" s="5"/>
      <c r="C187" s="168"/>
      <c r="D187" s="168"/>
      <c r="E187" s="5"/>
      <c r="F187" s="5"/>
      <c r="G187" s="5"/>
      <c r="H187" s="16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>
      <c r="A188" s="5"/>
      <c r="B188" s="5"/>
      <c r="C188" s="168"/>
      <c r="D188" s="168"/>
      <c r="E188" s="5"/>
      <c r="F188" s="5"/>
      <c r="G188" s="5"/>
      <c r="H188" s="16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>
      <c r="A189" s="5"/>
      <c r="B189" s="5"/>
      <c r="C189" s="168"/>
      <c r="D189" s="168"/>
      <c r="E189" s="5"/>
      <c r="F189" s="5"/>
      <c r="G189" s="5"/>
      <c r="H189" s="16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>
      <c r="A190" s="5"/>
      <c r="B190" s="5"/>
      <c r="C190" s="168"/>
      <c r="D190" s="168"/>
      <c r="E190" s="5"/>
      <c r="F190" s="5"/>
      <c r="G190" s="5"/>
      <c r="H190" s="16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>
      <c r="A191" s="5"/>
      <c r="B191" s="5"/>
      <c r="C191" s="168"/>
      <c r="D191" s="168"/>
      <c r="E191" s="5"/>
      <c r="F191" s="5"/>
      <c r="G191" s="5"/>
      <c r="H191" s="16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>
      <c r="A192" s="5"/>
      <c r="B192" s="5"/>
      <c r="C192" s="168"/>
      <c r="D192" s="168"/>
      <c r="E192" s="5"/>
      <c r="F192" s="5"/>
      <c r="G192" s="5"/>
      <c r="H192" s="16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>
      <c r="A193" s="5"/>
      <c r="B193" s="5"/>
      <c r="C193" s="168"/>
      <c r="D193" s="168"/>
      <c r="E193" s="5"/>
      <c r="F193" s="5"/>
      <c r="G193" s="5"/>
      <c r="H193" s="16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>
      <c r="A194" s="5"/>
      <c r="B194" s="5"/>
      <c r="C194" s="168"/>
      <c r="D194" s="168"/>
      <c r="E194" s="5"/>
      <c r="F194" s="5"/>
      <c r="G194" s="5"/>
      <c r="H194" s="16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>
      <c r="A195" s="5"/>
      <c r="B195" s="5"/>
      <c r="C195" s="168"/>
      <c r="D195" s="168"/>
      <c r="E195" s="5"/>
      <c r="F195" s="5"/>
      <c r="G195" s="5"/>
      <c r="H195" s="16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>
      <c r="A196" s="5"/>
      <c r="B196" s="5"/>
      <c r="C196" s="168"/>
      <c r="D196" s="168"/>
      <c r="E196" s="5"/>
      <c r="F196" s="5"/>
      <c r="G196" s="5"/>
      <c r="H196" s="16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>
      <c r="A197" s="5"/>
      <c r="B197" s="5"/>
      <c r="C197" s="168"/>
      <c r="D197" s="168"/>
      <c r="E197" s="5"/>
      <c r="F197" s="5"/>
      <c r="G197" s="5"/>
      <c r="H197" s="16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>
      <c r="A198" s="5"/>
      <c r="B198" s="5"/>
      <c r="C198" s="168"/>
      <c r="D198" s="168"/>
      <c r="E198" s="5"/>
      <c r="F198" s="5"/>
      <c r="G198" s="5"/>
      <c r="H198" s="16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>
      <c r="A199" s="5"/>
      <c r="B199" s="5"/>
      <c r="C199" s="168"/>
      <c r="D199" s="168"/>
      <c r="E199" s="5"/>
      <c r="F199" s="5"/>
      <c r="G199" s="5"/>
      <c r="H199" s="16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>
      <c r="A200" s="5"/>
      <c r="B200" s="5"/>
      <c r="C200" s="168"/>
      <c r="D200" s="168"/>
      <c r="E200" s="5"/>
      <c r="F200" s="5"/>
      <c r="G200" s="5"/>
      <c r="H200" s="16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>
      <c r="A201" s="5"/>
      <c r="B201" s="5"/>
      <c r="C201" s="168"/>
      <c r="D201" s="168"/>
      <c r="E201" s="5"/>
      <c r="F201" s="5"/>
      <c r="G201" s="5"/>
      <c r="H201" s="16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>
      <c r="A202" s="5"/>
      <c r="B202" s="5"/>
      <c r="C202" s="168"/>
      <c r="D202" s="168"/>
      <c r="E202" s="5"/>
      <c r="F202" s="5"/>
      <c r="G202" s="5"/>
      <c r="H202" s="16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>
      <c r="A203" s="5"/>
      <c r="B203" s="5"/>
      <c r="C203" s="168"/>
      <c r="D203" s="168"/>
      <c r="E203" s="5"/>
      <c r="F203" s="5"/>
      <c r="G203" s="5"/>
      <c r="H203" s="16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>
      <c r="A204" s="5"/>
      <c r="B204" s="5"/>
      <c r="C204" s="168"/>
      <c r="D204" s="168"/>
      <c r="E204" s="5"/>
      <c r="F204" s="5"/>
      <c r="G204" s="5"/>
      <c r="H204" s="16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>
      <c r="A205" s="5"/>
      <c r="B205" s="5"/>
      <c r="C205" s="168"/>
      <c r="D205" s="168"/>
      <c r="E205" s="5"/>
      <c r="F205" s="5"/>
      <c r="G205" s="5"/>
      <c r="H205" s="16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>
      <c r="A206" s="5"/>
      <c r="B206" s="5"/>
      <c r="C206" s="168"/>
      <c r="D206" s="168"/>
      <c r="E206" s="5"/>
      <c r="F206" s="5"/>
      <c r="G206" s="5"/>
      <c r="H206" s="16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>
      <c r="A207" s="5"/>
      <c r="B207" s="5"/>
      <c r="C207" s="168"/>
      <c r="D207" s="168"/>
      <c r="E207" s="5"/>
      <c r="F207" s="5"/>
      <c r="G207" s="5"/>
      <c r="H207" s="16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>
      <c r="A208" s="5"/>
      <c r="B208" s="5"/>
      <c r="C208" s="168"/>
      <c r="D208" s="168"/>
      <c r="E208" s="5"/>
      <c r="F208" s="5"/>
      <c r="G208" s="5"/>
      <c r="H208" s="16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>
      <c r="A209" s="5"/>
      <c r="B209" s="5"/>
      <c r="C209" s="168"/>
      <c r="D209" s="168"/>
      <c r="E209" s="5"/>
      <c r="F209" s="5"/>
      <c r="G209" s="5"/>
      <c r="H209" s="16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>
      <c r="A210" s="5"/>
      <c r="B210" s="5"/>
      <c r="C210" s="168"/>
      <c r="D210" s="168"/>
      <c r="E210" s="5"/>
      <c r="F210" s="5"/>
      <c r="G210" s="5"/>
      <c r="H210" s="16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>
      <c r="A211" s="5"/>
      <c r="B211" s="5"/>
      <c r="C211" s="168"/>
      <c r="D211" s="168"/>
      <c r="E211" s="5"/>
      <c r="F211" s="5"/>
      <c r="G211" s="5"/>
      <c r="H211" s="16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>
      <c r="A212" s="5"/>
      <c r="B212" s="5"/>
      <c r="C212" s="168"/>
      <c r="D212" s="168"/>
      <c r="E212" s="5"/>
      <c r="F212" s="5"/>
      <c r="G212" s="5"/>
      <c r="H212" s="16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>
      <c r="A213" s="5"/>
      <c r="B213" s="5"/>
      <c r="C213" s="168"/>
      <c r="D213" s="168"/>
      <c r="E213" s="5"/>
      <c r="F213" s="5"/>
      <c r="G213" s="5"/>
      <c r="H213" s="16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>
      <c r="A214" s="5"/>
      <c r="B214" s="5"/>
      <c r="C214" s="168"/>
      <c r="D214" s="168"/>
      <c r="E214" s="5"/>
      <c r="F214" s="5"/>
      <c r="G214" s="5"/>
      <c r="H214" s="16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>
      <c r="A215" s="5"/>
      <c r="B215" s="5"/>
      <c r="C215" s="168"/>
      <c r="D215" s="168"/>
      <c r="E215" s="5"/>
      <c r="F215" s="5"/>
      <c r="G215" s="5"/>
      <c r="H215" s="16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>
      <c r="A216" s="5"/>
      <c r="B216" s="5"/>
      <c r="C216" s="168"/>
      <c r="D216" s="168"/>
      <c r="E216" s="5"/>
      <c r="F216" s="5"/>
      <c r="G216" s="5"/>
      <c r="H216" s="16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>
      <c r="A217" s="5"/>
      <c r="B217" s="5"/>
      <c r="C217" s="168"/>
      <c r="D217" s="168"/>
      <c r="E217" s="5"/>
      <c r="F217" s="5"/>
      <c r="G217" s="5"/>
      <c r="H217" s="16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>
      <c r="A218" s="5"/>
      <c r="B218" s="5"/>
      <c r="C218" s="168"/>
      <c r="D218" s="168"/>
      <c r="E218" s="5"/>
      <c r="F218" s="5"/>
      <c r="G218" s="5"/>
      <c r="H218" s="16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>
      <c r="A219" s="5"/>
      <c r="B219" s="5"/>
      <c r="C219" s="168"/>
      <c r="D219" s="168"/>
      <c r="E219" s="5"/>
      <c r="F219" s="5"/>
      <c r="G219" s="5"/>
      <c r="H219" s="16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>
      <c r="A220" s="5"/>
      <c r="B220" s="5"/>
      <c r="C220" s="168"/>
      <c r="D220" s="168"/>
      <c r="E220" s="5"/>
      <c r="F220" s="5"/>
      <c r="G220" s="5"/>
      <c r="H220" s="16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>
      <c r="A221" s="5"/>
      <c r="B221" s="5"/>
      <c r="C221" s="168"/>
      <c r="D221" s="168"/>
      <c r="E221" s="5"/>
      <c r="F221" s="5"/>
      <c r="G221" s="5"/>
      <c r="H221" s="16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>
      <c r="A222" s="5"/>
      <c r="B222" s="5"/>
      <c r="C222" s="168"/>
      <c r="D222" s="168"/>
      <c r="E222" s="5"/>
      <c r="F222" s="5"/>
      <c r="G222" s="5"/>
      <c r="H222" s="16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>
      <c r="A223" s="5"/>
      <c r="B223" s="5"/>
      <c r="C223" s="168"/>
      <c r="D223" s="168"/>
      <c r="E223" s="5"/>
      <c r="F223" s="5"/>
      <c r="G223" s="5"/>
      <c r="H223" s="16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>
      <c r="A224" s="5"/>
      <c r="B224" s="5"/>
      <c r="C224" s="168"/>
      <c r="D224" s="168"/>
      <c r="E224" s="5"/>
      <c r="F224" s="5"/>
      <c r="G224" s="5"/>
      <c r="H224" s="16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>
      <c r="A225" s="5"/>
      <c r="B225" s="5"/>
      <c r="C225" s="168"/>
      <c r="D225" s="168"/>
      <c r="E225" s="5"/>
      <c r="F225" s="5"/>
      <c r="G225" s="5"/>
      <c r="H225" s="16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>
      <c r="A226" s="5"/>
      <c r="B226" s="5"/>
      <c r="C226" s="168"/>
      <c r="D226" s="168"/>
      <c r="E226" s="5"/>
      <c r="F226" s="5"/>
      <c r="G226" s="5"/>
      <c r="H226" s="16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>
      <c r="A227" s="5"/>
      <c r="B227" s="5"/>
      <c r="C227" s="168"/>
      <c r="D227" s="168"/>
      <c r="E227" s="5"/>
      <c r="F227" s="5"/>
      <c r="G227" s="5"/>
      <c r="H227" s="16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>
      <c r="A228" s="5"/>
      <c r="B228" s="5"/>
      <c r="C228" s="168"/>
      <c r="D228" s="168"/>
      <c r="E228" s="5"/>
      <c r="F228" s="5"/>
      <c r="G228" s="5"/>
      <c r="H228" s="16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>
      <c r="A229" s="5"/>
      <c r="B229" s="5"/>
      <c r="C229" s="168"/>
      <c r="D229" s="168"/>
      <c r="E229" s="5"/>
      <c r="F229" s="5"/>
      <c r="G229" s="5"/>
      <c r="H229" s="16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>
      <c r="A230" s="5"/>
      <c r="B230" s="5"/>
      <c r="C230" s="168"/>
      <c r="D230" s="168"/>
      <c r="E230" s="5"/>
      <c r="F230" s="5"/>
      <c r="G230" s="5"/>
      <c r="H230" s="16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>
      <c r="A231" s="5"/>
      <c r="B231" s="5"/>
      <c r="C231" s="168"/>
      <c r="D231" s="168"/>
      <c r="E231" s="5"/>
      <c r="F231" s="5"/>
      <c r="G231" s="5"/>
      <c r="H231" s="16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>
      <c r="A232" s="5"/>
      <c r="B232" s="5"/>
      <c r="C232" s="168"/>
      <c r="D232" s="168"/>
      <c r="E232" s="5"/>
      <c r="F232" s="5"/>
      <c r="G232" s="5"/>
      <c r="H232" s="16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>
      <c r="A233" s="5"/>
      <c r="B233" s="5"/>
      <c r="C233" s="168"/>
      <c r="D233" s="168"/>
      <c r="E233" s="5"/>
      <c r="F233" s="5"/>
      <c r="G233" s="5"/>
      <c r="H233" s="16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>
      <c r="A234" s="5"/>
      <c r="B234" s="5"/>
      <c r="C234" s="168"/>
      <c r="D234" s="168"/>
      <c r="E234" s="5"/>
      <c r="F234" s="5"/>
      <c r="G234" s="5"/>
      <c r="H234" s="16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>
      <c r="A235" s="5"/>
      <c r="B235" s="5"/>
      <c r="C235" s="168"/>
      <c r="D235" s="168"/>
      <c r="E235" s="5"/>
      <c r="F235" s="5"/>
      <c r="G235" s="5"/>
      <c r="H235" s="16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>
      <c r="A236" s="5"/>
      <c r="B236" s="5"/>
      <c r="C236" s="168"/>
      <c r="D236" s="168"/>
      <c r="E236" s="5"/>
      <c r="F236" s="5"/>
      <c r="G236" s="5"/>
      <c r="H236" s="16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>
      <c r="A237" s="5"/>
      <c r="B237" s="5"/>
      <c r="C237" s="168"/>
      <c r="D237" s="168"/>
      <c r="E237" s="5"/>
      <c r="F237" s="5"/>
      <c r="G237" s="5"/>
      <c r="H237" s="16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>
      <c r="A238" s="5"/>
      <c r="B238" s="5"/>
      <c r="C238" s="168"/>
      <c r="D238" s="168"/>
      <c r="E238" s="5"/>
      <c r="F238" s="5"/>
      <c r="G238" s="5"/>
      <c r="H238" s="16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>
      <c r="A239" s="5"/>
      <c r="B239" s="5"/>
      <c r="C239" s="168"/>
      <c r="D239" s="168"/>
      <c r="E239" s="5"/>
      <c r="F239" s="5"/>
      <c r="G239" s="5"/>
      <c r="H239" s="16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>
      <c r="A240" s="5"/>
      <c r="B240" s="5"/>
      <c r="C240" s="168"/>
      <c r="D240" s="168"/>
      <c r="E240" s="5"/>
      <c r="F240" s="5"/>
      <c r="G240" s="5"/>
      <c r="H240" s="16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>
      <c r="A241" s="5"/>
      <c r="B241" s="5"/>
      <c r="C241" s="168"/>
      <c r="D241" s="168"/>
      <c r="E241" s="5"/>
      <c r="F241" s="5"/>
      <c r="G241" s="5"/>
      <c r="H241" s="16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>
      <c r="A242" s="5"/>
      <c r="B242" s="5"/>
      <c r="C242" s="168"/>
      <c r="D242" s="168"/>
      <c r="E242" s="5"/>
      <c r="F242" s="5"/>
      <c r="G242" s="5"/>
      <c r="H242" s="16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>
      <c r="A243" s="5"/>
      <c r="B243" s="5"/>
      <c r="C243" s="168"/>
      <c r="D243" s="168"/>
      <c r="E243" s="5"/>
      <c r="F243" s="5"/>
      <c r="G243" s="5"/>
      <c r="H243" s="16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>
      <c r="A244" s="5"/>
      <c r="B244" s="5"/>
      <c r="C244" s="168"/>
      <c r="D244" s="168"/>
      <c r="E244" s="5"/>
      <c r="F244" s="5"/>
      <c r="G244" s="5"/>
      <c r="H244" s="16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>
      <c r="A245" s="5"/>
      <c r="B245" s="5"/>
      <c r="C245" s="168"/>
      <c r="D245" s="168"/>
      <c r="E245" s="5"/>
      <c r="F245" s="5"/>
      <c r="G245" s="5"/>
      <c r="H245" s="16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>
      <c r="A246" s="5"/>
      <c r="B246" s="5"/>
      <c r="C246" s="168"/>
      <c r="D246" s="168"/>
      <c r="E246" s="5"/>
      <c r="F246" s="5"/>
      <c r="G246" s="5"/>
      <c r="H246" s="16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>
      <c r="A247" s="5"/>
      <c r="B247" s="5"/>
      <c r="C247" s="168"/>
      <c r="D247" s="168"/>
      <c r="E247" s="5"/>
      <c r="F247" s="5"/>
      <c r="G247" s="5"/>
      <c r="H247" s="16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>
      <c r="A248" s="5"/>
      <c r="B248" s="5"/>
      <c r="C248" s="168"/>
      <c r="D248" s="168"/>
      <c r="E248" s="5"/>
      <c r="F248" s="5"/>
      <c r="G248" s="5"/>
      <c r="H248" s="16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>
      <c r="A249" s="5"/>
      <c r="B249" s="5"/>
      <c r="C249" s="168"/>
      <c r="D249" s="168"/>
      <c r="E249" s="5"/>
      <c r="F249" s="5"/>
      <c r="G249" s="5"/>
      <c r="H249" s="16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>
      <c r="A250" s="5"/>
      <c r="B250" s="5"/>
      <c r="C250" s="168"/>
      <c r="D250" s="168"/>
      <c r="E250" s="5"/>
      <c r="F250" s="5"/>
      <c r="G250" s="5"/>
      <c r="H250" s="16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>
      <c r="A251" s="5"/>
      <c r="B251" s="5"/>
      <c r="C251" s="168"/>
      <c r="D251" s="168"/>
      <c r="E251" s="5"/>
      <c r="F251" s="5"/>
      <c r="G251" s="5"/>
      <c r="H251" s="16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>
      <c r="A252" s="5"/>
      <c r="B252" s="5"/>
      <c r="C252" s="168"/>
      <c r="D252" s="168"/>
      <c r="E252" s="5"/>
      <c r="F252" s="5"/>
      <c r="G252" s="5"/>
      <c r="H252" s="16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>
      <c r="A253" s="5"/>
      <c r="B253" s="5"/>
      <c r="C253" s="168"/>
      <c r="D253" s="168"/>
      <c r="E253" s="5"/>
      <c r="F253" s="5"/>
      <c r="G253" s="5"/>
      <c r="H253" s="16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>
      <c r="A254" s="5"/>
      <c r="B254" s="5"/>
      <c r="C254" s="168"/>
      <c r="D254" s="168"/>
      <c r="E254" s="5"/>
      <c r="F254" s="5"/>
      <c r="G254" s="5"/>
      <c r="H254" s="16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>
      <c r="A255" s="5"/>
      <c r="B255" s="5"/>
      <c r="C255" s="168"/>
      <c r="D255" s="168"/>
      <c r="E255" s="5"/>
      <c r="F255" s="5"/>
      <c r="G255" s="5"/>
      <c r="H255" s="16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>
      <c r="A256" s="5"/>
      <c r="B256" s="5"/>
      <c r="C256" s="168"/>
      <c r="D256" s="168"/>
      <c r="E256" s="5"/>
      <c r="F256" s="5"/>
      <c r="G256" s="5"/>
      <c r="H256" s="16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>
      <c r="A257" s="5"/>
      <c r="B257" s="5"/>
      <c r="C257" s="168"/>
      <c r="D257" s="168"/>
      <c r="E257" s="5"/>
      <c r="F257" s="5"/>
      <c r="G257" s="5"/>
      <c r="H257" s="16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>
      <c r="A258" s="5"/>
      <c r="B258" s="5"/>
      <c r="C258" s="168"/>
      <c r="D258" s="168"/>
      <c r="E258" s="5"/>
      <c r="F258" s="5"/>
      <c r="G258" s="5"/>
      <c r="H258" s="16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>
      <c r="A259" s="5"/>
      <c r="B259" s="5"/>
      <c r="C259" s="168"/>
      <c r="D259" s="168"/>
      <c r="E259" s="5"/>
      <c r="F259" s="5"/>
      <c r="G259" s="5"/>
      <c r="H259" s="16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>
      <c r="A260" s="5"/>
      <c r="B260" s="5"/>
      <c r="C260" s="168"/>
      <c r="D260" s="168"/>
      <c r="E260" s="5"/>
      <c r="F260" s="5"/>
      <c r="G260" s="5"/>
      <c r="H260" s="16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>
      <c r="A261" s="5"/>
      <c r="B261" s="5"/>
      <c r="C261" s="168"/>
      <c r="D261" s="168"/>
      <c r="E261" s="5"/>
      <c r="F261" s="5"/>
      <c r="G261" s="5"/>
      <c r="H261" s="16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>
      <c r="A262" s="5"/>
      <c r="B262" s="5"/>
      <c r="C262" s="168"/>
      <c r="D262" s="168"/>
      <c r="E262" s="5"/>
      <c r="F262" s="5"/>
      <c r="G262" s="5"/>
      <c r="H262" s="16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>
      <c r="A263" s="5"/>
      <c r="B263" s="5"/>
      <c r="C263" s="168"/>
      <c r="D263" s="168"/>
      <c r="E263" s="5"/>
      <c r="F263" s="5"/>
      <c r="G263" s="5"/>
      <c r="H263" s="16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>
      <c r="A264" s="5"/>
      <c r="B264" s="5"/>
      <c r="C264" s="168"/>
      <c r="D264" s="168"/>
      <c r="E264" s="5"/>
      <c r="F264" s="5"/>
      <c r="G264" s="5"/>
      <c r="H264" s="16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>
      <c r="A265" s="5"/>
      <c r="B265" s="5"/>
      <c r="C265" s="168"/>
      <c r="D265" s="168"/>
      <c r="E265" s="5"/>
      <c r="F265" s="5"/>
      <c r="G265" s="5"/>
      <c r="H265" s="16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>
      <c r="A266" s="5"/>
      <c r="B266" s="5"/>
      <c r="C266" s="168"/>
      <c r="D266" s="168"/>
      <c r="E266" s="5"/>
      <c r="F266" s="5"/>
      <c r="G266" s="5"/>
      <c r="H266" s="16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>
      <c r="A267" s="5"/>
      <c r="B267" s="5"/>
      <c r="C267" s="168"/>
      <c r="D267" s="168"/>
      <c r="E267" s="5"/>
      <c r="F267" s="5"/>
      <c r="G267" s="5"/>
      <c r="H267" s="16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>
      <c r="A268" s="5"/>
      <c r="B268" s="5"/>
      <c r="C268" s="168"/>
      <c r="D268" s="168"/>
      <c r="E268" s="5"/>
      <c r="F268" s="5"/>
      <c r="G268" s="5"/>
      <c r="H268" s="16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>
      <c r="A269" s="5"/>
      <c r="B269" s="5"/>
      <c r="C269" s="168"/>
      <c r="D269" s="168"/>
      <c r="E269" s="5"/>
      <c r="F269" s="5"/>
      <c r="G269" s="5"/>
      <c r="H269" s="16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>
      <c r="A270" s="5"/>
      <c r="B270" s="5"/>
      <c r="C270" s="168"/>
      <c r="D270" s="168"/>
      <c r="E270" s="5"/>
      <c r="F270" s="5"/>
      <c r="G270" s="5"/>
      <c r="H270" s="16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>
      <c r="A271" s="5"/>
      <c r="B271" s="5"/>
      <c r="C271" s="168"/>
      <c r="D271" s="168"/>
      <c r="E271" s="5"/>
      <c r="F271" s="5"/>
      <c r="G271" s="5"/>
      <c r="H271" s="16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>
      <c r="A272" s="5"/>
      <c r="B272" s="5"/>
      <c r="C272" s="168"/>
      <c r="D272" s="168"/>
      <c r="E272" s="5"/>
      <c r="F272" s="5"/>
      <c r="G272" s="5"/>
      <c r="H272" s="16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>
      <c r="A273" s="5"/>
      <c r="B273" s="5"/>
      <c r="C273" s="168"/>
      <c r="D273" s="168"/>
      <c r="E273" s="5"/>
      <c r="F273" s="5"/>
      <c r="G273" s="5"/>
      <c r="H273" s="16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>
      <c r="A274" s="5"/>
      <c r="B274" s="5"/>
      <c r="C274" s="168"/>
      <c r="D274" s="168"/>
      <c r="E274" s="5"/>
      <c r="F274" s="5"/>
      <c r="G274" s="5"/>
      <c r="H274" s="16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>
      <c r="A275" s="5"/>
      <c r="B275" s="5"/>
      <c r="C275" s="168"/>
      <c r="D275" s="168"/>
      <c r="E275" s="5"/>
      <c r="F275" s="5"/>
      <c r="G275" s="5"/>
      <c r="H275" s="16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>
      <c r="A276" s="5"/>
      <c r="B276" s="5"/>
      <c r="C276" s="168"/>
      <c r="D276" s="168"/>
      <c r="E276" s="5"/>
      <c r="F276" s="5"/>
      <c r="G276" s="5"/>
      <c r="H276" s="16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>
      <c r="A277" s="5"/>
      <c r="B277" s="5"/>
      <c r="C277" s="168"/>
      <c r="D277" s="168"/>
      <c r="E277" s="5"/>
      <c r="F277" s="5"/>
      <c r="G277" s="5"/>
      <c r="H277" s="16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>
      <c r="A278" s="5"/>
      <c r="B278" s="5"/>
      <c r="C278" s="168"/>
      <c r="D278" s="168"/>
      <c r="E278" s="5"/>
      <c r="F278" s="5"/>
      <c r="G278" s="5"/>
      <c r="H278" s="16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>
      <c r="A279" s="5"/>
      <c r="B279" s="5"/>
      <c r="C279" s="168"/>
      <c r="D279" s="168"/>
      <c r="E279" s="5"/>
      <c r="F279" s="5"/>
      <c r="G279" s="5"/>
      <c r="H279" s="16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>
      <c r="A280" s="5"/>
      <c r="B280" s="5"/>
      <c r="C280" s="168"/>
      <c r="D280" s="168"/>
      <c r="E280" s="5"/>
      <c r="F280" s="5"/>
      <c r="G280" s="5"/>
      <c r="H280" s="16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>
      <c r="A281" s="5"/>
      <c r="B281" s="5"/>
      <c r="C281" s="168"/>
      <c r="D281" s="168"/>
      <c r="E281" s="5"/>
      <c r="F281" s="5"/>
      <c r="G281" s="5"/>
      <c r="H281" s="16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>
      <c r="A282" s="5"/>
      <c r="B282" s="5"/>
      <c r="C282" s="168"/>
      <c r="D282" s="168"/>
      <c r="E282" s="5"/>
      <c r="F282" s="5"/>
      <c r="G282" s="5"/>
      <c r="H282" s="16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>
      <c r="A283" s="5"/>
      <c r="B283" s="5"/>
      <c r="C283" s="168"/>
      <c r="D283" s="168"/>
      <c r="E283" s="5"/>
      <c r="F283" s="5"/>
      <c r="G283" s="5"/>
      <c r="H283" s="16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>
      <c r="A284" s="5"/>
      <c r="B284" s="5"/>
      <c r="C284" s="168"/>
      <c r="D284" s="168"/>
      <c r="E284" s="5"/>
      <c r="F284" s="5"/>
      <c r="G284" s="5"/>
      <c r="H284" s="16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>
      <c r="A285" s="5"/>
      <c r="B285" s="5"/>
      <c r="C285" s="168"/>
      <c r="D285" s="168"/>
      <c r="E285" s="5"/>
      <c r="F285" s="5"/>
      <c r="G285" s="5"/>
      <c r="H285" s="16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>
      <c r="A286" s="5"/>
      <c r="B286" s="5"/>
      <c r="C286" s="168"/>
      <c r="D286" s="168"/>
      <c r="E286" s="5"/>
      <c r="F286" s="5"/>
      <c r="G286" s="5"/>
      <c r="H286" s="16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>
      <c r="A287" s="5"/>
      <c r="B287" s="5"/>
      <c r="C287" s="168"/>
      <c r="D287" s="168"/>
      <c r="E287" s="5"/>
      <c r="F287" s="5"/>
      <c r="G287" s="5"/>
      <c r="H287" s="16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>
      <c r="A288" s="5"/>
      <c r="B288" s="5"/>
      <c r="C288" s="168"/>
      <c r="D288" s="168"/>
      <c r="E288" s="5"/>
      <c r="F288" s="5"/>
      <c r="G288" s="5"/>
      <c r="H288" s="16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>
      <c r="A289" s="5"/>
      <c r="B289" s="5"/>
      <c r="C289" s="168"/>
      <c r="D289" s="168"/>
      <c r="E289" s="5"/>
      <c r="F289" s="5"/>
      <c r="G289" s="5"/>
      <c r="H289" s="16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>
      <c r="A290" s="5"/>
      <c r="B290" s="5"/>
      <c r="C290" s="168"/>
      <c r="D290" s="168"/>
      <c r="E290" s="5"/>
      <c r="F290" s="5"/>
      <c r="G290" s="5"/>
      <c r="H290" s="16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>
      <c r="A291" s="5"/>
      <c r="B291" s="5"/>
      <c r="C291" s="168"/>
      <c r="D291" s="168"/>
      <c r="E291" s="5"/>
      <c r="F291" s="5"/>
      <c r="G291" s="5"/>
      <c r="H291" s="16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>
      <c r="A292" s="5"/>
      <c r="B292" s="5"/>
      <c r="C292" s="168"/>
      <c r="D292" s="168"/>
      <c r="E292" s="5"/>
      <c r="F292" s="5"/>
      <c r="G292" s="5"/>
      <c r="H292" s="16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>
      <c r="A293" s="5"/>
      <c r="B293" s="5"/>
      <c r="C293" s="168"/>
      <c r="D293" s="168"/>
      <c r="E293" s="5"/>
      <c r="F293" s="5"/>
      <c r="G293" s="5"/>
      <c r="H293" s="16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>
      <c r="A294" s="5"/>
      <c r="B294" s="5"/>
      <c r="C294" s="168"/>
      <c r="D294" s="168"/>
      <c r="E294" s="5"/>
      <c r="F294" s="5"/>
      <c r="G294" s="5"/>
      <c r="H294" s="16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>
      <c r="A295" s="5"/>
      <c r="B295" s="5"/>
      <c r="C295" s="168"/>
      <c r="D295" s="168"/>
      <c r="E295" s="5"/>
      <c r="F295" s="5"/>
      <c r="G295" s="5"/>
      <c r="H295" s="16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>
      <c r="A296" s="5"/>
      <c r="B296" s="5"/>
      <c r="C296" s="168"/>
      <c r="D296" s="168"/>
      <c r="E296" s="5"/>
      <c r="F296" s="5"/>
      <c r="G296" s="5"/>
      <c r="H296" s="16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>
      <c r="A297" s="5"/>
      <c r="B297" s="5"/>
      <c r="C297" s="168"/>
      <c r="D297" s="168"/>
      <c r="E297" s="5"/>
      <c r="F297" s="5"/>
      <c r="G297" s="5"/>
      <c r="H297" s="16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>
      <c r="A298" s="5"/>
      <c r="B298" s="5"/>
      <c r="C298" s="168"/>
      <c r="D298" s="168"/>
      <c r="E298" s="5"/>
      <c r="F298" s="5"/>
      <c r="G298" s="5"/>
      <c r="H298" s="16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>
      <c r="A299" s="5"/>
      <c r="B299" s="5"/>
      <c r="C299" s="168"/>
      <c r="D299" s="168"/>
      <c r="E299" s="5"/>
      <c r="F299" s="5"/>
      <c r="G299" s="5"/>
      <c r="H299" s="16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>
      <c r="A300" s="5"/>
      <c r="B300" s="5"/>
      <c r="C300" s="168"/>
      <c r="D300" s="168"/>
      <c r="E300" s="5"/>
      <c r="F300" s="5"/>
      <c r="G300" s="5"/>
      <c r="H300" s="16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>
      <c r="A301" s="5"/>
      <c r="B301" s="5"/>
      <c r="C301" s="168"/>
      <c r="D301" s="168"/>
      <c r="E301" s="5"/>
      <c r="F301" s="5"/>
      <c r="G301" s="5"/>
      <c r="H301" s="16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>
      <c r="A302" s="5"/>
      <c r="B302" s="5"/>
      <c r="C302" s="168"/>
      <c r="D302" s="168"/>
      <c r="E302" s="5"/>
      <c r="F302" s="5"/>
      <c r="G302" s="5"/>
      <c r="H302" s="16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>
      <c r="A303" s="5"/>
      <c r="B303" s="5"/>
      <c r="C303" s="168"/>
      <c r="D303" s="168"/>
      <c r="E303" s="5"/>
      <c r="F303" s="5"/>
      <c r="G303" s="5"/>
      <c r="H303" s="16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>
      <c r="A304" s="5"/>
      <c r="B304" s="5"/>
      <c r="C304" s="168"/>
      <c r="D304" s="168"/>
      <c r="E304" s="5"/>
      <c r="F304" s="5"/>
      <c r="G304" s="5"/>
      <c r="H304" s="16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>
      <c r="A305" s="5"/>
      <c r="B305" s="5"/>
      <c r="C305" s="168"/>
      <c r="D305" s="168"/>
      <c r="E305" s="5"/>
      <c r="F305" s="5"/>
      <c r="G305" s="5"/>
      <c r="H305" s="16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>
      <c r="A306" s="5"/>
      <c r="B306" s="5"/>
      <c r="C306" s="168"/>
      <c r="D306" s="168"/>
      <c r="E306" s="5"/>
      <c r="F306" s="5"/>
      <c r="G306" s="5"/>
      <c r="H306" s="16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>
      <c r="A307" s="5"/>
      <c r="B307" s="5"/>
      <c r="C307" s="168"/>
      <c r="D307" s="168"/>
      <c r="E307" s="5"/>
      <c r="F307" s="5"/>
      <c r="G307" s="5"/>
      <c r="H307" s="16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>
      <c r="A308" s="5"/>
      <c r="B308" s="5"/>
      <c r="C308" s="168"/>
      <c r="D308" s="168"/>
      <c r="E308" s="5"/>
      <c r="F308" s="5"/>
      <c r="G308" s="5"/>
      <c r="H308" s="16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>
      <c r="A309" s="5"/>
      <c r="B309" s="5"/>
      <c r="C309" s="168"/>
      <c r="D309" s="168"/>
      <c r="E309" s="5"/>
      <c r="F309" s="5"/>
      <c r="G309" s="5"/>
      <c r="H309" s="16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>
      <c r="A310" s="5"/>
      <c r="B310" s="5"/>
      <c r="C310" s="168"/>
      <c r="D310" s="168"/>
      <c r="E310" s="5"/>
      <c r="F310" s="5"/>
      <c r="G310" s="5"/>
      <c r="H310" s="16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>
      <c r="A311" s="5"/>
      <c r="B311" s="5"/>
      <c r="C311" s="168"/>
      <c r="D311" s="168"/>
      <c r="E311" s="5"/>
      <c r="F311" s="5"/>
      <c r="G311" s="5"/>
      <c r="H311" s="16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>
      <c r="A312" s="5"/>
      <c r="B312" s="5"/>
      <c r="C312" s="168"/>
      <c r="D312" s="168"/>
      <c r="E312" s="5"/>
      <c r="F312" s="5"/>
      <c r="G312" s="5"/>
      <c r="H312" s="16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>
      <c r="A313" s="5"/>
      <c r="B313" s="5"/>
      <c r="C313" s="168"/>
      <c r="D313" s="168"/>
      <c r="E313" s="5"/>
      <c r="F313" s="5"/>
      <c r="G313" s="5"/>
      <c r="H313" s="16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>
      <c r="A314" s="5"/>
      <c r="B314" s="5"/>
      <c r="C314" s="168"/>
      <c r="D314" s="168"/>
      <c r="E314" s="5"/>
      <c r="F314" s="5"/>
      <c r="G314" s="5"/>
      <c r="H314" s="16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>
      <c r="A315" s="5"/>
      <c r="B315" s="5"/>
      <c r="C315" s="168"/>
      <c r="D315" s="168"/>
      <c r="E315" s="5"/>
      <c r="F315" s="5"/>
      <c r="G315" s="5"/>
      <c r="H315" s="16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>
      <c r="A316" s="5"/>
      <c r="B316" s="5"/>
      <c r="C316" s="168"/>
      <c r="D316" s="168"/>
      <c r="E316" s="5"/>
      <c r="F316" s="5"/>
      <c r="G316" s="5"/>
      <c r="H316" s="16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>
      <c r="A317" s="5"/>
      <c r="B317" s="5"/>
      <c r="C317" s="168"/>
      <c r="D317" s="168"/>
      <c r="E317" s="5"/>
      <c r="F317" s="5"/>
      <c r="G317" s="5"/>
      <c r="H317" s="16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>
      <c r="A318" s="5"/>
      <c r="B318" s="5"/>
      <c r="C318" s="168"/>
      <c r="D318" s="168"/>
      <c r="E318" s="5"/>
      <c r="F318" s="5"/>
      <c r="G318" s="5"/>
      <c r="H318" s="16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>
      <c r="A319" s="5"/>
      <c r="B319" s="5"/>
      <c r="C319" s="168"/>
      <c r="D319" s="168"/>
      <c r="E319" s="5"/>
      <c r="F319" s="5"/>
      <c r="G319" s="5"/>
      <c r="H319" s="16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>
      <c r="A320" s="5"/>
      <c r="B320" s="5"/>
      <c r="C320" s="168"/>
      <c r="D320" s="168"/>
      <c r="E320" s="5"/>
      <c r="F320" s="5"/>
      <c r="G320" s="5"/>
      <c r="H320" s="16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>
      <c r="A321" s="5"/>
      <c r="B321" s="5"/>
      <c r="C321" s="168"/>
      <c r="D321" s="168"/>
      <c r="E321" s="5"/>
      <c r="F321" s="5"/>
      <c r="G321" s="5"/>
      <c r="H321" s="16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>
      <c r="A322" s="5"/>
      <c r="B322" s="5"/>
      <c r="C322" s="168"/>
      <c r="D322" s="168"/>
      <c r="E322" s="5"/>
      <c r="F322" s="5"/>
      <c r="G322" s="5"/>
      <c r="H322" s="16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>
      <c r="A323" s="5"/>
      <c r="B323" s="5"/>
      <c r="C323" s="168"/>
      <c r="D323" s="168"/>
      <c r="E323" s="5"/>
      <c r="F323" s="5"/>
      <c r="G323" s="5"/>
      <c r="H323" s="16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>
      <c r="A324" s="5"/>
      <c r="B324" s="5"/>
      <c r="C324" s="168"/>
      <c r="D324" s="168"/>
      <c r="E324" s="5"/>
      <c r="F324" s="5"/>
      <c r="G324" s="5"/>
      <c r="H324" s="16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>
      <c r="A325" s="5"/>
      <c r="B325" s="5"/>
      <c r="C325" s="168"/>
      <c r="D325" s="168"/>
      <c r="E325" s="5"/>
      <c r="F325" s="5"/>
      <c r="G325" s="5"/>
      <c r="H325" s="16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>
      <c r="A326" s="5"/>
      <c r="B326" s="5"/>
      <c r="C326" s="168"/>
      <c r="D326" s="168"/>
      <c r="E326" s="5"/>
      <c r="F326" s="5"/>
      <c r="G326" s="5"/>
      <c r="H326" s="16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>
      <c r="A327" s="5"/>
      <c r="B327" s="5"/>
      <c r="C327" s="168"/>
      <c r="D327" s="168"/>
      <c r="E327" s="5"/>
      <c r="F327" s="5"/>
      <c r="G327" s="5"/>
      <c r="H327" s="16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>
      <c r="A328" s="5"/>
      <c r="B328" s="5"/>
      <c r="C328" s="168"/>
      <c r="D328" s="168"/>
      <c r="E328" s="5"/>
      <c r="F328" s="5"/>
      <c r="G328" s="5"/>
      <c r="H328" s="16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>
      <c r="A329" s="5"/>
      <c r="B329" s="5"/>
      <c r="C329" s="168"/>
      <c r="D329" s="168"/>
      <c r="E329" s="5"/>
      <c r="F329" s="5"/>
      <c r="G329" s="5"/>
      <c r="H329" s="16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>
      <c r="A330" s="5"/>
      <c r="B330" s="5"/>
      <c r="C330" s="168"/>
      <c r="D330" s="168"/>
      <c r="E330" s="5"/>
      <c r="F330" s="5"/>
      <c r="G330" s="5"/>
      <c r="H330" s="16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>
      <c r="A331" s="5"/>
      <c r="B331" s="5"/>
      <c r="C331" s="168"/>
      <c r="D331" s="168"/>
      <c r="E331" s="5"/>
      <c r="F331" s="5"/>
      <c r="G331" s="5"/>
      <c r="H331" s="16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>
      <c r="A332" s="5"/>
      <c r="B332" s="5"/>
      <c r="C332" s="168"/>
      <c r="D332" s="168"/>
      <c r="E332" s="5"/>
      <c r="F332" s="5"/>
      <c r="G332" s="5"/>
      <c r="H332" s="16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>
      <c r="A333" s="5"/>
      <c r="B333" s="5"/>
      <c r="C333" s="168"/>
      <c r="D333" s="168"/>
      <c r="E333" s="5"/>
      <c r="F333" s="5"/>
      <c r="G333" s="5"/>
      <c r="H333" s="16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>
      <c r="A334" s="5"/>
      <c r="B334" s="5"/>
      <c r="C334" s="168"/>
      <c r="D334" s="168"/>
      <c r="E334" s="5"/>
      <c r="F334" s="5"/>
      <c r="G334" s="5"/>
      <c r="H334" s="16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>
      <c r="A335" s="5"/>
      <c r="B335" s="5"/>
      <c r="C335" s="168"/>
      <c r="D335" s="168"/>
      <c r="E335" s="5"/>
      <c r="F335" s="5"/>
      <c r="G335" s="5"/>
      <c r="H335" s="16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>
      <c r="A336" s="5"/>
      <c r="B336" s="5"/>
      <c r="C336" s="168"/>
      <c r="D336" s="168"/>
      <c r="E336" s="5"/>
      <c r="F336" s="5"/>
      <c r="G336" s="5"/>
      <c r="H336" s="16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>
      <c r="A337" s="5"/>
      <c r="B337" s="5"/>
      <c r="C337" s="168"/>
      <c r="D337" s="168"/>
      <c r="E337" s="5"/>
      <c r="F337" s="5"/>
      <c r="G337" s="5"/>
      <c r="H337" s="16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>
      <c r="A338" s="5"/>
      <c r="B338" s="5"/>
      <c r="C338" s="168"/>
      <c r="D338" s="168"/>
      <c r="E338" s="5"/>
      <c r="F338" s="5"/>
      <c r="G338" s="5"/>
      <c r="H338" s="16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>
      <c r="A339" s="5"/>
      <c r="B339" s="5"/>
      <c r="C339" s="168"/>
      <c r="D339" s="168"/>
      <c r="E339" s="5"/>
      <c r="F339" s="5"/>
      <c r="G339" s="5"/>
      <c r="H339" s="16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>
      <c r="A340" s="5"/>
      <c r="B340" s="5"/>
      <c r="C340" s="168"/>
      <c r="D340" s="168"/>
      <c r="E340" s="5"/>
      <c r="F340" s="5"/>
      <c r="G340" s="5"/>
      <c r="H340" s="16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>
      <c r="A341" s="5"/>
      <c r="B341" s="5"/>
      <c r="C341" s="168"/>
      <c r="D341" s="168"/>
      <c r="E341" s="5"/>
      <c r="F341" s="5"/>
      <c r="G341" s="5"/>
      <c r="H341" s="16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>
      <c r="A342" s="5"/>
      <c r="B342" s="5"/>
      <c r="C342" s="168"/>
      <c r="D342" s="168"/>
      <c r="E342" s="5"/>
      <c r="F342" s="5"/>
      <c r="G342" s="5"/>
      <c r="H342" s="16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>
      <c r="A343" s="5"/>
      <c r="B343" s="5"/>
      <c r="C343" s="168"/>
      <c r="D343" s="168"/>
      <c r="E343" s="5"/>
      <c r="F343" s="5"/>
      <c r="G343" s="5"/>
      <c r="H343" s="16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>
      <c r="A344" s="5"/>
      <c r="B344" s="5"/>
      <c r="C344" s="168"/>
      <c r="D344" s="168"/>
      <c r="E344" s="5"/>
      <c r="F344" s="5"/>
      <c r="G344" s="5"/>
      <c r="H344" s="16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>
      <c r="A345" s="5"/>
      <c r="B345" s="5"/>
      <c r="C345" s="168"/>
      <c r="D345" s="168"/>
      <c r="E345" s="5"/>
      <c r="F345" s="5"/>
      <c r="G345" s="5"/>
      <c r="H345" s="16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>
      <c r="A346" s="5"/>
      <c r="B346" s="5"/>
      <c r="C346" s="168"/>
      <c r="D346" s="168"/>
      <c r="E346" s="5"/>
      <c r="F346" s="5"/>
      <c r="G346" s="5"/>
      <c r="H346" s="16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>
      <c r="A347" s="5"/>
      <c r="B347" s="5"/>
      <c r="C347" s="168"/>
      <c r="D347" s="168"/>
      <c r="E347" s="5"/>
      <c r="F347" s="5"/>
      <c r="G347" s="5"/>
      <c r="H347" s="16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>
      <c r="A348" s="5"/>
      <c r="B348" s="5"/>
      <c r="C348" s="168"/>
      <c r="D348" s="168"/>
      <c r="E348" s="5"/>
      <c r="F348" s="5"/>
      <c r="G348" s="5"/>
      <c r="H348" s="16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>
      <c r="A349" s="5"/>
      <c r="B349" s="5"/>
      <c r="C349" s="168"/>
      <c r="D349" s="168"/>
      <c r="E349" s="5"/>
      <c r="F349" s="5"/>
      <c r="G349" s="5"/>
      <c r="H349" s="16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>
      <c r="A350" s="5"/>
      <c r="B350" s="5"/>
      <c r="C350" s="168"/>
      <c r="D350" s="168"/>
      <c r="E350" s="5"/>
      <c r="F350" s="5"/>
      <c r="G350" s="5"/>
      <c r="H350" s="16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>
      <c r="A351" s="5"/>
      <c r="B351" s="5"/>
      <c r="C351" s="168"/>
      <c r="D351" s="168"/>
      <c r="E351" s="5"/>
      <c r="F351" s="5"/>
      <c r="G351" s="5"/>
      <c r="H351" s="16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>
      <c r="A352" s="5"/>
      <c r="B352" s="5"/>
      <c r="C352" s="168"/>
      <c r="D352" s="168"/>
      <c r="E352" s="5"/>
      <c r="F352" s="5"/>
      <c r="G352" s="5"/>
      <c r="H352" s="16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>
      <c r="A353" s="5"/>
      <c r="B353" s="5"/>
      <c r="C353" s="168"/>
      <c r="D353" s="168"/>
      <c r="E353" s="5"/>
      <c r="F353" s="5"/>
      <c r="G353" s="5"/>
      <c r="H353" s="16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>
      <c r="A354" s="5"/>
      <c r="B354" s="5"/>
      <c r="C354" s="168"/>
      <c r="D354" s="168"/>
      <c r="E354" s="5"/>
      <c r="F354" s="5"/>
      <c r="G354" s="5"/>
      <c r="H354" s="16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>
      <c r="A355" s="5"/>
      <c r="B355" s="5"/>
      <c r="C355" s="168"/>
      <c r="D355" s="168"/>
      <c r="E355" s="5"/>
      <c r="F355" s="5"/>
      <c r="G355" s="5"/>
      <c r="H355" s="16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>
      <c r="A356" s="5"/>
      <c r="B356" s="5"/>
      <c r="C356" s="168"/>
      <c r="D356" s="168"/>
      <c r="E356" s="5"/>
      <c r="F356" s="5"/>
      <c r="G356" s="5"/>
      <c r="H356" s="16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>
      <c r="A357" s="5"/>
      <c r="B357" s="5"/>
      <c r="C357" s="168"/>
      <c r="D357" s="168"/>
      <c r="E357" s="5"/>
      <c r="F357" s="5"/>
      <c r="G357" s="5"/>
      <c r="H357" s="16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>
      <c r="A358" s="5"/>
      <c r="B358" s="5"/>
      <c r="C358" s="168"/>
      <c r="D358" s="168"/>
      <c r="E358" s="5"/>
      <c r="F358" s="5"/>
      <c r="G358" s="5"/>
      <c r="H358" s="16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>
      <c r="A359" s="5"/>
      <c r="B359" s="5"/>
      <c r="C359" s="168"/>
      <c r="D359" s="168"/>
      <c r="E359" s="5"/>
      <c r="F359" s="5"/>
      <c r="G359" s="5"/>
      <c r="H359" s="16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>
      <c r="A360" s="5"/>
      <c r="B360" s="5"/>
      <c r="C360" s="168"/>
      <c r="D360" s="168"/>
      <c r="E360" s="5"/>
      <c r="F360" s="5"/>
      <c r="G360" s="5"/>
      <c r="H360" s="16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>
      <c r="A361" s="5"/>
      <c r="B361" s="5"/>
      <c r="C361" s="168"/>
      <c r="D361" s="168"/>
      <c r="E361" s="5"/>
      <c r="F361" s="5"/>
      <c r="G361" s="5"/>
      <c r="H361" s="16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>
      <c r="A362" s="5"/>
      <c r="B362" s="5"/>
      <c r="C362" s="168"/>
      <c r="D362" s="168"/>
      <c r="E362" s="5"/>
      <c r="F362" s="5"/>
      <c r="G362" s="5"/>
      <c r="H362" s="16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>
      <c r="A363" s="5"/>
      <c r="B363" s="5"/>
      <c r="C363" s="168"/>
      <c r="D363" s="168"/>
      <c r="E363" s="5"/>
      <c r="F363" s="5"/>
      <c r="G363" s="5"/>
      <c r="H363" s="16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>
      <c r="A364" s="5"/>
      <c r="B364" s="5"/>
      <c r="C364" s="168"/>
      <c r="D364" s="168"/>
      <c r="E364" s="5"/>
      <c r="F364" s="5"/>
      <c r="G364" s="5"/>
      <c r="H364" s="16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>
      <c r="A365" s="5"/>
      <c r="B365" s="5"/>
      <c r="C365" s="168"/>
      <c r="D365" s="168"/>
      <c r="E365" s="5"/>
      <c r="F365" s="5"/>
      <c r="G365" s="5"/>
      <c r="H365" s="16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>
      <c r="A366" s="5"/>
      <c r="B366" s="5"/>
      <c r="C366" s="168"/>
      <c r="D366" s="168"/>
      <c r="E366" s="5"/>
      <c r="F366" s="5"/>
      <c r="G366" s="5"/>
      <c r="H366" s="16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>
      <c r="A367" s="5"/>
      <c r="B367" s="5"/>
      <c r="C367" s="168"/>
      <c r="D367" s="168"/>
      <c r="E367" s="5"/>
      <c r="F367" s="5"/>
      <c r="G367" s="5"/>
      <c r="H367" s="16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>
      <c r="A368" s="5"/>
      <c r="B368" s="5"/>
      <c r="C368" s="168"/>
      <c r="D368" s="168"/>
      <c r="E368" s="5"/>
      <c r="F368" s="5"/>
      <c r="G368" s="5"/>
      <c r="H368" s="16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>
      <c r="A369" s="5"/>
      <c r="B369" s="5"/>
      <c r="C369" s="168"/>
      <c r="D369" s="168"/>
      <c r="E369" s="5"/>
      <c r="F369" s="5"/>
      <c r="G369" s="5"/>
      <c r="H369" s="16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>
      <c r="A370" s="5"/>
      <c r="B370" s="5"/>
      <c r="C370" s="168"/>
      <c r="D370" s="168"/>
      <c r="E370" s="5"/>
      <c r="F370" s="5"/>
      <c r="G370" s="5"/>
      <c r="H370" s="16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>
      <c r="A371" s="5"/>
      <c r="B371" s="5"/>
      <c r="C371" s="168"/>
      <c r="D371" s="168"/>
      <c r="E371" s="5"/>
      <c r="F371" s="5"/>
      <c r="G371" s="5"/>
      <c r="H371" s="16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>
      <c r="A372" s="5"/>
      <c r="B372" s="5"/>
      <c r="C372" s="168"/>
      <c r="D372" s="168"/>
      <c r="E372" s="5"/>
      <c r="F372" s="5"/>
      <c r="G372" s="5"/>
      <c r="H372" s="16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>
      <c r="A373" s="5"/>
      <c r="B373" s="5"/>
      <c r="C373" s="168"/>
      <c r="D373" s="168"/>
      <c r="E373" s="5"/>
      <c r="F373" s="5"/>
      <c r="G373" s="5"/>
      <c r="H373" s="16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>
      <c r="A374" s="5"/>
      <c r="B374" s="5"/>
      <c r="C374" s="168"/>
      <c r="D374" s="168"/>
      <c r="E374" s="5"/>
      <c r="F374" s="5"/>
      <c r="G374" s="5"/>
      <c r="H374" s="16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>
      <c r="A375" s="5"/>
      <c r="B375" s="5"/>
      <c r="C375" s="168"/>
      <c r="D375" s="168"/>
      <c r="E375" s="5"/>
      <c r="F375" s="5"/>
      <c r="G375" s="5"/>
      <c r="H375" s="16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>
      <c r="A376" s="5"/>
      <c r="B376" s="5"/>
      <c r="C376" s="168"/>
      <c r="D376" s="168"/>
      <c r="E376" s="5"/>
      <c r="F376" s="5"/>
      <c r="G376" s="5"/>
      <c r="H376" s="16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>
      <c r="A377" s="5"/>
      <c r="B377" s="5"/>
      <c r="C377" s="168"/>
      <c r="D377" s="168"/>
      <c r="E377" s="5"/>
      <c r="F377" s="5"/>
      <c r="G377" s="5"/>
      <c r="H377" s="16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>
      <c r="A378" s="5"/>
      <c r="B378" s="5"/>
      <c r="C378" s="168"/>
      <c r="D378" s="168"/>
      <c r="E378" s="5"/>
      <c r="F378" s="5"/>
      <c r="G378" s="5"/>
      <c r="H378" s="16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>
      <c r="A379" s="5"/>
      <c r="B379" s="5"/>
      <c r="C379" s="168"/>
      <c r="D379" s="168"/>
      <c r="E379" s="5"/>
      <c r="F379" s="5"/>
      <c r="G379" s="5"/>
      <c r="H379" s="16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>
      <c r="A380" s="5"/>
      <c r="B380" s="5"/>
      <c r="C380" s="168"/>
      <c r="D380" s="168"/>
      <c r="E380" s="5"/>
      <c r="F380" s="5"/>
      <c r="G380" s="5"/>
      <c r="H380" s="16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>
      <c r="A381" s="5"/>
      <c r="B381" s="5"/>
      <c r="C381" s="168"/>
      <c r="D381" s="168"/>
      <c r="E381" s="5"/>
      <c r="F381" s="5"/>
      <c r="G381" s="5"/>
      <c r="H381" s="16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>
      <c r="A382" s="5"/>
      <c r="B382" s="5"/>
      <c r="C382" s="168"/>
      <c r="D382" s="168"/>
      <c r="E382" s="5"/>
      <c r="F382" s="5"/>
      <c r="G382" s="5"/>
      <c r="H382" s="16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>
      <c r="A383" s="5"/>
      <c r="B383" s="5"/>
      <c r="C383" s="168"/>
      <c r="D383" s="168"/>
      <c r="E383" s="5"/>
      <c r="F383" s="5"/>
      <c r="G383" s="5"/>
      <c r="H383" s="16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>
      <c r="A384" s="5"/>
      <c r="B384" s="5"/>
      <c r="C384" s="168"/>
      <c r="D384" s="168"/>
      <c r="E384" s="5"/>
      <c r="F384" s="5"/>
      <c r="G384" s="5"/>
      <c r="H384" s="16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>
      <c r="A385" s="5"/>
      <c r="B385" s="5"/>
      <c r="C385" s="168"/>
      <c r="D385" s="168"/>
      <c r="E385" s="5"/>
      <c r="F385" s="5"/>
      <c r="G385" s="5"/>
      <c r="H385" s="16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>
      <c r="A386" s="5"/>
      <c r="B386" s="5"/>
      <c r="C386" s="168"/>
      <c r="D386" s="168"/>
      <c r="E386" s="5"/>
      <c r="F386" s="5"/>
      <c r="G386" s="5"/>
      <c r="H386" s="16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>
      <c r="A387" s="5"/>
      <c r="B387" s="5"/>
      <c r="C387" s="168"/>
      <c r="D387" s="168"/>
      <c r="E387" s="5"/>
      <c r="F387" s="5"/>
      <c r="G387" s="5"/>
      <c r="H387" s="16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>
      <c r="A388" s="5"/>
      <c r="B388" s="5"/>
      <c r="C388" s="168"/>
      <c r="D388" s="168"/>
      <c r="E388" s="5"/>
      <c r="F388" s="5"/>
      <c r="G388" s="5"/>
      <c r="H388" s="16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>
      <c r="A389" s="5"/>
      <c r="B389" s="5"/>
      <c r="C389" s="168"/>
      <c r="D389" s="168"/>
      <c r="E389" s="5"/>
      <c r="F389" s="5"/>
      <c r="G389" s="5"/>
      <c r="H389" s="16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>
      <c r="A390" s="5"/>
      <c r="B390" s="5"/>
      <c r="C390" s="168"/>
      <c r="D390" s="168"/>
      <c r="E390" s="5"/>
      <c r="F390" s="5"/>
      <c r="G390" s="5"/>
      <c r="H390" s="16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>
      <c r="A391" s="5"/>
      <c r="B391" s="5"/>
      <c r="C391" s="168"/>
      <c r="D391" s="168"/>
      <c r="E391" s="5"/>
      <c r="F391" s="5"/>
      <c r="G391" s="5"/>
      <c r="H391" s="16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>
      <c r="A392" s="5"/>
      <c r="B392" s="5"/>
      <c r="C392" s="168"/>
      <c r="D392" s="168"/>
      <c r="E392" s="5"/>
      <c r="F392" s="5"/>
      <c r="G392" s="5"/>
      <c r="H392" s="16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>
      <c r="A393" s="5"/>
      <c r="B393" s="5"/>
      <c r="C393" s="168"/>
      <c r="D393" s="168"/>
      <c r="E393" s="5"/>
      <c r="F393" s="5"/>
      <c r="G393" s="5"/>
      <c r="H393" s="16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>
      <c r="A394" s="5"/>
      <c r="B394" s="5"/>
      <c r="C394" s="168"/>
      <c r="D394" s="168"/>
      <c r="E394" s="5"/>
      <c r="F394" s="5"/>
      <c r="G394" s="5"/>
      <c r="H394" s="16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>
      <c r="A395" s="5"/>
      <c r="B395" s="5"/>
      <c r="C395" s="168"/>
      <c r="D395" s="168"/>
      <c r="E395" s="5"/>
      <c r="F395" s="5"/>
      <c r="G395" s="5"/>
      <c r="H395" s="16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>
      <c r="A396" s="5"/>
      <c r="B396" s="5"/>
      <c r="C396" s="168"/>
      <c r="D396" s="168"/>
      <c r="E396" s="5"/>
      <c r="F396" s="5"/>
      <c r="G396" s="5"/>
      <c r="H396" s="16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>
      <c r="A397" s="5"/>
      <c r="B397" s="5"/>
      <c r="C397" s="168"/>
      <c r="D397" s="168"/>
      <c r="E397" s="5"/>
      <c r="F397" s="5"/>
      <c r="G397" s="5"/>
      <c r="H397" s="16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>
      <c r="A398" s="5"/>
      <c r="B398" s="5"/>
      <c r="C398" s="168"/>
      <c r="D398" s="168"/>
      <c r="E398" s="5"/>
      <c r="F398" s="5"/>
      <c r="G398" s="5"/>
      <c r="H398" s="16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>
      <c r="A399" s="5"/>
      <c r="B399" s="5"/>
      <c r="C399" s="168"/>
      <c r="D399" s="168"/>
      <c r="E399" s="5"/>
      <c r="F399" s="5"/>
      <c r="G399" s="5"/>
      <c r="H399" s="16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>
      <c r="A400" s="5"/>
      <c r="B400" s="5"/>
      <c r="C400" s="168"/>
      <c r="D400" s="168"/>
      <c r="E400" s="5"/>
      <c r="F400" s="5"/>
      <c r="G400" s="5"/>
      <c r="H400" s="16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>
      <c r="A401" s="5"/>
      <c r="B401" s="5"/>
      <c r="C401" s="168"/>
      <c r="D401" s="168"/>
      <c r="E401" s="5"/>
      <c r="F401" s="5"/>
      <c r="G401" s="5"/>
      <c r="H401" s="16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>
      <c r="A402" s="5"/>
      <c r="B402" s="5"/>
      <c r="C402" s="168"/>
      <c r="D402" s="168"/>
      <c r="E402" s="5"/>
      <c r="F402" s="5"/>
      <c r="G402" s="5"/>
      <c r="H402" s="16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>
      <c r="A403" s="5"/>
      <c r="B403" s="5"/>
      <c r="C403" s="168"/>
      <c r="D403" s="168"/>
      <c r="E403" s="5"/>
      <c r="F403" s="5"/>
      <c r="G403" s="5"/>
      <c r="H403" s="16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>
      <c r="A404" s="5"/>
      <c r="B404" s="5"/>
      <c r="C404" s="168"/>
      <c r="D404" s="168"/>
      <c r="E404" s="5"/>
      <c r="F404" s="5"/>
      <c r="G404" s="5"/>
      <c r="H404" s="16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>
      <c r="A405" s="5"/>
      <c r="B405" s="5"/>
      <c r="C405" s="168"/>
      <c r="D405" s="168"/>
      <c r="E405" s="5"/>
      <c r="F405" s="5"/>
      <c r="G405" s="5"/>
      <c r="H405" s="16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>
      <c r="A406" s="5"/>
      <c r="B406" s="5"/>
      <c r="C406" s="168"/>
      <c r="D406" s="168"/>
      <c r="E406" s="5"/>
      <c r="F406" s="5"/>
      <c r="G406" s="5"/>
      <c r="H406" s="16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>
      <c r="A407" s="5"/>
      <c r="B407" s="5"/>
      <c r="C407" s="168"/>
      <c r="D407" s="168"/>
      <c r="E407" s="5"/>
      <c r="F407" s="5"/>
      <c r="G407" s="5"/>
      <c r="H407" s="16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>
      <c r="A408" s="5"/>
      <c r="B408" s="5"/>
      <c r="C408" s="168"/>
      <c r="D408" s="168"/>
      <c r="E408" s="5"/>
      <c r="F408" s="5"/>
      <c r="G408" s="5"/>
      <c r="H408" s="16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>
      <c r="A409" s="5"/>
      <c r="B409" s="5"/>
      <c r="C409" s="168"/>
      <c r="D409" s="168"/>
      <c r="E409" s="5"/>
      <c r="F409" s="5"/>
      <c r="G409" s="5"/>
      <c r="H409" s="16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>
      <c r="A410" s="5"/>
      <c r="B410" s="5"/>
      <c r="C410" s="168"/>
      <c r="D410" s="168"/>
      <c r="E410" s="5"/>
      <c r="F410" s="5"/>
      <c r="G410" s="5"/>
      <c r="H410" s="16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>
      <c r="A411" s="5"/>
      <c r="B411" s="5"/>
      <c r="C411" s="168"/>
      <c r="D411" s="168"/>
      <c r="E411" s="5"/>
      <c r="F411" s="5"/>
      <c r="G411" s="5"/>
      <c r="H411" s="16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>
      <c r="A412" s="5"/>
      <c r="B412" s="5"/>
      <c r="C412" s="168"/>
      <c r="D412" s="168"/>
      <c r="E412" s="5"/>
      <c r="F412" s="5"/>
      <c r="G412" s="5"/>
      <c r="H412" s="16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>
      <c r="A413" s="5"/>
      <c r="B413" s="5"/>
      <c r="C413" s="168"/>
      <c r="D413" s="168"/>
      <c r="E413" s="5"/>
      <c r="F413" s="5"/>
      <c r="G413" s="5"/>
      <c r="H413" s="16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>
      <c r="A414" s="5"/>
      <c r="B414" s="5"/>
      <c r="C414" s="168"/>
      <c r="D414" s="168"/>
      <c r="E414" s="5"/>
      <c r="F414" s="5"/>
      <c r="G414" s="5"/>
      <c r="H414" s="16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>
      <c r="A415" s="5"/>
      <c r="B415" s="5"/>
      <c r="C415" s="168"/>
      <c r="D415" s="168"/>
      <c r="E415" s="5"/>
      <c r="F415" s="5"/>
      <c r="G415" s="5"/>
      <c r="H415" s="16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>
      <c r="A416" s="5"/>
      <c r="B416" s="5"/>
      <c r="C416" s="168"/>
      <c r="D416" s="168"/>
      <c r="E416" s="5"/>
      <c r="F416" s="5"/>
      <c r="G416" s="5"/>
      <c r="H416" s="16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>
      <c r="A417" s="5"/>
      <c r="B417" s="5"/>
      <c r="C417" s="168"/>
      <c r="D417" s="168"/>
      <c r="E417" s="5"/>
      <c r="F417" s="5"/>
      <c r="G417" s="5"/>
      <c r="H417" s="16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>
      <c r="A418" s="5"/>
      <c r="B418" s="5"/>
      <c r="C418" s="168"/>
      <c r="D418" s="168"/>
      <c r="E418" s="5"/>
      <c r="F418" s="5"/>
      <c r="G418" s="5"/>
      <c r="H418" s="16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>
      <c r="A419" s="5"/>
      <c r="B419" s="5"/>
      <c r="C419" s="168"/>
      <c r="D419" s="168"/>
      <c r="E419" s="5"/>
      <c r="F419" s="5"/>
      <c r="G419" s="5"/>
      <c r="H419" s="16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>
      <c r="A420" s="5"/>
      <c r="B420" s="5"/>
      <c r="C420" s="168"/>
      <c r="D420" s="168"/>
      <c r="E420" s="5"/>
      <c r="F420" s="5"/>
      <c r="G420" s="5"/>
      <c r="H420" s="16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>
      <c r="A421" s="5"/>
      <c r="B421" s="5"/>
      <c r="C421" s="168"/>
      <c r="D421" s="168"/>
      <c r="E421" s="5"/>
      <c r="F421" s="5"/>
      <c r="G421" s="5"/>
      <c r="H421" s="16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>
      <c r="A422" s="5"/>
      <c r="B422" s="5"/>
      <c r="C422" s="168"/>
      <c r="D422" s="168"/>
      <c r="E422" s="5"/>
      <c r="F422" s="5"/>
      <c r="G422" s="5"/>
      <c r="H422" s="16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>
      <c r="A423" s="5"/>
      <c r="B423" s="5"/>
      <c r="C423" s="168"/>
      <c r="D423" s="168"/>
      <c r="E423" s="5"/>
      <c r="F423" s="5"/>
      <c r="G423" s="5"/>
      <c r="H423" s="16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>
      <c r="A424" s="5"/>
      <c r="B424" s="5"/>
      <c r="C424" s="168"/>
      <c r="D424" s="168"/>
      <c r="E424" s="5"/>
      <c r="F424" s="5"/>
      <c r="G424" s="5"/>
      <c r="H424" s="16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>
      <c r="A425" s="5"/>
      <c r="B425" s="5"/>
      <c r="C425" s="168"/>
      <c r="D425" s="168"/>
      <c r="E425" s="5"/>
      <c r="F425" s="5"/>
      <c r="G425" s="5"/>
      <c r="H425" s="16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>
      <c r="A426" s="5"/>
      <c r="B426" s="5"/>
      <c r="C426" s="168"/>
      <c r="D426" s="168"/>
      <c r="E426" s="5"/>
      <c r="F426" s="5"/>
      <c r="G426" s="5"/>
      <c r="H426" s="16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>
      <c r="A427" s="5"/>
      <c r="B427" s="5"/>
      <c r="C427" s="168"/>
      <c r="D427" s="168"/>
      <c r="E427" s="5"/>
      <c r="F427" s="5"/>
      <c r="G427" s="5"/>
      <c r="H427" s="16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>
      <c r="A428" s="5"/>
      <c r="B428" s="5"/>
      <c r="C428" s="168"/>
      <c r="D428" s="168"/>
      <c r="E428" s="5"/>
      <c r="F428" s="5"/>
      <c r="G428" s="5"/>
      <c r="H428" s="16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>
      <c r="A429" s="5"/>
      <c r="B429" s="5"/>
      <c r="C429" s="168"/>
      <c r="D429" s="168"/>
      <c r="E429" s="5"/>
      <c r="F429" s="5"/>
      <c r="G429" s="5"/>
      <c r="H429" s="16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>
      <c r="A430" s="5"/>
      <c r="B430" s="5"/>
      <c r="C430" s="168"/>
      <c r="D430" s="168"/>
      <c r="E430" s="5"/>
      <c r="F430" s="5"/>
      <c r="G430" s="5"/>
      <c r="H430" s="16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>
      <c r="A431" s="5"/>
      <c r="B431" s="5"/>
      <c r="C431" s="168"/>
      <c r="D431" s="168"/>
      <c r="E431" s="5"/>
      <c r="F431" s="5"/>
      <c r="G431" s="5"/>
      <c r="H431" s="16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>
      <c r="A432" s="5"/>
      <c r="B432" s="5"/>
      <c r="C432" s="168"/>
      <c r="D432" s="168"/>
      <c r="E432" s="5"/>
      <c r="F432" s="5"/>
      <c r="G432" s="5"/>
      <c r="H432" s="16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>
      <c r="A433" s="5"/>
      <c r="B433" s="5"/>
      <c r="C433" s="168"/>
      <c r="D433" s="168"/>
      <c r="E433" s="5"/>
      <c r="F433" s="5"/>
      <c r="G433" s="5"/>
      <c r="H433" s="16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>
      <c r="A434" s="5"/>
      <c r="B434" s="5"/>
      <c r="C434" s="168"/>
      <c r="D434" s="168"/>
      <c r="E434" s="5"/>
      <c r="F434" s="5"/>
      <c r="G434" s="5"/>
      <c r="H434" s="16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>
      <c r="A435" s="5"/>
      <c r="B435" s="5"/>
      <c r="C435" s="168"/>
      <c r="D435" s="168"/>
      <c r="E435" s="5"/>
      <c r="F435" s="5"/>
      <c r="G435" s="5"/>
      <c r="H435" s="16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>
      <c r="A436" s="5"/>
      <c r="B436" s="5"/>
      <c r="C436" s="168"/>
      <c r="D436" s="168"/>
      <c r="E436" s="5"/>
      <c r="F436" s="5"/>
      <c r="G436" s="5"/>
      <c r="H436" s="16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>
      <c r="A437" s="5"/>
      <c r="B437" s="5"/>
      <c r="C437" s="168"/>
      <c r="D437" s="168"/>
      <c r="E437" s="5"/>
      <c r="F437" s="5"/>
      <c r="G437" s="5"/>
      <c r="H437" s="16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>
      <c r="A438" s="5"/>
      <c r="B438" s="5"/>
      <c r="C438" s="168"/>
      <c r="D438" s="168"/>
      <c r="E438" s="5"/>
      <c r="F438" s="5"/>
      <c r="G438" s="5"/>
      <c r="H438" s="16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>
      <c r="A439" s="5"/>
      <c r="B439" s="5"/>
      <c r="C439" s="168"/>
      <c r="D439" s="168"/>
      <c r="E439" s="5"/>
      <c r="F439" s="5"/>
      <c r="G439" s="5"/>
      <c r="H439" s="16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>
      <c r="A440" s="5"/>
      <c r="B440" s="5"/>
      <c r="C440" s="168"/>
      <c r="D440" s="168"/>
      <c r="E440" s="5"/>
      <c r="F440" s="5"/>
      <c r="G440" s="5"/>
      <c r="H440" s="16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>
      <c r="A441" s="5"/>
      <c r="B441" s="5"/>
      <c r="C441" s="168"/>
      <c r="D441" s="168"/>
      <c r="E441" s="5"/>
      <c r="F441" s="5"/>
      <c r="G441" s="5"/>
      <c r="H441" s="16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>
      <c r="A442" s="5"/>
      <c r="B442" s="5"/>
      <c r="C442" s="168"/>
      <c r="D442" s="168"/>
      <c r="E442" s="5"/>
      <c r="F442" s="5"/>
      <c r="G442" s="5"/>
      <c r="H442" s="16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>
      <c r="A443" s="5"/>
      <c r="B443" s="5"/>
      <c r="C443" s="168"/>
      <c r="D443" s="168"/>
      <c r="E443" s="5"/>
      <c r="F443" s="5"/>
      <c r="G443" s="5"/>
      <c r="H443" s="16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>
      <c r="A444" s="5"/>
      <c r="B444" s="5"/>
      <c r="C444" s="168"/>
      <c r="D444" s="168"/>
      <c r="E444" s="5"/>
      <c r="F444" s="5"/>
      <c r="G444" s="5"/>
      <c r="H444" s="16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>
      <c r="A445" s="5"/>
      <c r="B445" s="5"/>
      <c r="C445" s="168"/>
      <c r="D445" s="168"/>
      <c r="E445" s="5"/>
      <c r="F445" s="5"/>
      <c r="G445" s="5"/>
      <c r="H445" s="16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>
      <c r="A446" s="5"/>
      <c r="B446" s="5"/>
      <c r="C446" s="168"/>
      <c r="D446" s="168"/>
      <c r="E446" s="5"/>
      <c r="F446" s="5"/>
      <c r="G446" s="5"/>
      <c r="H446" s="16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>
      <c r="A447" s="5"/>
      <c r="B447" s="5"/>
      <c r="C447" s="168"/>
      <c r="D447" s="168"/>
      <c r="E447" s="5"/>
      <c r="F447" s="5"/>
      <c r="G447" s="5"/>
      <c r="H447" s="16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>
      <c r="A448" s="5"/>
      <c r="B448" s="5"/>
      <c r="C448" s="168"/>
      <c r="D448" s="168"/>
      <c r="E448" s="5"/>
      <c r="F448" s="5"/>
      <c r="G448" s="5"/>
      <c r="H448" s="16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>
      <c r="A449" s="5"/>
      <c r="B449" s="5"/>
      <c r="C449" s="168"/>
      <c r="D449" s="168"/>
      <c r="E449" s="5"/>
      <c r="F449" s="5"/>
      <c r="G449" s="5"/>
      <c r="H449" s="16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>
      <c r="A450" s="5"/>
      <c r="B450" s="5"/>
      <c r="C450" s="168"/>
      <c r="D450" s="168"/>
      <c r="E450" s="5"/>
      <c r="F450" s="5"/>
      <c r="G450" s="5"/>
      <c r="H450" s="16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>
      <c r="A451" s="5"/>
      <c r="B451" s="5"/>
      <c r="C451" s="168"/>
      <c r="D451" s="168"/>
      <c r="E451" s="5"/>
      <c r="F451" s="5"/>
      <c r="G451" s="5"/>
      <c r="H451" s="16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>
      <c r="A452" s="5"/>
      <c r="B452" s="5"/>
      <c r="C452" s="168"/>
      <c r="D452" s="168"/>
      <c r="E452" s="5"/>
      <c r="F452" s="5"/>
      <c r="G452" s="5"/>
      <c r="H452" s="16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>
      <c r="A453" s="5"/>
      <c r="B453" s="5"/>
      <c r="C453" s="168"/>
      <c r="D453" s="168"/>
      <c r="E453" s="5"/>
      <c r="F453" s="5"/>
      <c r="G453" s="5"/>
      <c r="H453" s="16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>
      <c r="A454" s="5"/>
      <c r="B454" s="5"/>
      <c r="C454" s="168"/>
      <c r="D454" s="168"/>
      <c r="E454" s="5"/>
      <c r="F454" s="5"/>
      <c r="G454" s="5"/>
      <c r="H454" s="16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>
      <c r="A455" s="5"/>
      <c r="B455" s="5"/>
      <c r="C455" s="168"/>
      <c r="D455" s="168"/>
      <c r="E455" s="5"/>
      <c r="F455" s="5"/>
      <c r="G455" s="5"/>
      <c r="H455" s="16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>
      <c r="A456" s="5"/>
      <c r="B456" s="5"/>
      <c r="C456" s="168"/>
      <c r="D456" s="168"/>
      <c r="E456" s="5"/>
      <c r="F456" s="5"/>
      <c r="G456" s="5"/>
      <c r="H456" s="16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>
      <c r="A457" s="5"/>
      <c r="B457" s="5"/>
      <c r="C457" s="168"/>
      <c r="D457" s="168"/>
      <c r="E457" s="5"/>
      <c r="F457" s="5"/>
      <c r="G457" s="5"/>
      <c r="H457" s="16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>
      <c r="A458" s="5"/>
      <c r="B458" s="5"/>
      <c r="C458" s="168"/>
      <c r="D458" s="168"/>
      <c r="E458" s="5"/>
      <c r="F458" s="5"/>
      <c r="G458" s="5"/>
      <c r="H458" s="16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>
      <c r="A459" s="5"/>
      <c r="B459" s="5"/>
      <c r="C459" s="168"/>
      <c r="D459" s="168"/>
      <c r="E459" s="5"/>
      <c r="F459" s="5"/>
      <c r="G459" s="5"/>
      <c r="H459" s="16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>
      <c r="A460" s="5"/>
      <c r="B460" s="5"/>
      <c r="C460" s="168"/>
      <c r="D460" s="168"/>
      <c r="E460" s="5"/>
      <c r="F460" s="5"/>
      <c r="G460" s="5"/>
      <c r="H460" s="16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>
      <c r="A461" s="5"/>
      <c r="B461" s="5"/>
      <c r="C461" s="168"/>
      <c r="D461" s="168"/>
      <c r="E461" s="5"/>
      <c r="F461" s="5"/>
      <c r="G461" s="5"/>
      <c r="H461" s="16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>
      <c r="A462" s="5"/>
      <c r="B462" s="5"/>
      <c r="C462" s="168"/>
      <c r="D462" s="168"/>
      <c r="E462" s="5"/>
      <c r="F462" s="5"/>
      <c r="G462" s="5"/>
      <c r="H462" s="16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>
      <c r="A463" s="5"/>
      <c r="B463" s="5"/>
      <c r="C463" s="168"/>
      <c r="D463" s="168"/>
      <c r="E463" s="5"/>
      <c r="F463" s="5"/>
      <c r="G463" s="5"/>
      <c r="H463" s="16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>
      <c r="A464" s="5"/>
      <c r="B464" s="5"/>
      <c r="C464" s="168"/>
      <c r="D464" s="168"/>
      <c r="E464" s="5"/>
      <c r="F464" s="5"/>
      <c r="G464" s="5"/>
      <c r="H464" s="16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>
      <c r="A465" s="5"/>
      <c r="B465" s="5"/>
      <c r="C465" s="168"/>
      <c r="D465" s="168"/>
      <c r="E465" s="5"/>
      <c r="F465" s="5"/>
      <c r="G465" s="5"/>
      <c r="H465" s="16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>
      <c r="A466" s="5"/>
      <c r="B466" s="5"/>
      <c r="C466" s="168"/>
      <c r="D466" s="168"/>
      <c r="E466" s="5"/>
      <c r="F466" s="5"/>
      <c r="G466" s="5"/>
      <c r="H466" s="16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>
      <c r="A467" s="5"/>
      <c r="B467" s="5"/>
      <c r="C467" s="168"/>
      <c r="D467" s="168"/>
      <c r="E467" s="5"/>
      <c r="F467" s="5"/>
      <c r="G467" s="5"/>
      <c r="H467" s="16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>
      <c r="A468" s="5"/>
      <c r="B468" s="5"/>
      <c r="C468" s="168"/>
      <c r="D468" s="168"/>
      <c r="E468" s="5"/>
      <c r="F468" s="5"/>
      <c r="G468" s="5"/>
      <c r="H468" s="16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>
      <c r="A469" s="5"/>
      <c r="B469" s="5"/>
      <c r="C469" s="168"/>
      <c r="D469" s="168"/>
      <c r="E469" s="5"/>
      <c r="F469" s="5"/>
      <c r="G469" s="5"/>
      <c r="H469" s="16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>
      <c r="A470" s="5"/>
      <c r="B470" s="5"/>
      <c r="C470" s="168"/>
      <c r="D470" s="168"/>
      <c r="E470" s="5"/>
      <c r="F470" s="5"/>
      <c r="G470" s="5"/>
      <c r="H470" s="16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>
      <c r="A471" s="5"/>
      <c r="B471" s="5"/>
      <c r="C471" s="168"/>
      <c r="D471" s="168"/>
      <c r="E471" s="5"/>
      <c r="F471" s="5"/>
      <c r="G471" s="5"/>
      <c r="H471" s="16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>
      <c r="A472" s="5"/>
      <c r="B472" s="5"/>
      <c r="C472" s="168"/>
      <c r="D472" s="168"/>
      <c r="E472" s="5"/>
      <c r="F472" s="5"/>
      <c r="G472" s="5"/>
      <c r="H472" s="16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>
      <c r="A473" s="5"/>
      <c r="B473" s="5"/>
      <c r="C473" s="168"/>
      <c r="D473" s="168"/>
      <c r="E473" s="5"/>
      <c r="F473" s="5"/>
      <c r="G473" s="5"/>
      <c r="H473" s="16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>
      <c r="A474" s="5"/>
      <c r="B474" s="5"/>
      <c r="C474" s="168"/>
      <c r="D474" s="168"/>
      <c r="E474" s="5"/>
      <c r="F474" s="5"/>
      <c r="G474" s="5"/>
      <c r="H474" s="16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>
      <c r="A475" s="5"/>
      <c r="B475" s="5"/>
      <c r="C475" s="168"/>
      <c r="D475" s="168"/>
      <c r="E475" s="5"/>
      <c r="F475" s="5"/>
      <c r="G475" s="5"/>
      <c r="H475" s="16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>
      <c r="A476" s="5"/>
      <c r="B476" s="5"/>
      <c r="C476" s="168"/>
      <c r="D476" s="168"/>
      <c r="E476" s="5"/>
      <c r="F476" s="5"/>
      <c r="G476" s="5"/>
      <c r="H476" s="16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>
      <c r="A477" s="5"/>
      <c r="B477" s="5"/>
      <c r="C477" s="168"/>
      <c r="D477" s="168"/>
      <c r="E477" s="5"/>
      <c r="F477" s="5"/>
      <c r="G477" s="5"/>
      <c r="H477" s="16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>
      <c r="A478" s="5"/>
      <c r="B478" s="5"/>
      <c r="C478" s="168"/>
      <c r="D478" s="168"/>
      <c r="E478" s="5"/>
      <c r="F478" s="5"/>
      <c r="G478" s="5"/>
      <c r="H478" s="16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>
      <c r="A479" s="5"/>
      <c r="B479" s="5"/>
      <c r="C479" s="168"/>
      <c r="D479" s="168"/>
      <c r="E479" s="5"/>
      <c r="F479" s="5"/>
      <c r="G479" s="5"/>
      <c r="H479" s="16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>
      <c r="A480" s="5"/>
      <c r="B480" s="5"/>
      <c r="C480" s="168"/>
      <c r="D480" s="168"/>
      <c r="E480" s="5"/>
      <c r="F480" s="5"/>
      <c r="G480" s="5"/>
      <c r="H480" s="16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>
      <c r="A481" s="5"/>
      <c r="B481" s="5"/>
      <c r="C481" s="168"/>
      <c r="D481" s="168"/>
      <c r="E481" s="5"/>
      <c r="F481" s="5"/>
      <c r="G481" s="5"/>
      <c r="H481" s="16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>
      <c r="A482" s="5"/>
      <c r="B482" s="5"/>
      <c r="C482" s="168"/>
      <c r="D482" s="168"/>
      <c r="E482" s="5"/>
      <c r="F482" s="5"/>
      <c r="G482" s="5"/>
      <c r="H482" s="16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>
      <c r="A483" s="5"/>
      <c r="B483" s="5"/>
      <c r="C483" s="168"/>
      <c r="D483" s="168"/>
      <c r="E483" s="5"/>
      <c r="F483" s="5"/>
      <c r="G483" s="5"/>
      <c r="H483" s="16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>
      <c r="A484" s="5"/>
      <c r="B484" s="5"/>
      <c r="C484" s="168"/>
      <c r="D484" s="168"/>
      <c r="E484" s="5"/>
      <c r="F484" s="5"/>
      <c r="G484" s="5"/>
      <c r="H484" s="16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>
      <c r="A485" s="5"/>
      <c r="B485" s="5"/>
      <c r="C485" s="168"/>
      <c r="D485" s="168"/>
      <c r="E485" s="5"/>
      <c r="F485" s="5"/>
      <c r="G485" s="5"/>
      <c r="H485" s="16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>
      <c r="A486" s="5"/>
      <c r="B486" s="5"/>
      <c r="C486" s="168"/>
      <c r="D486" s="168"/>
      <c r="E486" s="5"/>
      <c r="F486" s="5"/>
      <c r="G486" s="5"/>
      <c r="H486" s="16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>
      <c r="A487" s="5"/>
      <c r="B487" s="5"/>
      <c r="C487" s="168"/>
      <c r="D487" s="168"/>
      <c r="E487" s="5"/>
      <c r="F487" s="5"/>
      <c r="G487" s="5"/>
      <c r="H487" s="16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>
      <c r="A488" s="5"/>
      <c r="B488" s="5"/>
      <c r="C488" s="168"/>
      <c r="D488" s="168"/>
      <c r="E488" s="5"/>
      <c r="F488" s="5"/>
      <c r="G488" s="5"/>
      <c r="H488" s="16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>
      <c r="A489" s="5"/>
      <c r="B489" s="5"/>
      <c r="C489" s="168"/>
      <c r="D489" s="168"/>
      <c r="E489" s="5"/>
      <c r="F489" s="5"/>
      <c r="G489" s="5"/>
      <c r="H489" s="16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>
      <c r="A490" s="5"/>
      <c r="B490" s="5"/>
      <c r="C490" s="168"/>
      <c r="D490" s="168"/>
      <c r="E490" s="5"/>
      <c r="F490" s="5"/>
      <c r="G490" s="5"/>
      <c r="H490" s="16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>
      <c r="A491" s="5"/>
      <c r="B491" s="5"/>
      <c r="C491" s="168"/>
      <c r="D491" s="168"/>
      <c r="E491" s="5"/>
      <c r="F491" s="5"/>
      <c r="G491" s="5"/>
      <c r="H491" s="16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>
      <c r="A492" s="5"/>
      <c r="B492" s="5"/>
      <c r="C492" s="168"/>
      <c r="D492" s="168"/>
      <c r="E492" s="5"/>
      <c r="F492" s="5"/>
      <c r="G492" s="5"/>
      <c r="H492" s="16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>
      <c r="A493" s="5"/>
      <c r="B493" s="5"/>
      <c r="C493" s="168"/>
      <c r="D493" s="168"/>
      <c r="E493" s="5"/>
      <c r="F493" s="5"/>
      <c r="G493" s="5"/>
      <c r="H493" s="16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>
      <c r="A494" s="5"/>
      <c r="B494" s="5"/>
      <c r="C494" s="168"/>
      <c r="D494" s="168"/>
      <c r="E494" s="5"/>
      <c r="F494" s="5"/>
      <c r="G494" s="5"/>
      <c r="H494" s="16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>
      <c r="A495" s="5"/>
      <c r="B495" s="5"/>
      <c r="C495" s="168"/>
      <c r="D495" s="168"/>
      <c r="E495" s="5"/>
      <c r="F495" s="5"/>
      <c r="G495" s="5"/>
      <c r="H495" s="16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>
      <c r="A496" s="5"/>
      <c r="B496" s="5"/>
      <c r="C496" s="168"/>
      <c r="D496" s="168"/>
      <c r="E496" s="5"/>
      <c r="F496" s="5"/>
      <c r="G496" s="5"/>
      <c r="H496" s="16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>
      <c r="A497" s="5"/>
      <c r="B497" s="5"/>
      <c r="C497" s="168"/>
      <c r="D497" s="168"/>
      <c r="E497" s="5"/>
      <c r="F497" s="5"/>
      <c r="G497" s="5"/>
      <c r="H497" s="16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>
      <c r="A498" s="5"/>
      <c r="B498" s="5"/>
      <c r="C498" s="168"/>
      <c r="D498" s="168"/>
      <c r="E498" s="5"/>
      <c r="F498" s="5"/>
      <c r="G498" s="5"/>
      <c r="H498" s="16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>
      <c r="A499" s="5"/>
      <c r="B499" s="5"/>
      <c r="C499" s="168"/>
      <c r="D499" s="168"/>
      <c r="E499" s="5"/>
      <c r="F499" s="5"/>
      <c r="G499" s="5"/>
      <c r="H499" s="16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>
      <c r="A500" s="5"/>
      <c r="B500" s="5"/>
      <c r="C500" s="168"/>
      <c r="D500" s="168"/>
      <c r="E500" s="5"/>
      <c r="F500" s="5"/>
      <c r="G500" s="5"/>
      <c r="H500" s="16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>
      <c r="A501" s="5"/>
      <c r="B501" s="5"/>
      <c r="C501" s="168"/>
      <c r="D501" s="168"/>
      <c r="E501" s="5"/>
      <c r="F501" s="5"/>
      <c r="G501" s="5"/>
      <c r="H501" s="16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>
      <c r="A502" s="5"/>
      <c r="B502" s="5"/>
      <c r="C502" s="168"/>
      <c r="D502" s="168"/>
      <c r="E502" s="5"/>
      <c r="F502" s="5"/>
      <c r="G502" s="5"/>
      <c r="H502" s="16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>
      <c r="A503" s="5"/>
      <c r="B503" s="5"/>
      <c r="C503" s="168"/>
      <c r="D503" s="168"/>
      <c r="E503" s="5"/>
      <c r="F503" s="5"/>
      <c r="G503" s="5"/>
      <c r="H503" s="16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>
      <c r="A504" s="5"/>
      <c r="B504" s="5"/>
      <c r="C504" s="168"/>
      <c r="D504" s="168"/>
      <c r="E504" s="5"/>
      <c r="F504" s="5"/>
      <c r="G504" s="5"/>
      <c r="H504" s="16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>
      <c r="A505" s="5"/>
      <c r="B505" s="5"/>
      <c r="C505" s="168"/>
      <c r="D505" s="168"/>
      <c r="E505" s="5"/>
      <c r="F505" s="5"/>
      <c r="G505" s="5"/>
      <c r="H505" s="16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>
      <c r="A506" s="5"/>
      <c r="B506" s="5"/>
      <c r="C506" s="168"/>
      <c r="D506" s="168"/>
      <c r="E506" s="5"/>
      <c r="F506" s="5"/>
      <c r="G506" s="5"/>
      <c r="H506" s="16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>
      <c r="A507" s="5"/>
      <c r="B507" s="5"/>
      <c r="C507" s="168"/>
      <c r="D507" s="168"/>
      <c r="E507" s="5"/>
      <c r="F507" s="5"/>
      <c r="G507" s="5"/>
      <c r="H507" s="16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>
      <c r="A508" s="5"/>
      <c r="B508" s="5"/>
      <c r="C508" s="168"/>
      <c r="D508" s="168"/>
      <c r="E508" s="5"/>
      <c r="F508" s="5"/>
      <c r="G508" s="5"/>
      <c r="H508" s="16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>
      <c r="A509" s="5"/>
      <c r="B509" s="5"/>
      <c r="C509" s="168"/>
      <c r="D509" s="168"/>
      <c r="E509" s="5"/>
      <c r="F509" s="5"/>
      <c r="G509" s="5"/>
      <c r="H509" s="16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>
      <c r="A510" s="5"/>
      <c r="B510" s="5"/>
      <c r="C510" s="168"/>
      <c r="D510" s="168"/>
      <c r="E510" s="5"/>
      <c r="F510" s="5"/>
      <c r="G510" s="5"/>
      <c r="H510" s="16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>
      <c r="A511" s="5"/>
      <c r="B511" s="5"/>
      <c r="C511" s="168"/>
      <c r="D511" s="168"/>
      <c r="E511" s="5"/>
      <c r="F511" s="5"/>
      <c r="G511" s="5"/>
      <c r="H511" s="16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>
      <c r="A512" s="5"/>
      <c r="B512" s="5"/>
      <c r="C512" s="168"/>
      <c r="D512" s="168"/>
      <c r="E512" s="5"/>
      <c r="F512" s="5"/>
      <c r="G512" s="5"/>
      <c r="H512" s="16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>
      <c r="A513" s="5"/>
      <c r="B513" s="5"/>
      <c r="C513" s="168"/>
      <c r="D513" s="168"/>
      <c r="E513" s="5"/>
      <c r="F513" s="5"/>
      <c r="G513" s="5"/>
      <c r="H513" s="16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>
      <c r="A514" s="5"/>
      <c r="B514" s="5"/>
      <c r="C514" s="168"/>
      <c r="D514" s="168"/>
      <c r="E514" s="5"/>
      <c r="F514" s="5"/>
      <c r="G514" s="5"/>
      <c r="H514" s="16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>
      <c r="A515" s="5"/>
      <c r="B515" s="5"/>
      <c r="C515" s="168"/>
      <c r="D515" s="168"/>
      <c r="E515" s="5"/>
      <c r="F515" s="5"/>
      <c r="G515" s="5"/>
      <c r="H515" s="16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>
      <c r="A516" s="5"/>
      <c r="B516" s="5"/>
      <c r="C516" s="168"/>
      <c r="D516" s="168"/>
      <c r="E516" s="5"/>
      <c r="F516" s="5"/>
      <c r="G516" s="5"/>
      <c r="H516" s="16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>
      <c r="A517" s="5"/>
      <c r="B517" s="5"/>
      <c r="C517" s="168"/>
      <c r="D517" s="168"/>
      <c r="E517" s="5"/>
      <c r="F517" s="5"/>
      <c r="G517" s="5"/>
      <c r="H517" s="16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>
      <c r="A518" s="5"/>
      <c r="B518" s="5"/>
      <c r="C518" s="168"/>
      <c r="D518" s="168"/>
      <c r="E518" s="5"/>
      <c r="F518" s="5"/>
      <c r="G518" s="5"/>
      <c r="H518" s="16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>
      <c r="A519" s="5"/>
      <c r="B519" s="5"/>
      <c r="C519" s="168"/>
      <c r="D519" s="168"/>
      <c r="E519" s="5"/>
      <c r="F519" s="5"/>
      <c r="G519" s="5"/>
      <c r="H519" s="16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>
      <c r="A520" s="5"/>
      <c r="B520" s="5"/>
      <c r="C520" s="168"/>
      <c r="D520" s="168"/>
      <c r="E520" s="5"/>
      <c r="F520" s="5"/>
      <c r="G520" s="5"/>
      <c r="H520" s="16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>
      <c r="A521" s="5"/>
      <c r="B521" s="5"/>
      <c r="C521" s="168"/>
      <c r="D521" s="168"/>
      <c r="E521" s="5"/>
      <c r="F521" s="5"/>
      <c r="G521" s="5"/>
      <c r="H521" s="16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>
      <c r="A522" s="5"/>
      <c r="B522" s="5"/>
      <c r="C522" s="168"/>
      <c r="D522" s="168"/>
      <c r="E522" s="5"/>
      <c r="F522" s="5"/>
      <c r="G522" s="5"/>
      <c r="H522" s="16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>
      <c r="A523" s="5"/>
      <c r="B523" s="5"/>
      <c r="C523" s="168"/>
      <c r="D523" s="168"/>
      <c r="E523" s="5"/>
      <c r="F523" s="5"/>
      <c r="G523" s="5"/>
      <c r="H523" s="16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>
      <c r="A524" s="5"/>
      <c r="B524" s="5"/>
      <c r="C524" s="168"/>
      <c r="D524" s="168"/>
      <c r="E524" s="5"/>
      <c r="F524" s="5"/>
      <c r="G524" s="5"/>
      <c r="H524" s="16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>
      <c r="A525" s="5"/>
      <c r="B525" s="5"/>
      <c r="C525" s="168"/>
      <c r="D525" s="168"/>
      <c r="E525" s="5"/>
      <c r="F525" s="5"/>
      <c r="G525" s="5"/>
      <c r="H525" s="16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>
      <c r="A526" s="5"/>
      <c r="B526" s="5"/>
      <c r="C526" s="168"/>
      <c r="D526" s="168"/>
      <c r="E526" s="5"/>
      <c r="F526" s="5"/>
      <c r="G526" s="5"/>
      <c r="H526" s="16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>
      <c r="A527" s="5"/>
      <c r="B527" s="5"/>
      <c r="C527" s="168"/>
      <c r="D527" s="168"/>
      <c r="E527" s="5"/>
      <c r="F527" s="5"/>
      <c r="G527" s="5"/>
      <c r="H527" s="16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>
      <c r="A528" s="5"/>
      <c r="B528" s="5"/>
      <c r="C528" s="168"/>
      <c r="D528" s="168"/>
      <c r="E528" s="5"/>
      <c r="F528" s="5"/>
      <c r="G528" s="5"/>
      <c r="H528" s="16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>
      <c r="A529" s="5"/>
      <c r="B529" s="5"/>
      <c r="C529" s="168"/>
      <c r="D529" s="168"/>
      <c r="E529" s="5"/>
      <c r="F529" s="5"/>
      <c r="G529" s="5"/>
      <c r="H529" s="16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>
      <c r="A530" s="5"/>
      <c r="B530" s="5"/>
      <c r="C530" s="168"/>
      <c r="D530" s="168"/>
      <c r="E530" s="5"/>
      <c r="F530" s="5"/>
      <c r="G530" s="5"/>
      <c r="H530" s="16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>
      <c r="A531" s="5"/>
      <c r="B531" s="5"/>
      <c r="C531" s="168"/>
      <c r="D531" s="168"/>
      <c r="E531" s="5"/>
      <c r="F531" s="5"/>
      <c r="G531" s="5"/>
      <c r="H531" s="16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>
      <c r="A532" s="5"/>
      <c r="B532" s="5"/>
      <c r="C532" s="168"/>
      <c r="D532" s="168"/>
      <c r="E532" s="5"/>
      <c r="F532" s="5"/>
      <c r="G532" s="5"/>
      <c r="H532" s="16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>
      <c r="A533" s="5"/>
      <c r="B533" s="5"/>
      <c r="C533" s="168"/>
      <c r="D533" s="168"/>
      <c r="E533" s="5"/>
      <c r="F533" s="5"/>
      <c r="G533" s="5"/>
      <c r="H533" s="16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>
      <c r="A534" s="5"/>
      <c r="B534" s="5"/>
      <c r="C534" s="168"/>
      <c r="D534" s="168"/>
      <c r="E534" s="5"/>
      <c r="F534" s="5"/>
      <c r="G534" s="5"/>
      <c r="H534" s="16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>
      <c r="A535" s="5"/>
      <c r="B535" s="5"/>
      <c r="C535" s="168"/>
      <c r="D535" s="168"/>
      <c r="E535" s="5"/>
      <c r="F535" s="5"/>
      <c r="G535" s="5"/>
      <c r="H535" s="16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>
      <c r="A536" s="5"/>
      <c r="B536" s="5"/>
      <c r="C536" s="168"/>
      <c r="D536" s="168"/>
      <c r="E536" s="5"/>
      <c r="F536" s="5"/>
      <c r="G536" s="5"/>
      <c r="H536" s="16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>
      <c r="A537" s="5"/>
      <c r="B537" s="5"/>
      <c r="C537" s="168"/>
      <c r="D537" s="168"/>
      <c r="E537" s="5"/>
      <c r="F537" s="5"/>
      <c r="G537" s="5"/>
      <c r="H537" s="16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>
      <c r="A538" s="5"/>
      <c r="B538" s="5"/>
      <c r="C538" s="168"/>
      <c r="D538" s="168"/>
      <c r="E538" s="5"/>
      <c r="F538" s="5"/>
      <c r="G538" s="5"/>
      <c r="H538" s="16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>
      <c r="A539" s="5"/>
      <c r="B539" s="5"/>
      <c r="C539" s="168"/>
      <c r="D539" s="168"/>
      <c r="E539" s="5"/>
      <c r="F539" s="5"/>
      <c r="G539" s="5"/>
      <c r="H539" s="16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>
      <c r="A540" s="5"/>
      <c r="B540" s="5"/>
      <c r="C540" s="168"/>
      <c r="D540" s="168"/>
      <c r="E540" s="5"/>
      <c r="F540" s="5"/>
      <c r="G540" s="5"/>
      <c r="H540" s="16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>
      <c r="A541" s="5"/>
      <c r="B541" s="5"/>
      <c r="C541" s="168"/>
      <c r="D541" s="168"/>
      <c r="E541" s="5"/>
      <c r="F541" s="5"/>
      <c r="G541" s="5"/>
      <c r="H541" s="16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>
      <c r="A542" s="5"/>
      <c r="B542" s="5"/>
      <c r="C542" s="168"/>
      <c r="D542" s="168"/>
      <c r="E542" s="5"/>
      <c r="F542" s="5"/>
      <c r="G542" s="5"/>
      <c r="H542" s="16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>
      <c r="A543" s="5"/>
      <c r="B543" s="5"/>
      <c r="C543" s="168"/>
      <c r="D543" s="168"/>
      <c r="E543" s="5"/>
      <c r="F543" s="5"/>
      <c r="G543" s="5"/>
      <c r="H543" s="16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>
      <c r="A544" s="5"/>
      <c r="B544" s="5"/>
      <c r="C544" s="168"/>
      <c r="D544" s="168"/>
      <c r="E544" s="5"/>
      <c r="F544" s="5"/>
      <c r="G544" s="5"/>
      <c r="H544" s="16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>
      <c r="A545" s="5"/>
      <c r="B545" s="5"/>
      <c r="C545" s="168"/>
      <c r="D545" s="168"/>
      <c r="E545" s="5"/>
      <c r="F545" s="5"/>
      <c r="G545" s="5"/>
      <c r="H545" s="16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>
      <c r="A546" s="5"/>
      <c r="B546" s="5"/>
      <c r="C546" s="168"/>
      <c r="D546" s="168"/>
      <c r="E546" s="5"/>
      <c r="F546" s="5"/>
      <c r="G546" s="5"/>
      <c r="H546" s="16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>
      <c r="A547" s="5"/>
      <c r="B547" s="5"/>
      <c r="C547" s="168"/>
      <c r="D547" s="168"/>
      <c r="E547" s="5"/>
      <c r="F547" s="5"/>
      <c r="G547" s="5"/>
      <c r="H547" s="16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>
      <c r="A548" s="5"/>
      <c r="B548" s="5"/>
      <c r="C548" s="168"/>
      <c r="D548" s="168"/>
      <c r="E548" s="5"/>
      <c r="F548" s="5"/>
      <c r="G548" s="5"/>
      <c r="H548" s="16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>
      <c r="A549" s="5"/>
      <c r="B549" s="5"/>
      <c r="C549" s="168"/>
      <c r="D549" s="168"/>
      <c r="E549" s="5"/>
      <c r="F549" s="5"/>
      <c r="G549" s="5"/>
      <c r="H549" s="16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>
      <c r="A550" s="5"/>
      <c r="B550" s="5"/>
      <c r="C550" s="168"/>
      <c r="D550" s="168"/>
      <c r="E550" s="5"/>
      <c r="F550" s="5"/>
      <c r="G550" s="5"/>
      <c r="H550" s="16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>
      <c r="A551" s="5"/>
      <c r="B551" s="5"/>
      <c r="C551" s="168"/>
      <c r="D551" s="168"/>
      <c r="E551" s="5"/>
      <c r="F551" s="5"/>
      <c r="G551" s="5"/>
      <c r="H551" s="16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>
      <c r="A552" s="5"/>
      <c r="B552" s="5"/>
      <c r="C552" s="168"/>
      <c r="D552" s="168"/>
      <c r="E552" s="5"/>
      <c r="F552" s="5"/>
      <c r="G552" s="5"/>
      <c r="H552" s="16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>
      <c r="A553" s="5"/>
      <c r="B553" s="5"/>
      <c r="C553" s="168"/>
      <c r="D553" s="168"/>
      <c r="E553" s="5"/>
      <c r="F553" s="5"/>
      <c r="G553" s="5"/>
      <c r="H553" s="16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>
      <c r="A554" s="5"/>
      <c r="B554" s="5"/>
      <c r="C554" s="168"/>
      <c r="D554" s="168"/>
      <c r="E554" s="5"/>
      <c r="F554" s="5"/>
      <c r="G554" s="5"/>
      <c r="H554" s="16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>
      <c r="A555" s="5"/>
      <c r="B555" s="5"/>
      <c r="C555" s="168"/>
      <c r="D555" s="168"/>
      <c r="E555" s="5"/>
      <c r="F555" s="5"/>
      <c r="G555" s="5"/>
      <c r="H555" s="16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>
      <c r="A556" s="5"/>
      <c r="B556" s="5"/>
      <c r="C556" s="168"/>
      <c r="D556" s="168"/>
      <c r="E556" s="5"/>
      <c r="F556" s="5"/>
      <c r="G556" s="5"/>
      <c r="H556" s="16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>
      <c r="A557" s="5"/>
      <c r="B557" s="5"/>
      <c r="C557" s="168"/>
      <c r="D557" s="168"/>
      <c r="E557" s="5"/>
      <c r="F557" s="5"/>
      <c r="G557" s="5"/>
      <c r="H557" s="16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>
      <c r="A558" s="5"/>
      <c r="B558" s="5"/>
      <c r="C558" s="168"/>
      <c r="D558" s="168"/>
      <c r="E558" s="5"/>
      <c r="F558" s="5"/>
      <c r="G558" s="5"/>
      <c r="H558" s="16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>
      <c r="A559" s="5"/>
      <c r="B559" s="5"/>
      <c r="C559" s="168"/>
      <c r="D559" s="168"/>
      <c r="E559" s="5"/>
      <c r="F559" s="5"/>
      <c r="G559" s="5"/>
      <c r="H559" s="16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>
      <c r="A560" s="5"/>
      <c r="B560" s="5"/>
      <c r="C560" s="168"/>
      <c r="D560" s="168"/>
      <c r="E560" s="5"/>
      <c r="F560" s="5"/>
      <c r="G560" s="5"/>
      <c r="H560" s="16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>
      <c r="A561" s="5"/>
      <c r="B561" s="5"/>
      <c r="C561" s="168"/>
      <c r="D561" s="168"/>
      <c r="E561" s="5"/>
      <c r="F561" s="5"/>
      <c r="G561" s="5"/>
      <c r="H561" s="16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>
      <c r="A562" s="5"/>
      <c r="B562" s="5"/>
      <c r="C562" s="168"/>
      <c r="D562" s="168"/>
      <c r="E562" s="5"/>
      <c r="F562" s="5"/>
      <c r="G562" s="5"/>
      <c r="H562" s="16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>
      <c r="A563" s="5"/>
      <c r="B563" s="5"/>
      <c r="C563" s="168"/>
      <c r="D563" s="168"/>
      <c r="E563" s="5"/>
      <c r="F563" s="5"/>
      <c r="G563" s="5"/>
      <c r="H563" s="16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>
      <c r="A564" s="5"/>
      <c r="B564" s="5"/>
      <c r="C564" s="168"/>
      <c r="D564" s="168"/>
      <c r="E564" s="5"/>
      <c r="F564" s="5"/>
      <c r="G564" s="5"/>
      <c r="H564" s="16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>
      <c r="A565" s="5"/>
      <c r="B565" s="5"/>
      <c r="C565" s="168"/>
      <c r="D565" s="168"/>
      <c r="E565" s="5"/>
      <c r="F565" s="5"/>
      <c r="G565" s="5"/>
      <c r="H565" s="16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>
      <c r="A566" s="5"/>
      <c r="B566" s="5"/>
      <c r="C566" s="168"/>
      <c r="D566" s="168"/>
      <c r="E566" s="5"/>
      <c r="F566" s="5"/>
      <c r="G566" s="5"/>
      <c r="H566" s="16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>
      <c r="A567" s="5"/>
      <c r="B567" s="5"/>
      <c r="C567" s="168"/>
      <c r="D567" s="168"/>
      <c r="E567" s="5"/>
      <c r="F567" s="5"/>
      <c r="G567" s="5"/>
      <c r="H567" s="16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>
      <c r="A568" s="5"/>
      <c r="B568" s="5"/>
      <c r="C568" s="168"/>
      <c r="D568" s="168"/>
      <c r="E568" s="5"/>
      <c r="F568" s="5"/>
      <c r="G568" s="5"/>
      <c r="H568" s="16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>
      <c r="A569" s="5"/>
      <c r="B569" s="5"/>
      <c r="C569" s="168"/>
      <c r="D569" s="168"/>
      <c r="E569" s="5"/>
      <c r="F569" s="5"/>
      <c r="G569" s="5"/>
      <c r="H569" s="16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>
      <c r="A570" s="5"/>
      <c r="B570" s="5"/>
      <c r="C570" s="168"/>
      <c r="D570" s="168"/>
      <c r="E570" s="5"/>
      <c r="F570" s="5"/>
      <c r="G570" s="5"/>
      <c r="H570" s="16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>
      <c r="A571" s="5"/>
      <c r="B571" s="5"/>
      <c r="C571" s="168"/>
      <c r="D571" s="168"/>
      <c r="E571" s="5"/>
      <c r="F571" s="5"/>
      <c r="G571" s="5"/>
      <c r="H571" s="16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>
      <c r="A572" s="5"/>
      <c r="B572" s="5"/>
      <c r="C572" s="168"/>
      <c r="D572" s="168"/>
      <c r="E572" s="5"/>
      <c r="F572" s="5"/>
      <c r="G572" s="5"/>
      <c r="H572" s="16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>
      <c r="A573" s="5"/>
      <c r="B573" s="5"/>
      <c r="C573" s="168"/>
      <c r="D573" s="168"/>
      <c r="E573" s="5"/>
      <c r="F573" s="5"/>
      <c r="G573" s="5"/>
      <c r="H573" s="16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>
      <c r="A574" s="5"/>
      <c r="B574" s="5"/>
      <c r="C574" s="168"/>
      <c r="D574" s="168"/>
      <c r="E574" s="5"/>
      <c r="F574" s="5"/>
      <c r="G574" s="5"/>
      <c r="H574" s="16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>
      <c r="A575" s="5"/>
      <c r="B575" s="5"/>
      <c r="C575" s="168"/>
      <c r="D575" s="168"/>
      <c r="E575" s="5"/>
      <c r="F575" s="5"/>
      <c r="G575" s="5"/>
      <c r="H575" s="16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>
      <c r="A576" s="5"/>
      <c r="B576" s="5"/>
      <c r="C576" s="168"/>
      <c r="D576" s="168"/>
      <c r="E576" s="5"/>
      <c r="F576" s="5"/>
      <c r="G576" s="5"/>
      <c r="H576" s="16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>
      <c r="A577" s="5"/>
      <c r="B577" s="5"/>
      <c r="C577" s="168"/>
      <c r="D577" s="168"/>
      <c r="E577" s="5"/>
      <c r="F577" s="5"/>
      <c r="G577" s="5"/>
      <c r="H577" s="16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>
      <c r="A578" s="5"/>
      <c r="B578" s="5"/>
      <c r="C578" s="168"/>
      <c r="D578" s="168"/>
      <c r="E578" s="5"/>
      <c r="F578" s="5"/>
      <c r="G578" s="5"/>
      <c r="H578" s="16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>
      <c r="A579" s="5"/>
      <c r="B579" s="5"/>
      <c r="C579" s="168"/>
      <c r="D579" s="168"/>
      <c r="E579" s="5"/>
      <c r="F579" s="5"/>
      <c r="G579" s="5"/>
      <c r="H579" s="16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>
      <c r="A580" s="5"/>
      <c r="B580" s="5"/>
      <c r="C580" s="168"/>
      <c r="D580" s="168"/>
      <c r="E580" s="5"/>
      <c r="F580" s="5"/>
      <c r="G580" s="5"/>
      <c r="H580" s="16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>
      <c r="A581" s="5"/>
      <c r="B581" s="5"/>
      <c r="C581" s="168"/>
      <c r="D581" s="168"/>
      <c r="E581" s="5"/>
      <c r="F581" s="5"/>
      <c r="G581" s="5"/>
      <c r="H581" s="16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>
      <c r="A582" s="5"/>
      <c r="B582" s="5"/>
      <c r="C582" s="168"/>
      <c r="D582" s="168"/>
      <c r="E582" s="5"/>
      <c r="F582" s="5"/>
      <c r="G582" s="5"/>
      <c r="H582" s="16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>
      <c r="A583" s="5"/>
      <c r="B583" s="5"/>
      <c r="C583" s="168"/>
      <c r="D583" s="168"/>
      <c r="E583" s="5"/>
      <c r="F583" s="5"/>
      <c r="G583" s="5"/>
      <c r="H583" s="16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>
      <c r="A584" s="5"/>
      <c r="B584" s="5"/>
      <c r="C584" s="168"/>
      <c r="D584" s="168"/>
      <c r="E584" s="5"/>
      <c r="F584" s="5"/>
      <c r="G584" s="5"/>
      <c r="H584" s="16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>
      <c r="A585" s="5"/>
      <c r="B585" s="5"/>
      <c r="C585" s="168"/>
      <c r="D585" s="168"/>
      <c r="E585" s="5"/>
      <c r="F585" s="5"/>
      <c r="G585" s="5"/>
      <c r="H585" s="16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>
      <c r="A586" s="5"/>
      <c r="B586" s="5"/>
      <c r="C586" s="168"/>
      <c r="D586" s="168"/>
      <c r="E586" s="5"/>
      <c r="F586" s="5"/>
      <c r="G586" s="5"/>
      <c r="H586" s="16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>
      <c r="A587" s="5"/>
      <c r="B587" s="5"/>
      <c r="C587" s="168"/>
      <c r="D587" s="168"/>
      <c r="E587" s="5"/>
      <c r="F587" s="5"/>
      <c r="G587" s="5"/>
      <c r="H587" s="16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>
      <c r="A588" s="5"/>
      <c r="B588" s="5"/>
      <c r="C588" s="168"/>
      <c r="D588" s="168"/>
      <c r="E588" s="5"/>
      <c r="F588" s="5"/>
      <c r="G588" s="5"/>
      <c r="H588" s="16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>
      <c r="A589" s="5"/>
      <c r="B589" s="5"/>
      <c r="C589" s="168"/>
      <c r="D589" s="168"/>
      <c r="E589" s="5"/>
      <c r="F589" s="5"/>
      <c r="G589" s="5"/>
      <c r="H589" s="16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>
      <c r="A590" s="5"/>
      <c r="B590" s="5"/>
      <c r="C590" s="168"/>
      <c r="D590" s="168"/>
      <c r="E590" s="5"/>
      <c r="F590" s="5"/>
      <c r="G590" s="5"/>
      <c r="H590" s="16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>
      <c r="A591" s="5"/>
      <c r="B591" s="5"/>
      <c r="C591" s="168"/>
      <c r="D591" s="168"/>
      <c r="E591" s="5"/>
      <c r="F591" s="5"/>
      <c r="G591" s="5"/>
      <c r="H591" s="16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>
      <c r="A592" s="5"/>
      <c r="B592" s="5"/>
      <c r="C592" s="168"/>
      <c r="D592" s="168"/>
      <c r="E592" s="5"/>
      <c r="F592" s="5"/>
      <c r="G592" s="5"/>
      <c r="H592" s="16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>
      <c r="A593" s="5"/>
      <c r="B593" s="5"/>
      <c r="C593" s="168"/>
      <c r="D593" s="168"/>
      <c r="E593" s="5"/>
      <c r="F593" s="5"/>
      <c r="G593" s="5"/>
      <c r="H593" s="16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>
      <c r="A594" s="5"/>
      <c r="B594" s="5"/>
      <c r="C594" s="168"/>
      <c r="D594" s="168"/>
      <c r="E594" s="5"/>
      <c r="F594" s="5"/>
      <c r="G594" s="5"/>
      <c r="H594" s="16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>
      <c r="A595" s="5"/>
      <c r="B595" s="5"/>
      <c r="C595" s="168"/>
      <c r="D595" s="168"/>
      <c r="E595" s="5"/>
      <c r="F595" s="5"/>
      <c r="G595" s="5"/>
      <c r="H595" s="16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>
      <c r="A596" s="5"/>
      <c r="B596" s="5"/>
      <c r="C596" s="168"/>
      <c r="D596" s="168"/>
      <c r="E596" s="5"/>
      <c r="F596" s="5"/>
      <c r="G596" s="5"/>
      <c r="H596" s="16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>
      <c r="A597" s="5"/>
      <c r="B597" s="5"/>
      <c r="C597" s="168"/>
      <c r="D597" s="168"/>
      <c r="E597" s="5"/>
      <c r="F597" s="5"/>
      <c r="G597" s="5"/>
      <c r="H597" s="16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>
      <c r="A598" s="5"/>
      <c r="B598" s="5"/>
      <c r="C598" s="168"/>
      <c r="D598" s="168"/>
      <c r="E598" s="5"/>
      <c r="F598" s="5"/>
      <c r="G598" s="5"/>
      <c r="H598" s="16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>
      <c r="A599" s="5"/>
      <c r="B599" s="5"/>
      <c r="C599" s="168"/>
      <c r="D599" s="168"/>
      <c r="E599" s="5"/>
      <c r="F599" s="5"/>
      <c r="G599" s="5"/>
      <c r="H599" s="16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>
      <c r="A600" s="5"/>
      <c r="B600" s="5"/>
      <c r="C600" s="168"/>
      <c r="D600" s="168"/>
      <c r="E600" s="5"/>
      <c r="F600" s="5"/>
      <c r="G600" s="5"/>
      <c r="H600" s="16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>
      <c r="A601" s="5"/>
      <c r="B601" s="5"/>
      <c r="C601" s="168"/>
      <c r="D601" s="168"/>
      <c r="E601" s="5"/>
      <c r="F601" s="5"/>
      <c r="G601" s="5"/>
      <c r="H601" s="16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>
      <c r="A602" s="5"/>
      <c r="B602" s="5"/>
      <c r="C602" s="168"/>
      <c r="D602" s="168"/>
      <c r="E602" s="5"/>
      <c r="F602" s="5"/>
      <c r="G602" s="5"/>
      <c r="H602" s="16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>
      <c r="A603" s="5"/>
      <c r="B603" s="5"/>
      <c r="C603" s="168"/>
      <c r="D603" s="168"/>
      <c r="E603" s="5"/>
      <c r="F603" s="5"/>
      <c r="G603" s="5"/>
      <c r="H603" s="16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>
      <c r="A604" s="5"/>
      <c r="B604" s="5"/>
      <c r="C604" s="168"/>
      <c r="D604" s="168"/>
      <c r="E604" s="5"/>
      <c r="F604" s="5"/>
      <c r="G604" s="5"/>
      <c r="H604" s="16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>
      <c r="A605" s="5"/>
      <c r="B605" s="5"/>
      <c r="C605" s="168"/>
      <c r="D605" s="168"/>
      <c r="E605" s="5"/>
      <c r="F605" s="5"/>
      <c r="G605" s="5"/>
      <c r="H605" s="16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>
      <c r="A606" s="5"/>
      <c r="B606" s="5"/>
      <c r="C606" s="168"/>
      <c r="D606" s="168"/>
      <c r="E606" s="5"/>
      <c r="F606" s="5"/>
      <c r="G606" s="5"/>
      <c r="H606" s="16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>
      <c r="A607" s="5"/>
      <c r="B607" s="5"/>
      <c r="C607" s="168"/>
      <c r="D607" s="168"/>
      <c r="E607" s="5"/>
      <c r="F607" s="5"/>
      <c r="G607" s="5"/>
      <c r="H607" s="16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>
      <c r="A608" s="5"/>
      <c r="B608" s="5"/>
      <c r="C608" s="168"/>
      <c r="D608" s="168"/>
      <c r="E608" s="5"/>
      <c r="F608" s="5"/>
      <c r="G608" s="5"/>
      <c r="H608" s="16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>
      <c r="A609" s="5"/>
      <c r="B609" s="5"/>
      <c r="C609" s="168"/>
      <c r="D609" s="168"/>
      <c r="E609" s="5"/>
      <c r="F609" s="5"/>
      <c r="G609" s="5"/>
      <c r="H609" s="16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>
      <c r="A610" s="5"/>
      <c r="B610" s="5"/>
      <c r="C610" s="168"/>
      <c r="D610" s="168"/>
      <c r="E610" s="5"/>
      <c r="F610" s="5"/>
      <c r="G610" s="5"/>
      <c r="H610" s="16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>
      <c r="A611" s="5"/>
      <c r="B611" s="5"/>
      <c r="C611" s="168"/>
      <c r="D611" s="168"/>
      <c r="E611" s="5"/>
      <c r="F611" s="5"/>
      <c r="G611" s="5"/>
      <c r="H611" s="16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>
      <c r="A612" s="5"/>
      <c r="B612" s="5"/>
      <c r="C612" s="168"/>
      <c r="D612" s="168"/>
      <c r="E612" s="5"/>
      <c r="F612" s="5"/>
      <c r="G612" s="5"/>
      <c r="H612" s="16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>
      <c r="A613" s="5"/>
      <c r="B613" s="5"/>
      <c r="C613" s="168"/>
      <c r="D613" s="168"/>
      <c r="E613" s="5"/>
      <c r="F613" s="5"/>
      <c r="G613" s="5"/>
      <c r="H613" s="16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>
      <c r="A614" s="5"/>
      <c r="B614" s="5"/>
      <c r="C614" s="168"/>
      <c r="D614" s="168"/>
      <c r="E614" s="5"/>
      <c r="F614" s="5"/>
      <c r="G614" s="5"/>
      <c r="H614" s="16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>
      <c r="A615" s="5"/>
      <c r="B615" s="5"/>
      <c r="C615" s="168"/>
      <c r="D615" s="168"/>
      <c r="E615" s="5"/>
      <c r="F615" s="5"/>
      <c r="G615" s="5"/>
      <c r="H615" s="16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>
      <c r="A616" s="5"/>
      <c r="B616" s="5"/>
      <c r="C616" s="168"/>
      <c r="D616" s="168"/>
      <c r="E616" s="5"/>
      <c r="F616" s="5"/>
      <c r="G616" s="5"/>
      <c r="H616" s="16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>
      <c r="A617" s="5"/>
      <c r="B617" s="5"/>
      <c r="C617" s="168"/>
      <c r="D617" s="168"/>
      <c r="E617" s="5"/>
      <c r="F617" s="5"/>
      <c r="G617" s="5"/>
      <c r="H617" s="16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>
      <c r="A618" s="5"/>
      <c r="B618" s="5"/>
      <c r="C618" s="168"/>
      <c r="D618" s="168"/>
      <c r="E618" s="5"/>
      <c r="F618" s="5"/>
      <c r="G618" s="5"/>
      <c r="H618" s="16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>
      <c r="A619" s="5"/>
      <c r="B619" s="5"/>
      <c r="C619" s="168"/>
      <c r="D619" s="168"/>
      <c r="E619" s="5"/>
      <c r="F619" s="5"/>
      <c r="G619" s="5"/>
      <c r="H619" s="16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>
      <c r="A620" s="5"/>
      <c r="B620" s="5"/>
      <c r="C620" s="168"/>
      <c r="D620" s="168"/>
      <c r="E620" s="5"/>
      <c r="F620" s="5"/>
      <c r="G620" s="5"/>
      <c r="H620" s="16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>
      <c r="A621" s="5"/>
      <c r="B621" s="5"/>
      <c r="C621" s="168"/>
      <c r="D621" s="168"/>
      <c r="E621" s="5"/>
      <c r="F621" s="5"/>
      <c r="G621" s="5"/>
      <c r="H621" s="16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>
      <c r="A622" s="5"/>
      <c r="B622" s="5"/>
      <c r="C622" s="168"/>
      <c r="D622" s="168"/>
      <c r="E622" s="5"/>
      <c r="F622" s="5"/>
      <c r="G622" s="5"/>
      <c r="H622" s="16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>
      <c r="A623" s="5"/>
      <c r="B623" s="5"/>
      <c r="C623" s="168"/>
      <c r="D623" s="168"/>
      <c r="E623" s="5"/>
      <c r="F623" s="5"/>
      <c r="G623" s="5"/>
      <c r="H623" s="16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>
      <c r="A624" s="5"/>
      <c r="B624" s="5"/>
      <c r="C624" s="168"/>
      <c r="D624" s="168"/>
      <c r="E624" s="5"/>
      <c r="F624" s="5"/>
      <c r="G624" s="5"/>
      <c r="H624" s="16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>
      <c r="A625" s="5"/>
      <c r="B625" s="5"/>
      <c r="C625" s="168"/>
      <c r="D625" s="168"/>
      <c r="E625" s="5"/>
      <c r="F625" s="5"/>
      <c r="G625" s="5"/>
      <c r="H625" s="16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>
      <c r="A626" s="5"/>
      <c r="B626" s="5"/>
      <c r="C626" s="168"/>
      <c r="D626" s="168"/>
      <c r="E626" s="5"/>
      <c r="F626" s="5"/>
      <c r="G626" s="5"/>
      <c r="H626" s="16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>
      <c r="A627" s="5"/>
      <c r="B627" s="5"/>
      <c r="C627" s="168"/>
      <c r="D627" s="168"/>
      <c r="E627" s="5"/>
      <c r="F627" s="5"/>
      <c r="G627" s="5"/>
      <c r="H627" s="16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>
      <c r="A628" s="5"/>
      <c r="B628" s="5"/>
      <c r="C628" s="168"/>
      <c r="D628" s="168"/>
      <c r="E628" s="5"/>
      <c r="F628" s="5"/>
      <c r="G628" s="5"/>
      <c r="H628" s="16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>
      <c r="A629" s="5"/>
      <c r="B629" s="5"/>
      <c r="C629" s="168"/>
      <c r="D629" s="168"/>
      <c r="E629" s="5"/>
      <c r="F629" s="5"/>
      <c r="G629" s="5"/>
      <c r="H629" s="16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>
      <c r="A630" s="5"/>
      <c r="B630" s="5"/>
      <c r="C630" s="168"/>
      <c r="D630" s="168"/>
      <c r="E630" s="5"/>
      <c r="F630" s="5"/>
      <c r="G630" s="5"/>
      <c r="H630" s="16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>
      <c r="A631" s="5"/>
      <c r="B631" s="5"/>
      <c r="C631" s="168"/>
      <c r="D631" s="168"/>
      <c r="E631" s="5"/>
      <c r="F631" s="5"/>
      <c r="G631" s="5"/>
      <c r="H631" s="16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>
      <c r="A632" s="5"/>
      <c r="B632" s="5"/>
      <c r="C632" s="168"/>
      <c r="D632" s="168"/>
      <c r="E632" s="5"/>
      <c r="F632" s="5"/>
      <c r="G632" s="5"/>
      <c r="H632" s="16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>
      <c r="A633" s="5"/>
      <c r="B633" s="5"/>
      <c r="C633" s="168"/>
      <c r="D633" s="168"/>
      <c r="E633" s="5"/>
      <c r="F633" s="5"/>
      <c r="G633" s="5"/>
      <c r="H633" s="16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>
      <c r="A634" s="5"/>
      <c r="B634" s="5"/>
      <c r="C634" s="168"/>
      <c r="D634" s="168"/>
      <c r="E634" s="5"/>
      <c r="F634" s="5"/>
      <c r="G634" s="5"/>
      <c r="H634" s="16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>
      <c r="A635" s="5"/>
      <c r="B635" s="5"/>
      <c r="C635" s="168"/>
      <c r="D635" s="168"/>
      <c r="E635" s="5"/>
      <c r="F635" s="5"/>
      <c r="G635" s="5"/>
      <c r="H635" s="16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>
      <c r="A636" s="5"/>
      <c r="B636" s="5"/>
      <c r="C636" s="168"/>
      <c r="D636" s="168"/>
      <c r="E636" s="5"/>
      <c r="F636" s="5"/>
      <c r="G636" s="5"/>
      <c r="H636" s="16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>
      <c r="A637" s="5"/>
      <c r="B637" s="5"/>
      <c r="C637" s="168"/>
      <c r="D637" s="168"/>
      <c r="E637" s="5"/>
      <c r="F637" s="5"/>
      <c r="G637" s="5"/>
      <c r="H637" s="16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>
      <c r="A638" s="5"/>
      <c r="B638" s="5"/>
      <c r="C638" s="168"/>
      <c r="D638" s="168"/>
      <c r="E638" s="5"/>
      <c r="F638" s="5"/>
      <c r="G638" s="5"/>
      <c r="H638" s="16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>
      <c r="A639" s="5"/>
      <c r="B639" s="5"/>
      <c r="C639" s="168"/>
      <c r="D639" s="168"/>
      <c r="E639" s="5"/>
      <c r="F639" s="5"/>
      <c r="G639" s="5"/>
      <c r="H639" s="16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>
      <c r="A640" s="5"/>
      <c r="B640" s="5"/>
      <c r="C640" s="168"/>
      <c r="D640" s="168"/>
      <c r="E640" s="5"/>
      <c r="F640" s="5"/>
      <c r="G640" s="5"/>
      <c r="H640" s="16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>
      <c r="A641" s="5"/>
      <c r="B641" s="5"/>
      <c r="C641" s="168"/>
      <c r="D641" s="168"/>
      <c r="E641" s="5"/>
      <c r="F641" s="5"/>
      <c r="G641" s="5"/>
      <c r="H641" s="16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>
      <c r="A642" s="5"/>
      <c r="B642" s="5"/>
      <c r="C642" s="168"/>
      <c r="D642" s="168"/>
      <c r="E642" s="5"/>
      <c r="F642" s="5"/>
      <c r="G642" s="5"/>
      <c r="H642" s="16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>
      <c r="A643" s="5"/>
      <c r="B643" s="5"/>
      <c r="C643" s="168"/>
      <c r="D643" s="168"/>
      <c r="E643" s="5"/>
      <c r="F643" s="5"/>
      <c r="G643" s="5"/>
      <c r="H643" s="16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>
      <c r="A644" s="5"/>
      <c r="B644" s="5"/>
      <c r="C644" s="168"/>
      <c r="D644" s="168"/>
      <c r="E644" s="5"/>
      <c r="F644" s="5"/>
      <c r="G644" s="5"/>
      <c r="H644" s="16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>
      <c r="A645" s="5"/>
      <c r="B645" s="5"/>
      <c r="C645" s="168"/>
      <c r="D645" s="168"/>
      <c r="E645" s="5"/>
      <c r="F645" s="5"/>
      <c r="G645" s="5"/>
      <c r="H645" s="16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>
      <c r="A646" s="5"/>
      <c r="B646" s="5"/>
      <c r="C646" s="168"/>
      <c r="D646" s="168"/>
      <c r="E646" s="5"/>
      <c r="F646" s="5"/>
      <c r="G646" s="5"/>
      <c r="H646" s="16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>
      <c r="A647" s="5"/>
      <c r="B647" s="5"/>
      <c r="C647" s="168"/>
      <c r="D647" s="168"/>
      <c r="E647" s="5"/>
      <c r="F647" s="5"/>
      <c r="G647" s="5"/>
      <c r="H647" s="16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>
      <c r="A648" s="5"/>
      <c r="B648" s="5"/>
      <c r="C648" s="168"/>
      <c r="D648" s="168"/>
      <c r="E648" s="5"/>
      <c r="F648" s="5"/>
      <c r="G648" s="5"/>
      <c r="H648" s="16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>
      <c r="A649" s="5"/>
      <c r="B649" s="5"/>
      <c r="C649" s="168"/>
      <c r="D649" s="168"/>
      <c r="E649" s="5"/>
      <c r="F649" s="5"/>
      <c r="G649" s="5"/>
      <c r="H649" s="16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>
      <c r="A650" s="5"/>
      <c r="B650" s="5"/>
      <c r="C650" s="168"/>
      <c r="D650" s="168"/>
      <c r="E650" s="5"/>
      <c r="F650" s="5"/>
      <c r="G650" s="5"/>
      <c r="H650" s="16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>
      <c r="A651" s="5"/>
      <c r="B651" s="5"/>
      <c r="C651" s="168"/>
      <c r="D651" s="168"/>
      <c r="E651" s="5"/>
      <c r="F651" s="5"/>
      <c r="G651" s="5"/>
      <c r="H651" s="16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>
      <c r="A652" s="5"/>
      <c r="B652" s="5"/>
      <c r="C652" s="168"/>
      <c r="D652" s="168"/>
      <c r="E652" s="5"/>
      <c r="F652" s="5"/>
      <c r="G652" s="5"/>
      <c r="H652" s="16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>
      <c r="A653" s="5"/>
      <c r="B653" s="5"/>
      <c r="C653" s="168"/>
      <c r="D653" s="168"/>
      <c r="E653" s="5"/>
      <c r="F653" s="5"/>
      <c r="G653" s="5"/>
      <c r="H653" s="16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>
      <c r="A654" s="5"/>
      <c r="B654" s="5"/>
      <c r="C654" s="168"/>
      <c r="D654" s="168"/>
      <c r="E654" s="5"/>
      <c r="F654" s="5"/>
      <c r="G654" s="5"/>
      <c r="H654" s="16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>
      <c r="A655" s="5"/>
      <c r="B655" s="5"/>
      <c r="C655" s="168"/>
      <c r="D655" s="168"/>
      <c r="E655" s="5"/>
      <c r="F655" s="5"/>
      <c r="G655" s="5"/>
      <c r="H655" s="16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>
      <c r="A656" s="5"/>
      <c r="B656" s="5"/>
      <c r="C656" s="168"/>
      <c r="D656" s="168"/>
      <c r="E656" s="5"/>
      <c r="F656" s="5"/>
      <c r="G656" s="5"/>
      <c r="H656" s="16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>
      <c r="A657" s="5"/>
      <c r="B657" s="5"/>
      <c r="C657" s="168"/>
      <c r="D657" s="168"/>
      <c r="E657" s="5"/>
      <c r="F657" s="5"/>
      <c r="G657" s="5"/>
      <c r="H657" s="16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>
      <c r="A658" s="5"/>
      <c r="B658" s="5"/>
      <c r="C658" s="168"/>
      <c r="D658" s="168"/>
      <c r="E658" s="5"/>
      <c r="F658" s="5"/>
      <c r="G658" s="5"/>
      <c r="H658" s="16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>
      <c r="A659" s="5"/>
      <c r="B659" s="5"/>
      <c r="C659" s="168"/>
      <c r="D659" s="168"/>
      <c r="E659" s="5"/>
      <c r="F659" s="5"/>
      <c r="G659" s="5"/>
      <c r="H659" s="16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>
      <c r="A660" s="5"/>
      <c r="B660" s="5"/>
      <c r="C660" s="168"/>
      <c r="D660" s="168"/>
      <c r="E660" s="5"/>
      <c r="F660" s="5"/>
      <c r="G660" s="5"/>
      <c r="H660" s="16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>
      <c r="A661" s="5"/>
      <c r="B661" s="5"/>
      <c r="C661" s="168"/>
      <c r="D661" s="168"/>
      <c r="E661" s="5"/>
      <c r="F661" s="5"/>
      <c r="G661" s="5"/>
      <c r="H661" s="16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>
      <c r="A662" s="5"/>
      <c r="B662" s="5"/>
      <c r="C662" s="168"/>
      <c r="D662" s="168"/>
      <c r="E662" s="5"/>
      <c r="F662" s="5"/>
      <c r="G662" s="5"/>
      <c r="H662" s="16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>
      <c r="A663" s="5"/>
      <c r="B663" s="5"/>
      <c r="C663" s="168"/>
      <c r="D663" s="168"/>
      <c r="E663" s="5"/>
      <c r="F663" s="5"/>
      <c r="G663" s="5"/>
      <c r="H663" s="16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>
      <c r="A664" s="5"/>
      <c r="B664" s="5"/>
      <c r="C664" s="168"/>
      <c r="D664" s="168"/>
      <c r="E664" s="5"/>
      <c r="F664" s="5"/>
      <c r="G664" s="5"/>
      <c r="H664" s="16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>
      <c r="A665" s="5"/>
      <c r="B665" s="5"/>
      <c r="C665" s="168"/>
      <c r="D665" s="168"/>
      <c r="E665" s="5"/>
      <c r="F665" s="5"/>
      <c r="G665" s="5"/>
      <c r="H665" s="16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>
      <c r="A666" s="5"/>
      <c r="B666" s="5"/>
      <c r="C666" s="168"/>
      <c r="D666" s="168"/>
      <c r="E666" s="5"/>
      <c r="F666" s="5"/>
      <c r="G666" s="5"/>
      <c r="H666" s="16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>
      <c r="A667" s="5"/>
      <c r="B667" s="5"/>
      <c r="C667" s="168"/>
      <c r="D667" s="168"/>
      <c r="E667" s="5"/>
      <c r="F667" s="5"/>
      <c r="G667" s="5"/>
      <c r="H667" s="16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>
      <c r="A668" s="5"/>
      <c r="B668" s="5"/>
      <c r="C668" s="168"/>
      <c r="D668" s="168"/>
      <c r="E668" s="5"/>
      <c r="F668" s="5"/>
      <c r="G668" s="5"/>
      <c r="H668" s="16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>
      <c r="A669" s="5"/>
      <c r="B669" s="5"/>
      <c r="C669" s="168"/>
      <c r="D669" s="168"/>
      <c r="E669" s="5"/>
      <c r="F669" s="5"/>
      <c r="G669" s="5"/>
      <c r="H669" s="16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>
      <c r="A670" s="5"/>
      <c r="B670" s="5"/>
      <c r="C670" s="168"/>
      <c r="D670" s="168"/>
      <c r="E670" s="5"/>
      <c r="F670" s="5"/>
      <c r="G670" s="5"/>
      <c r="H670" s="16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>
      <c r="A671" s="5"/>
      <c r="B671" s="5"/>
      <c r="C671" s="168"/>
      <c r="D671" s="168"/>
      <c r="E671" s="5"/>
      <c r="F671" s="5"/>
      <c r="G671" s="5"/>
      <c r="H671" s="16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>
      <c r="A672" s="5"/>
      <c r="B672" s="5"/>
      <c r="C672" s="168"/>
      <c r="D672" s="168"/>
      <c r="E672" s="5"/>
      <c r="F672" s="5"/>
      <c r="G672" s="5"/>
      <c r="H672" s="16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>
      <c r="A673" s="5"/>
      <c r="B673" s="5"/>
      <c r="C673" s="168"/>
      <c r="D673" s="168"/>
      <c r="E673" s="5"/>
      <c r="F673" s="5"/>
      <c r="G673" s="5"/>
      <c r="H673" s="16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>
      <c r="A674" s="5"/>
      <c r="B674" s="5"/>
      <c r="C674" s="168"/>
      <c r="D674" s="168"/>
      <c r="E674" s="5"/>
      <c r="F674" s="5"/>
      <c r="G674" s="5"/>
      <c r="H674" s="16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>
      <c r="A675" s="5"/>
      <c r="B675" s="5"/>
      <c r="C675" s="168"/>
      <c r="D675" s="168"/>
      <c r="E675" s="5"/>
      <c r="F675" s="5"/>
      <c r="G675" s="5"/>
      <c r="H675" s="16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>
      <c r="A676" s="5"/>
      <c r="B676" s="5"/>
      <c r="C676" s="168"/>
      <c r="D676" s="168"/>
      <c r="E676" s="5"/>
      <c r="F676" s="5"/>
      <c r="G676" s="5"/>
      <c r="H676" s="16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>
      <c r="A677" s="5"/>
      <c r="B677" s="5"/>
      <c r="C677" s="168"/>
      <c r="D677" s="168"/>
      <c r="E677" s="5"/>
      <c r="F677" s="5"/>
      <c r="G677" s="5"/>
      <c r="H677" s="16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>
      <c r="A678" s="5"/>
      <c r="B678" s="5"/>
      <c r="C678" s="168"/>
      <c r="D678" s="168"/>
      <c r="E678" s="5"/>
      <c r="F678" s="5"/>
      <c r="G678" s="5"/>
      <c r="H678" s="16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>
      <c r="A679" s="5"/>
      <c r="B679" s="5"/>
      <c r="C679" s="168"/>
      <c r="D679" s="168"/>
      <c r="E679" s="5"/>
      <c r="F679" s="5"/>
      <c r="G679" s="5"/>
      <c r="H679" s="16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>
      <c r="A680" s="5"/>
      <c r="B680" s="5"/>
      <c r="C680" s="168"/>
      <c r="D680" s="168"/>
      <c r="E680" s="5"/>
      <c r="F680" s="5"/>
      <c r="G680" s="5"/>
      <c r="H680" s="16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>
      <c r="A681" s="5"/>
      <c r="B681" s="5"/>
      <c r="C681" s="168"/>
      <c r="D681" s="168"/>
      <c r="E681" s="5"/>
      <c r="F681" s="5"/>
      <c r="G681" s="5"/>
      <c r="H681" s="16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>
      <c r="A682" s="5"/>
      <c r="B682" s="5"/>
      <c r="C682" s="168"/>
      <c r="D682" s="168"/>
      <c r="E682" s="5"/>
      <c r="F682" s="5"/>
      <c r="G682" s="5"/>
      <c r="H682" s="16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>
      <c r="A683" s="5"/>
      <c r="B683" s="5"/>
      <c r="C683" s="168"/>
      <c r="D683" s="168"/>
      <c r="E683" s="5"/>
      <c r="F683" s="5"/>
      <c r="G683" s="5"/>
      <c r="H683" s="16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>
      <c r="A684" s="5"/>
      <c r="B684" s="5"/>
      <c r="C684" s="168"/>
      <c r="D684" s="168"/>
      <c r="E684" s="5"/>
      <c r="F684" s="5"/>
      <c r="G684" s="5"/>
      <c r="H684" s="16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>
      <c r="A685" s="5"/>
      <c r="B685" s="5"/>
      <c r="C685" s="168"/>
      <c r="D685" s="168"/>
      <c r="E685" s="5"/>
      <c r="F685" s="5"/>
      <c r="G685" s="5"/>
      <c r="H685" s="16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>
      <c r="A686" s="5"/>
      <c r="B686" s="5"/>
      <c r="C686" s="168"/>
      <c r="D686" s="168"/>
      <c r="E686" s="5"/>
      <c r="F686" s="5"/>
      <c r="G686" s="5"/>
      <c r="H686" s="16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>
      <c r="A687" s="5"/>
      <c r="B687" s="5"/>
      <c r="C687" s="168"/>
      <c r="D687" s="168"/>
      <c r="E687" s="5"/>
      <c r="F687" s="5"/>
      <c r="G687" s="5"/>
      <c r="H687" s="16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>
      <c r="A688" s="5"/>
      <c r="B688" s="5"/>
      <c r="C688" s="168"/>
      <c r="D688" s="168"/>
      <c r="E688" s="5"/>
      <c r="F688" s="5"/>
      <c r="G688" s="5"/>
      <c r="H688" s="16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>
      <c r="A689" s="5"/>
      <c r="B689" s="5"/>
      <c r="C689" s="168"/>
      <c r="D689" s="168"/>
      <c r="E689" s="5"/>
      <c r="F689" s="5"/>
      <c r="G689" s="5"/>
      <c r="H689" s="16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>
      <c r="A690" s="5"/>
      <c r="B690" s="5"/>
      <c r="C690" s="168"/>
      <c r="D690" s="168"/>
      <c r="E690" s="5"/>
      <c r="F690" s="5"/>
      <c r="G690" s="5"/>
      <c r="H690" s="16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>
      <c r="A691" s="5"/>
      <c r="B691" s="5"/>
      <c r="C691" s="168"/>
      <c r="D691" s="168"/>
      <c r="E691" s="5"/>
      <c r="F691" s="5"/>
      <c r="G691" s="5"/>
      <c r="H691" s="16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>
      <c r="A692" s="5"/>
      <c r="B692" s="5"/>
      <c r="C692" s="168"/>
      <c r="D692" s="168"/>
      <c r="E692" s="5"/>
      <c r="F692" s="5"/>
      <c r="G692" s="5"/>
      <c r="H692" s="16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>
      <c r="A693" s="5"/>
      <c r="B693" s="5"/>
      <c r="C693" s="168"/>
      <c r="D693" s="168"/>
      <c r="E693" s="5"/>
      <c r="F693" s="5"/>
      <c r="G693" s="5"/>
      <c r="H693" s="16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>
      <c r="A694" s="5"/>
      <c r="B694" s="5"/>
      <c r="C694" s="168"/>
      <c r="D694" s="168"/>
      <c r="E694" s="5"/>
      <c r="F694" s="5"/>
      <c r="G694" s="5"/>
      <c r="H694" s="16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>
      <c r="A695" s="5"/>
      <c r="B695" s="5"/>
      <c r="C695" s="168"/>
      <c r="D695" s="168"/>
      <c r="E695" s="5"/>
      <c r="F695" s="5"/>
      <c r="G695" s="5"/>
      <c r="H695" s="16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>
      <c r="A696" s="5"/>
      <c r="B696" s="5"/>
      <c r="C696" s="168"/>
      <c r="D696" s="168"/>
      <c r="E696" s="5"/>
      <c r="F696" s="5"/>
      <c r="G696" s="5"/>
      <c r="H696" s="16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>
      <c r="A697" s="5"/>
      <c r="B697" s="5"/>
      <c r="C697" s="168"/>
      <c r="D697" s="168"/>
      <c r="E697" s="5"/>
      <c r="F697" s="5"/>
      <c r="G697" s="5"/>
      <c r="H697" s="16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>
      <c r="A698" s="5"/>
      <c r="B698" s="5"/>
      <c r="C698" s="168"/>
      <c r="D698" s="168"/>
      <c r="E698" s="5"/>
      <c r="F698" s="5"/>
      <c r="G698" s="5"/>
      <c r="H698" s="16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>
      <c r="A699" s="5"/>
      <c r="B699" s="5"/>
      <c r="C699" s="168"/>
      <c r="D699" s="168"/>
      <c r="E699" s="5"/>
      <c r="F699" s="5"/>
      <c r="G699" s="5"/>
      <c r="H699" s="16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>
      <c r="A700" s="5"/>
      <c r="B700" s="5"/>
      <c r="C700" s="168"/>
      <c r="D700" s="168"/>
      <c r="E700" s="5"/>
      <c r="F700" s="5"/>
      <c r="G700" s="5"/>
      <c r="H700" s="16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>
      <c r="A701" s="5"/>
      <c r="B701" s="5"/>
      <c r="C701" s="168"/>
      <c r="D701" s="168"/>
      <c r="E701" s="5"/>
      <c r="F701" s="5"/>
      <c r="G701" s="5"/>
      <c r="H701" s="16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>
      <c r="A702" s="5"/>
      <c r="B702" s="5"/>
      <c r="C702" s="168"/>
      <c r="D702" s="168"/>
      <c r="E702" s="5"/>
      <c r="F702" s="5"/>
      <c r="G702" s="5"/>
      <c r="H702" s="16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>
      <c r="A703" s="5"/>
      <c r="B703" s="5"/>
      <c r="C703" s="168"/>
      <c r="D703" s="168"/>
      <c r="E703" s="5"/>
      <c r="F703" s="5"/>
      <c r="G703" s="5"/>
      <c r="H703" s="16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>
      <c r="A704" s="5"/>
      <c r="B704" s="5"/>
      <c r="C704" s="168"/>
      <c r="D704" s="168"/>
      <c r="E704" s="5"/>
      <c r="F704" s="5"/>
      <c r="G704" s="5"/>
      <c r="H704" s="16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>
      <c r="A705" s="5"/>
      <c r="B705" s="5"/>
      <c r="C705" s="168"/>
      <c r="D705" s="168"/>
      <c r="E705" s="5"/>
      <c r="F705" s="5"/>
      <c r="G705" s="5"/>
      <c r="H705" s="16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>
      <c r="A706" s="5"/>
      <c r="B706" s="5"/>
      <c r="C706" s="168"/>
      <c r="D706" s="168"/>
      <c r="E706" s="5"/>
      <c r="F706" s="5"/>
      <c r="G706" s="5"/>
      <c r="H706" s="16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>
      <c r="A707" s="5"/>
      <c r="B707" s="5"/>
      <c r="C707" s="168"/>
      <c r="D707" s="168"/>
      <c r="E707" s="5"/>
      <c r="F707" s="5"/>
      <c r="G707" s="5"/>
      <c r="H707" s="16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>
      <c r="A708" s="5"/>
      <c r="B708" s="5"/>
      <c r="C708" s="168"/>
      <c r="D708" s="168"/>
      <c r="E708" s="5"/>
      <c r="F708" s="5"/>
      <c r="G708" s="5"/>
      <c r="H708" s="16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>
      <c r="A709" s="5"/>
      <c r="B709" s="5"/>
      <c r="C709" s="168"/>
      <c r="D709" s="168"/>
      <c r="E709" s="5"/>
      <c r="F709" s="5"/>
      <c r="G709" s="5"/>
      <c r="H709" s="16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>
      <c r="A710" s="5"/>
      <c r="B710" s="5"/>
      <c r="C710" s="168"/>
      <c r="D710" s="168"/>
      <c r="E710" s="5"/>
      <c r="F710" s="5"/>
      <c r="G710" s="5"/>
      <c r="H710" s="16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>
      <c r="A711" s="5"/>
      <c r="B711" s="5"/>
      <c r="C711" s="168"/>
      <c r="D711" s="168"/>
      <c r="E711" s="5"/>
      <c r="F711" s="5"/>
      <c r="G711" s="5"/>
      <c r="H711" s="16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>
      <c r="A712" s="5"/>
      <c r="B712" s="5"/>
      <c r="C712" s="168"/>
      <c r="D712" s="168"/>
      <c r="E712" s="5"/>
      <c r="F712" s="5"/>
      <c r="G712" s="5"/>
      <c r="H712" s="16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>
      <c r="A713" s="5"/>
      <c r="B713" s="5"/>
      <c r="C713" s="168"/>
      <c r="D713" s="168"/>
      <c r="E713" s="5"/>
      <c r="F713" s="5"/>
      <c r="G713" s="5"/>
      <c r="H713" s="16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>
      <c r="A714" s="5"/>
      <c r="B714" s="5"/>
      <c r="C714" s="168"/>
      <c r="D714" s="168"/>
      <c r="E714" s="5"/>
      <c r="F714" s="5"/>
      <c r="G714" s="5"/>
      <c r="H714" s="16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>
      <c r="A715" s="5"/>
      <c r="B715" s="5"/>
      <c r="C715" s="168"/>
      <c r="D715" s="168"/>
      <c r="E715" s="5"/>
      <c r="F715" s="5"/>
      <c r="G715" s="5"/>
      <c r="H715" s="16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>
      <c r="A716" s="5"/>
      <c r="B716" s="5"/>
      <c r="C716" s="168"/>
      <c r="D716" s="168"/>
      <c r="E716" s="5"/>
      <c r="F716" s="5"/>
      <c r="G716" s="5"/>
      <c r="H716" s="16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>
      <c r="A717" s="5"/>
      <c r="B717" s="5"/>
      <c r="C717" s="168"/>
      <c r="D717" s="168"/>
      <c r="E717" s="5"/>
      <c r="F717" s="5"/>
      <c r="G717" s="5"/>
      <c r="H717" s="16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>
      <c r="A718" s="5"/>
      <c r="B718" s="5"/>
      <c r="C718" s="168"/>
      <c r="D718" s="168"/>
      <c r="E718" s="5"/>
      <c r="F718" s="5"/>
      <c r="G718" s="5"/>
      <c r="H718" s="16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>
      <c r="A719" s="5"/>
      <c r="B719" s="5"/>
      <c r="C719" s="168"/>
      <c r="D719" s="168"/>
      <c r="E719" s="5"/>
      <c r="F719" s="5"/>
      <c r="G719" s="5"/>
      <c r="H719" s="16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>
      <c r="A720" s="5"/>
      <c r="B720" s="5"/>
      <c r="C720" s="168"/>
      <c r="D720" s="168"/>
      <c r="E720" s="5"/>
      <c r="F720" s="5"/>
      <c r="G720" s="5"/>
      <c r="H720" s="16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>
      <c r="A721" s="5"/>
      <c r="B721" s="5"/>
      <c r="C721" s="168"/>
      <c r="D721" s="168"/>
      <c r="E721" s="5"/>
      <c r="F721" s="5"/>
      <c r="G721" s="5"/>
      <c r="H721" s="16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>
      <c r="A722" s="5"/>
      <c r="B722" s="5"/>
      <c r="C722" s="168"/>
      <c r="D722" s="168"/>
      <c r="E722" s="5"/>
      <c r="F722" s="5"/>
      <c r="G722" s="5"/>
      <c r="H722" s="16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>
      <c r="A723" s="5"/>
      <c r="B723" s="5"/>
      <c r="C723" s="168"/>
      <c r="D723" s="168"/>
      <c r="E723" s="5"/>
      <c r="F723" s="5"/>
      <c r="G723" s="5"/>
      <c r="H723" s="16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>
      <c r="A724" s="5"/>
      <c r="B724" s="5"/>
      <c r="C724" s="168"/>
      <c r="D724" s="168"/>
      <c r="E724" s="5"/>
      <c r="F724" s="5"/>
      <c r="G724" s="5"/>
      <c r="H724" s="16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>
      <c r="A725" s="5"/>
      <c r="B725" s="5"/>
      <c r="C725" s="168"/>
      <c r="D725" s="168"/>
      <c r="E725" s="5"/>
      <c r="F725" s="5"/>
      <c r="G725" s="5"/>
      <c r="H725" s="16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>
      <c r="A726" s="5"/>
      <c r="B726" s="5"/>
      <c r="C726" s="168"/>
      <c r="D726" s="168"/>
      <c r="E726" s="5"/>
      <c r="F726" s="5"/>
      <c r="G726" s="5"/>
      <c r="H726" s="16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>
      <c r="A727" s="5"/>
      <c r="B727" s="5"/>
      <c r="C727" s="168"/>
      <c r="D727" s="168"/>
      <c r="E727" s="5"/>
      <c r="F727" s="5"/>
      <c r="G727" s="5"/>
      <c r="H727" s="16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>
      <c r="A728" s="5"/>
      <c r="B728" s="5"/>
      <c r="C728" s="168"/>
      <c r="D728" s="168"/>
      <c r="E728" s="5"/>
      <c r="F728" s="5"/>
      <c r="G728" s="5"/>
      <c r="H728" s="16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>
      <c r="A729" s="5"/>
      <c r="B729" s="5"/>
      <c r="C729" s="168"/>
      <c r="D729" s="168"/>
      <c r="E729" s="5"/>
      <c r="F729" s="5"/>
      <c r="G729" s="5"/>
      <c r="H729" s="16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>
      <c r="A730" s="5"/>
      <c r="B730" s="5"/>
      <c r="C730" s="168"/>
      <c r="D730" s="168"/>
      <c r="E730" s="5"/>
      <c r="F730" s="5"/>
      <c r="G730" s="5"/>
      <c r="H730" s="16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>
      <c r="A731" s="5"/>
      <c r="B731" s="5"/>
      <c r="C731" s="168"/>
      <c r="D731" s="168"/>
      <c r="E731" s="5"/>
      <c r="F731" s="5"/>
      <c r="G731" s="5"/>
      <c r="H731" s="16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>
      <c r="A732" s="5"/>
      <c r="B732" s="5"/>
      <c r="C732" s="168"/>
      <c r="D732" s="168"/>
      <c r="E732" s="5"/>
      <c r="F732" s="5"/>
      <c r="G732" s="5"/>
      <c r="H732" s="16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>
      <c r="A733" s="5"/>
      <c r="B733" s="5"/>
      <c r="C733" s="168"/>
      <c r="D733" s="168"/>
      <c r="E733" s="5"/>
      <c r="F733" s="5"/>
      <c r="G733" s="5"/>
      <c r="H733" s="16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>
      <c r="A734" s="5"/>
      <c r="B734" s="5"/>
      <c r="C734" s="168"/>
      <c r="D734" s="168"/>
      <c r="E734" s="5"/>
      <c r="F734" s="5"/>
      <c r="G734" s="5"/>
      <c r="H734" s="16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>
      <c r="A735" s="5"/>
      <c r="B735" s="5"/>
      <c r="C735" s="168"/>
      <c r="D735" s="168"/>
      <c r="E735" s="5"/>
      <c r="F735" s="5"/>
      <c r="G735" s="5"/>
      <c r="H735" s="16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>
      <c r="A736" s="5"/>
      <c r="B736" s="5"/>
      <c r="C736" s="168"/>
      <c r="D736" s="168"/>
      <c r="E736" s="5"/>
      <c r="F736" s="5"/>
      <c r="G736" s="5"/>
      <c r="H736" s="16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>
      <c r="A737" s="5"/>
      <c r="B737" s="5"/>
      <c r="C737" s="168"/>
      <c r="D737" s="168"/>
      <c r="E737" s="5"/>
      <c r="F737" s="5"/>
      <c r="G737" s="5"/>
      <c r="H737" s="16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>
      <c r="A738" s="5"/>
      <c r="B738" s="5"/>
      <c r="C738" s="168"/>
      <c r="D738" s="168"/>
      <c r="E738" s="5"/>
      <c r="F738" s="5"/>
      <c r="G738" s="5"/>
      <c r="H738" s="16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>
      <c r="A739" s="5"/>
      <c r="B739" s="5"/>
      <c r="C739" s="168"/>
      <c r="D739" s="168"/>
      <c r="E739" s="5"/>
      <c r="F739" s="5"/>
      <c r="G739" s="5"/>
      <c r="H739" s="16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>
      <c r="A740" s="5"/>
      <c r="B740" s="5"/>
      <c r="C740" s="168"/>
      <c r="D740" s="168"/>
      <c r="E740" s="5"/>
      <c r="F740" s="5"/>
      <c r="G740" s="5"/>
      <c r="H740" s="16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>
      <c r="A741" s="5"/>
      <c r="B741" s="5"/>
      <c r="C741" s="168"/>
      <c r="D741" s="168"/>
      <c r="E741" s="5"/>
      <c r="F741" s="5"/>
      <c r="G741" s="5"/>
      <c r="H741" s="16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>
      <c r="A742" s="5"/>
      <c r="B742" s="5"/>
      <c r="C742" s="168"/>
      <c r="D742" s="168"/>
      <c r="E742" s="5"/>
      <c r="F742" s="5"/>
      <c r="G742" s="5"/>
      <c r="H742" s="16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>
      <c r="A743" s="5"/>
      <c r="B743" s="5"/>
      <c r="C743" s="168"/>
      <c r="D743" s="168"/>
      <c r="E743" s="5"/>
      <c r="F743" s="5"/>
      <c r="G743" s="5"/>
      <c r="H743" s="16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>
      <c r="A744" s="5"/>
      <c r="B744" s="5"/>
      <c r="C744" s="168"/>
      <c r="D744" s="168"/>
      <c r="E744" s="5"/>
      <c r="F744" s="5"/>
      <c r="G744" s="5"/>
      <c r="H744" s="16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>
      <c r="A745" s="5"/>
      <c r="B745" s="5"/>
      <c r="C745" s="168"/>
      <c r="D745" s="168"/>
      <c r="E745" s="5"/>
      <c r="F745" s="5"/>
      <c r="G745" s="5"/>
      <c r="H745" s="16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>
      <c r="A746" s="5"/>
      <c r="B746" s="5"/>
      <c r="C746" s="168"/>
      <c r="D746" s="168"/>
      <c r="E746" s="5"/>
      <c r="F746" s="5"/>
      <c r="G746" s="5"/>
      <c r="H746" s="16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>
      <c r="A747" s="5"/>
      <c r="B747" s="5"/>
      <c r="C747" s="168"/>
      <c r="D747" s="168"/>
      <c r="E747" s="5"/>
      <c r="F747" s="5"/>
      <c r="G747" s="5"/>
      <c r="H747" s="16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>
      <c r="A748" s="5"/>
      <c r="B748" s="5"/>
      <c r="C748" s="168"/>
      <c r="D748" s="168"/>
      <c r="E748" s="5"/>
      <c r="F748" s="5"/>
      <c r="G748" s="5"/>
      <c r="H748" s="16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>
      <c r="A749" s="5"/>
      <c r="B749" s="5"/>
      <c r="C749" s="168"/>
      <c r="D749" s="168"/>
      <c r="E749" s="5"/>
      <c r="F749" s="5"/>
      <c r="G749" s="5"/>
      <c r="H749" s="16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>
      <c r="A750" s="5"/>
      <c r="B750" s="5"/>
      <c r="C750" s="168"/>
      <c r="D750" s="168"/>
      <c r="E750" s="5"/>
      <c r="F750" s="5"/>
      <c r="G750" s="5"/>
      <c r="H750" s="16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>
      <c r="A751" s="5"/>
      <c r="B751" s="5"/>
      <c r="C751" s="168"/>
      <c r="D751" s="168"/>
      <c r="E751" s="5"/>
      <c r="F751" s="5"/>
      <c r="G751" s="5"/>
      <c r="H751" s="16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>
      <c r="A752" s="5"/>
      <c r="B752" s="5"/>
      <c r="C752" s="168"/>
      <c r="D752" s="168"/>
      <c r="E752" s="5"/>
      <c r="F752" s="5"/>
      <c r="G752" s="5"/>
      <c r="H752" s="16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>
      <c r="A753" s="5"/>
      <c r="B753" s="5"/>
      <c r="C753" s="168"/>
      <c r="D753" s="168"/>
      <c r="E753" s="5"/>
      <c r="F753" s="5"/>
      <c r="G753" s="5"/>
      <c r="H753" s="16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>
      <c r="A754" s="5"/>
      <c r="B754" s="5"/>
      <c r="C754" s="168"/>
      <c r="D754" s="168"/>
      <c r="E754" s="5"/>
      <c r="F754" s="5"/>
      <c r="G754" s="5"/>
      <c r="H754" s="16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>
      <c r="A755" s="5"/>
      <c r="B755" s="5"/>
      <c r="C755" s="168"/>
      <c r="D755" s="168"/>
      <c r="E755" s="5"/>
      <c r="F755" s="5"/>
      <c r="G755" s="5"/>
      <c r="H755" s="16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>
      <c r="A756" s="5"/>
      <c r="B756" s="5"/>
      <c r="C756" s="168"/>
      <c r="D756" s="168"/>
      <c r="E756" s="5"/>
      <c r="F756" s="5"/>
      <c r="G756" s="5"/>
      <c r="H756" s="16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>
      <c r="A757" s="5"/>
      <c r="B757" s="5"/>
      <c r="C757" s="168"/>
      <c r="D757" s="168"/>
      <c r="E757" s="5"/>
      <c r="F757" s="5"/>
      <c r="G757" s="5"/>
      <c r="H757" s="16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>
      <c r="A758" s="5"/>
      <c r="B758" s="5"/>
      <c r="C758" s="168"/>
      <c r="D758" s="168"/>
      <c r="E758" s="5"/>
      <c r="F758" s="5"/>
      <c r="G758" s="5"/>
      <c r="H758" s="16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>
      <c r="A759" s="5"/>
      <c r="B759" s="5"/>
      <c r="C759" s="168"/>
      <c r="D759" s="168"/>
      <c r="E759" s="5"/>
      <c r="F759" s="5"/>
      <c r="G759" s="5"/>
      <c r="H759" s="16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>
      <c r="A760" s="5"/>
      <c r="B760" s="5"/>
      <c r="C760" s="168"/>
      <c r="D760" s="168"/>
      <c r="E760" s="5"/>
      <c r="F760" s="5"/>
      <c r="G760" s="5"/>
      <c r="H760" s="16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>
      <c r="A761" s="5"/>
      <c r="B761" s="5"/>
      <c r="C761" s="168"/>
      <c r="D761" s="168"/>
      <c r="E761" s="5"/>
      <c r="F761" s="5"/>
      <c r="G761" s="5"/>
      <c r="H761" s="16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>
      <c r="A762" s="5"/>
      <c r="B762" s="5"/>
      <c r="C762" s="168"/>
      <c r="D762" s="168"/>
      <c r="E762" s="5"/>
      <c r="F762" s="5"/>
      <c r="G762" s="5"/>
      <c r="H762" s="16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>
      <c r="A763" s="5"/>
      <c r="B763" s="5"/>
      <c r="C763" s="168"/>
      <c r="D763" s="168"/>
      <c r="E763" s="5"/>
      <c r="F763" s="5"/>
      <c r="G763" s="5"/>
      <c r="H763" s="16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>
      <c r="A764" s="5"/>
      <c r="B764" s="5"/>
      <c r="C764" s="168"/>
      <c r="D764" s="168"/>
      <c r="E764" s="5"/>
      <c r="F764" s="5"/>
      <c r="G764" s="5"/>
      <c r="H764" s="16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>
      <c r="A765" s="5"/>
      <c r="B765" s="5"/>
      <c r="C765" s="168"/>
      <c r="D765" s="168"/>
      <c r="E765" s="5"/>
      <c r="F765" s="5"/>
      <c r="G765" s="5"/>
      <c r="H765" s="16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>
      <c r="A766" s="5"/>
      <c r="B766" s="5"/>
      <c r="C766" s="168"/>
      <c r="D766" s="168"/>
      <c r="E766" s="5"/>
      <c r="F766" s="5"/>
      <c r="G766" s="5"/>
      <c r="H766" s="16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>
      <c r="A767" s="5"/>
      <c r="B767" s="5"/>
      <c r="C767" s="168"/>
      <c r="D767" s="168"/>
      <c r="E767" s="5"/>
      <c r="F767" s="5"/>
      <c r="G767" s="5"/>
      <c r="H767" s="16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>
      <c r="A768" s="5"/>
      <c r="B768" s="5"/>
      <c r="C768" s="168"/>
      <c r="D768" s="168"/>
      <c r="E768" s="5"/>
      <c r="F768" s="5"/>
      <c r="G768" s="5"/>
      <c r="H768" s="16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>
      <c r="A769" s="5"/>
      <c r="B769" s="5"/>
      <c r="C769" s="168"/>
      <c r="D769" s="168"/>
      <c r="E769" s="5"/>
      <c r="F769" s="5"/>
      <c r="G769" s="5"/>
      <c r="H769" s="16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>
      <c r="A770" s="5"/>
      <c r="B770" s="5"/>
      <c r="C770" s="168"/>
      <c r="D770" s="168"/>
      <c r="E770" s="5"/>
      <c r="F770" s="5"/>
      <c r="G770" s="5"/>
      <c r="H770" s="16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>
      <c r="A771" s="5"/>
      <c r="B771" s="5"/>
      <c r="C771" s="168"/>
      <c r="D771" s="168"/>
      <c r="E771" s="5"/>
      <c r="F771" s="5"/>
      <c r="G771" s="5"/>
      <c r="H771" s="16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>
      <c r="A772" s="5"/>
      <c r="B772" s="5"/>
      <c r="C772" s="168"/>
      <c r="D772" s="168"/>
      <c r="E772" s="5"/>
      <c r="F772" s="5"/>
      <c r="G772" s="5"/>
      <c r="H772" s="16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>
      <c r="A773" s="5"/>
      <c r="B773" s="5"/>
      <c r="C773" s="168"/>
      <c r="D773" s="168"/>
      <c r="E773" s="5"/>
      <c r="F773" s="5"/>
      <c r="G773" s="5"/>
      <c r="H773" s="16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>
      <c r="A774" s="5"/>
      <c r="B774" s="5"/>
      <c r="C774" s="168"/>
      <c r="D774" s="168"/>
      <c r="E774" s="5"/>
      <c r="F774" s="5"/>
      <c r="G774" s="5"/>
      <c r="H774" s="16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>
      <c r="A775" s="5"/>
      <c r="B775" s="5"/>
      <c r="C775" s="168"/>
      <c r="D775" s="168"/>
      <c r="E775" s="5"/>
      <c r="F775" s="5"/>
      <c r="G775" s="5"/>
      <c r="H775" s="16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>
      <c r="A776" s="5"/>
      <c r="B776" s="5"/>
      <c r="C776" s="168"/>
      <c r="D776" s="168"/>
      <c r="E776" s="5"/>
      <c r="F776" s="5"/>
      <c r="G776" s="5"/>
      <c r="H776" s="16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>
      <c r="A777" s="5"/>
      <c r="B777" s="5"/>
      <c r="C777" s="168"/>
      <c r="D777" s="168"/>
      <c r="E777" s="5"/>
      <c r="F777" s="5"/>
      <c r="G777" s="5"/>
      <c r="H777" s="16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>
      <c r="A778" s="5"/>
      <c r="B778" s="5"/>
      <c r="C778" s="168"/>
      <c r="D778" s="168"/>
      <c r="E778" s="5"/>
      <c r="F778" s="5"/>
      <c r="G778" s="5"/>
      <c r="H778" s="16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>
      <c r="A779" s="5"/>
      <c r="B779" s="5"/>
      <c r="C779" s="168"/>
      <c r="D779" s="168"/>
      <c r="E779" s="5"/>
      <c r="F779" s="5"/>
      <c r="G779" s="5"/>
      <c r="H779" s="16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>
      <c r="A780" s="5"/>
      <c r="B780" s="5"/>
      <c r="C780" s="168"/>
      <c r="D780" s="168"/>
      <c r="E780" s="5"/>
      <c r="F780" s="5"/>
      <c r="G780" s="5"/>
      <c r="H780" s="16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>
      <c r="A781" s="5"/>
      <c r="B781" s="5"/>
      <c r="C781" s="168"/>
      <c r="D781" s="168"/>
      <c r="E781" s="5"/>
      <c r="F781" s="5"/>
      <c r="G781" s="5"/>
      <c r="H781" s="16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>
      <c r="A782" s="5"/>
      <c r="B782" s="5"/>
      <c r="C782" s="168"/>
      <c r="D782" s="168"/>
      <c r="E782" s="5"/>
      <c r="F782" s="5"/>
      <c r="G782" s="5"/>
      <c r="H782" s="16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>
      <c r="A783" s="5"/>
      <c r="B783" s="5"/>
      <c r="C783" s="168"/>
      <c r="D783" s="168"/>
      <c r="E783" s="5"/>
      <c r="F783" s="5"/>
      <c r="G783" s="5"/>
      <c r="H783" s="16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>
      <c r="A784" s="5"/>
      <c r="B784" s="5"/>
      <c r="C784" s="168"/>
      <c r="D784" s="168"/>
      <c r="E784" s="5"/>
      <c r="F784" s="5"/>
      <c r="G784" s="5"/>
      <c r="H784" s="16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>
      <c r="A785" s="5"/>
      <c r="B785" s="5"/>
      <c r="C785" s="168"/>
      <c r="D785" s="168"/>
      <c r="E785" s="5"/>
      <c r="F785" s="5"/>
      <c r="G785" s="5"/>
      <c r="H785" s="16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>
      <c r="A786" s="5"/>
      <c r="B786" s="5"/>
      <c r="C786" s="168"/>
      <c r="D786" s="168"/>
      <c r="E786" s="5"/>
      <c r="F786" s="5"/>
      <c r="G786" s="5"/>
      <c r="H786" s="16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>
      <c r="A787" s="5"/>
      <c r="B787" s="5"/>
      <c r="C787" s="168"/>
      <c r="D787" s="168"/>
      <c r="E787" s="5"/>
      <c r="F787" s="5"/>
      <c r="G787" s="5"/>
      <c r="H787" s="16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>
      <c r="A788" s="5"/>
      <c r="B788" s="5"/>
      <c r="C788" s="168"/>
      <c r="D788" s="168"/>
      <c r="E788" s="5"/>
      <c r="F788" s="5"/>
      <c r="G788" s="5"/>
      <c r="H788" s="16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>
      <c r="A789" s="5"/>
      <c r="B789" s="5"/>
      <c r="C789" s="168"/>
      <c r="D789" s="168"/>
      <c r="E789" s="5"/>
      <c r="F789" s="5"/>
      <c r="G789" s="5"/>
      <c r="H789" s="16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>
      <c r="A790" s="5"/>
      <c r="B790" s="5"/>
      <c r="C790" s="168"/>
      <c r="D790" s="168"/>
      <c r="E790" s="5"/>
      <c r="F790" s="5"/>
      <c r="G790" s="5"/>
      <c r="H790" s="16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>
      <c r="A791" s="5"/>
      <c r="B791" s="5"/>
      <c r="C791" s="168"/>
      <c r="D791" s="168"/>
      <c r="E791" s="5"/>
      <c r="F791" s="5"/>
      <c r="G791" s="5"/>
      <c r="H791" s="16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>
      <c r="A792" s="5"/>
      <c r="B792" s="5"/>
      <c r="C792" s="168"/>
      <c r="D792" s="168"/>
      <c r="E792" s="5"/>
      <c r="F792" s="5"/>
      <c r="G792" s="5"/>
      <c r="H792" s="16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>
      <c r="A793" s="5"/>
      <c r="B793" s="5"/>
      <c r="C793" s="168"/>
      <c r="D793" s="168"/>
      <c r="E793" s="5"/>
      <c r="F793" s="5"/>
      <c r="G793" s="5"/>
      <c r="H793" s="16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>
      <c r="A794" s="5"/>
      <c r="B794" s="5"/>
      <c r="C794" s="168"/>
      <c r="D794" s="168"/>
      <c r="E794" s="5"/>
      <c r="F794" s="5"/>
      <c r="G794" s="5"/>
      <c r="H794" s="16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>
      <c r="A795" s="5"/>
      <c r="B795" s="5"/>
      <c r="C795" s="168"/>
      <c r="D795" s="168"/>
      <c r="E795" s="5"/>
      <c r="F795" s="5"/>
      <c r="G795" s="5"/>
      <c r="H795" s="16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>
      <c r="A796" s="5"/>
      <c r="B796" s="5"/>
      <c r="C796" s="168"/>
      <c r="D796" s="168"/>
      <c r="E796" s="5"/>
      <c r="F796" s="5"/>
      <c r="G796" s="5"/>
      <c r="H796" s="16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>
      <c r="A797" s="5"/>
      <c r="B797" s="5"/>
      <c r="C797" s="168"/>
      <c r="D797" s="168"/>
      <c r="E797" s="5"/>
      <c r="F797" s="5"/>
      <c r="G797" s="5"/>
      <c r="H797" s="16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>
      <c r="A798" s="5"/>
      <c r="B798" s="5"/>
      <c r="C798" s="168"/>
      <c r="D798" s="168"/>
      <c r="E798" s="5"/>
      <c r="F798" s="5"/>
      <c r="G798" s="5"/>
      <c r="H798" s="16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>
      <c r="A799" s="5"/>
      <c r="B799" s="5"/>
      <c r="C799" s="168"/>
      <c r="D799" s="168"/>
      <c r="E799" s="5"/>
      <c r="F799" s="5"/>
      <c r="G799" s="5"/>
      <c r="H799" s="16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>
      <c r="A800" s="5"/>
      <c r="B800" s="5"/>
      <c r="C800" s="168"/>
      <c r="D800" s="168"/>
      <c r="E800" s="5"/>
      <c r="F800" s="5"/>
      <c r="G800" s="5"/>
      <c r="H800" s="16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>
      <c r="A801" s="5"/>
      <c r="B801" s="5"/>
      <c r="C801" s="168"/>
      <c r="D801" s="168"/>
      <c r="E801" s="5"/>
      <c r="F801" s="5"/>
      <c r="G801" s="5"/>
      <c r="H801" s="16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>
      <c r="A802" s="5"/>
      <c r="B802" s="5"/>
      <c r="C802" s="168"/>
      <c r="D802" s="168"/>
      <c r="E802" s="5"/>
      <c r="F802" s="5"/>
      <c r="G802" s="5"/>
      <c r="H802" s="16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>
      <c r="A803" s="5"/>
      <c r="B803" s="5"/>
      <c r="C803" s="168"/>
      <c r="D803" s="168"/>
      <c r="E803" s="5"/>
      <c r="F803" s="5"/>
      <c r="G803" s="5"/>
      <c r="H803" s="16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>
      <c r="A804" s="5"/>
      <c r="B804" s="5"/>
      <c r="C804" s="168"/>
      <c r="D804" s="168"/>
      <c r="E804" s="5"/>
      <c r="F804" s="5"/>
      <c r="G804" s="5"/>
      <c r="H804" s="16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>
      <c r="A805" s="5"/>
      <c r="B805" s="5"/>
      <c r="C805" s="168"/>
      <c r="D805" s="168"/>
      <c r="E805" s="5"/>
      <c r="F805" s="5"/>
      <c r="G805" s="5"/>
      <c r="H805" s="16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>
      <c r="A806" s="5"/>
      <c r="B806" s="5"/>
      <c r="C806" s="168"/>
      <c r="D806" s="168"/>
      <c r="E806" s="5"/>
      <c r="F806" s="5"/>
      <c r="G806" s="5"/>
      <c r="H806" s="16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>
      <c r="A807" s="5"/>
      <c r="B807" s="5"/>
      <c r="C807" s="168"/>
      <c r="D807" s="168"/>
      <c r="E807" s="5"/>
      <c r="F807" s="5"/>
      <c r="G807" s="5"/>
      <c r="H807" s="16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>
      <c r="A808" s="5"/>
      <c r="B808" s="5"/>
      <c r="C808" s="168"/>
      <c r="D808" s="168"/>
      <c r="E808" s="5"/>
      <c r="F808" s="5"/>
      <c r="G808" s="5"/>
      <c r="H808" s="16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>
      <c r="A809" s="5"/>
      <c r="B809" s="5"/>
      <c r="C809" s="168"/>
      <c r="D809" s="168"/>
      <c r="E809" s="5"/>
      <c r="F809" s="5"/>
      <c r="G809" s="5"/>
      <c r="H809" s="16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>
      <c r="A810" s="5"/>
      <c r="B810" s="5"/>
      <c r="C810" s="168"/>
      <c r="D810" s="168"/>
      <c r="E810" s="5"/>
      <c r="F810" s="5"/>
      <c r="G810" s="5"/>
      <c r="H810" s="16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>
      <c r="A811" s="5"/>
      <c r="B811" s="5"/>
      <c r="C811" s="168"/>
      <c r="D811" s="168"/>
      <c r="E811" s="5"/>
      <c r="F811" s="5"/>
      <c r="G811" s="5"/>
      <c r="H811" s="16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>
      <c r="A812" s="5"/>
      <c r="B812" s="5"/>
      <c r="C812" s="168"/>
      <c r="D812" s="168"/>
      <c r="E812" s="5"/>
      <c r="F812" s="5"/>
      <c r="G812" s="5"/>
      <c r="H812" s="16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>
      <c r="A813" s="5"/>
      <c r="B813" s="5"/>
      <c r="C813" s="168"/>
      <c r="D813" s="168"/>
      <c r="E813" s="5"/>
      <c r="F813" s="5"/>
      <c r="G813" s="5"/>
      <c r="H813" s="16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>
      <c r="A814" s="5"/>
      <c r="B814" s="5"/>
      <c r="C814" s="168"/>
      <c r="D814" s="168"/>
      <c r="E814" s="5"/>
      <c r="F814" s="5"/>
      <c r="G814" s="5"/>
      <c r="H814" s="16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>
      <c r="A815" s="5"/>
      <c r="B815" s="5"/>
      <c r="C815" s="168"/>
      <c r="D815" s="168"/>
      <c r="E815" s="5"/>
      <c r="F815" s="5"/>
      <c r="G815" s="5"/>
      <c r="H815" s="16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>
      <c r="A816" s="5"/>
      <c r="B816" s="5"/>
      <c r="C816" s="168"/>
      <c r="D816" s="168"/>
      <c r="E816" s="5"/>
      <c r="F816" s="5"/>
      <c r="G816" s="5"/>
      <c r="H816" s="16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>
      <c r="A817" s="5"/>
      <c r="B817" s="5"/>
      <c r="C817" s="168"/>
      <c r="D817" s="168"/>
      <c r="E817" s="5"/>
      <c r="F817" s="5"/>
      <c r="G817" s="5"/>
      <c r="H817" s="16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>
      <c r="A818" s="5"/>
      <c r="B818" s="5"/>
      <c r="C818" s="168"/>
      <c r="D818" s="168"/>
      <c r="E818" s="5"/>
      <c r="F818" s="5"/>
      <c r="G818" s="5"/>
      <c r="H818" s="16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>
      <c r="A819" s="5"/>
      <c r="B819" s="5"/>
      <c r="C819" s="168"/>
      <c r="D819" s="168"/>
      <c r="E819" s="5"/>
      <c r="F819" s="5"/>
      <c r="G819" s="5"/>
      <c r="H819" s="16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>
      <c r="A820" s="5"/>
      <c r="B820" s="5"/>
      <c r="C820" s="168"/>
      <c r="D820" s="168"/>
      <c r="E820" s="5"/>
      <c r="F820" s="5"/>
      <c r="G820" s="5"/>
      <c r="H820" s="16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>
      <c r="A821" s="5"/>
      <c r="B821" s="5"/>
      <c r="C821" s="168"/>
      <c r="D821" s="168"/>
      <c r="E821" s="5"/>
      <c r="F821" s="5"/>
      <c r="G821" s="5"/>
      <c r="H821" s="16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>
      <c r="A822" s="5"/>
      <c r="B822" s="5"/>
      <c r="C822" s="168"/>
      <c r="D822" s="168"/>
      <c r="E822" s="5"/>
      <c r="F822" s="5"/>
      <c r="G822" s="5"/>
      <c r="H822" s="16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>
      <c r="A823" s="5"/>
      <c r="B823" s="5"/>
      <c r="C823" s="168"/>
      <c r="D823" s="168"/>
      <c r="E823" s="5"/>
      <c r="F823" s="5"/>
      <c r="G823" s="5"/>
      <c r="H823" s="16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>
      <c r="A824" s="5"/>
      <c r="B824" s="5"/>
      <c r="C824" s="168"/>
      <c r="D824" s="168"/>
      <c r="E824" s="5"/>
      <c r="F824" s="5"/>
      <c r="G824" s="5"/>
      <c r="H824" s="16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>
      <c r="A825" s="5"/>
      <c r="B825" s="5"/>
      <c r="C825" s="168"/>
      <c r="D825" s="168"/>
      <c r="E825" s="5"/>
      <c r="F825" s="5"/>
      <c r="G825" s="5"/>
      <c r="H825" s="16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>
      <c r="A826" s="5"/>
      <c r="B826" s="5"/>
      <c r="C826" s="168"/>
      <c r="D826" s="168"/>
      <c r="E826" s="5"/>
      <c r="F826" s="5"/>
      <c r="G826" s="5"/>
      <c r="H826" s="16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>
      <c r="A827" s="5"/>
      <c r="B827" s="5"/>
      <c r="C827" s="168"/>
      <c r="D827" s="168"/>
      <c r="E827" s="5"/>
      <c r="F827" s="5"/>
      <c r="G827" s="5"/>
      <c r="H827" s="16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>
      <c r="A828" s="5"/>
      <c r="B828" s="5"/>
      <c r="C828" s="168"/>
      <c r="D828" s="168"/>
      <c r="E828" s="5"/>
      <c r="F828" s="5"/>
      <c r="G828" s="5"/>
      <c r="H828" s="16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>
      <c r="A829" s="5"/>
      <c r="B829" s="5"/>
      <c r="C829" s="168"/>
      <c r="D829" s="168"/>
      <c r="E829" s="5"/>
      <c r="F829" s="5"/>
      <c r="G829" s="5"/>
      <c r="H829" s="16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>
      <c r="A830" s="5"/>
      <c r="B830" s="5"/>
      <c r="C830" s="168"/>
      <c r="D830" s="168"/>
      <c r="E830" s="5"/>
      <c r="F830" s="5"/>
      <c r="G830" s="5"/>
      <c r="H830" s="16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>
      <c r="A831" s="5"/>
      <c r="B831" s="5"/>
      <c r="C831" s="168"/>
      <c r="D831" s="168"/>
      <c r="E831" s="5"/>
      <c r="F831" s="5"/>
      <c r="G831" s="5"/>
      <c r="H831" s="16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>
      <c r="A832" s="5"/>
      <c r="B832" s="5"/>
      <c r="C832" s="168"/>
      <c r="D832" s="168"/>
      <c r="E832" s="5"/>
      <c r="F832" s="5"/>
      <c r="G832" s="5"/>
      <c r="H832" s="16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>
      <c r="A833" s="5"/>
      <c r="B833" s="5"/>
      <c r="C833" s="168"/>
      <c r="D833" s="168"/>
      <c r="E833" s="5"/>
      <c r="F833" s="5"/>
      <c r="G833" s="5"/>
      <c r="H833" s="16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>
      <c r="A834" s="5"/>
      <c r="B834" s="5"/>
      <c r="C834" s="168"/>
      <c r="D834" s="168"/>
      <c r="E834" s="5"/>
      <c r="F834" s="5"/>
      <c r="G834" s="5"/>
      <c r="H834" s="16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>
      <c r="A835" s="5"/>
      <c r="B835" s="5"/>
      <c r="C835" s="168"/>
      <c r="D835" s="168"/>
      <c r="E835" s="5"/>
      <c r="F835" s="5"/>
      <c r="G835" s="5"/>
      <c r="H835" s="16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>
      <c r="A836" s="5"/>
      <c r="B836" s="5"/>
      <c r="C836" s="168"/>
      <c r="D836" s="168"/>
      <c r="E836" s="5"/>
      <c r="F836" s="5"/>
      <c r="G836" s="5"/>
      <c r="H836" s="16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4"/>
    </row>
    <row r="837">
      <c r="A837" s="5"/>
      <c r="B837" s="5"/>
      <c r="C837" s="168"/>
      <c r="D837" s="168"/>
      <c r="E837" s="5"/>
      <c r="F837" s="5"/>
      <c r="G837" s="5"/>
      <c r="H837" s="16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4"/>
    </row>
    <row r="838">
      <c r="A838" s="5"/>
      <c r="B838" s="5"/>
      <c r="C838" s="168"/>
      <c r="D838" s="168"/>
      <c r="E838" s="5"/>
      <c r="F838" s="5"/>
      <c r="G838" s="5"/>
      <c r="H838" s="16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4"/>
    </row>
    <row r="839">
      <c r="A839" s="5"/>
      <c r="B839" s="5"/>
      <c r="C839" s="168"/>
      <c r="D839" s="168"/>
      <c r="E839" s="5"/>
      <c r="F839" s="5"/>
      <c r="G839" s="5"/>
      <c r="H839" s="16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4"/>
    </row>
    <row r="840">
      <c r="A840" s="5"/>
      <c r="B840" s="5"/>
      <c r="C840" s="168"/>
      <c r="D840" s="168"/>
      <c r="E840" s="5"/>
      <c r="F840" s="5"/>
      <c r="G840" s="5"/>
      <c r="H840" s="16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4"/>
    </row>
    <row r="841">
      <c r="A841" s="5"/>
      <c r="B841" s="5"/>
      <c r="C841" s="168"/>
      <c r="D841" s="168"/>
      <c r="E841" s="5"/>
      <c r="F841" s="5"/>
      <c r="G841" s="5"/>
      <c r="H841" s="16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4"/>
    </row>
    <row r="842">
      <c r="A842" s="5"/>
      <c r="B842" s="5"/>
      <c r="C842" s="168"/>
      <c r="D842" s="168"/>
      <c r="E842" s="5"/>
      <c r="F842" s="5"/>
      <c r="G842" s="5"/>
      <c r="H842" s="16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4"/>
    </row>
    <row r="843">
      <c r="A843" s="5"/>
      <c r="B843" s="5"/>
      <c r="C843" s="168"/>
      <c r="D843" s="168"/>
      <c r="E843" s="5"/>
      <c r="F843" s="5"/>
      <c r="G843" s="5"/>
      <c r="H843" s="16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4"/>
    </row>
    <row r="844">
      <c r="A844" s="5"/>
      <c r="B844" s="5"/>
      <c r="C844" s="168"/>
      <c r="D844" s="168"/>
      <c r="E844" s="5"/>
      <c r="F844" s="5"/>
      <c r="G844" s="5"/>
      <c r="H844" s="16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4"/>
    </row>
    <row r="845">
      <c r="A845" s="5"/>
      <c r="B845" s="5"/>
      <c r="C845" s="168"/>
      <c r="D845" s="168"/>
      <c r="E845" s="5"/>
      <c r="F845" s="5"/>
      <c r="G845" s="5"/>
      <c r="H845" s="16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4"/>
    </row>
    <row r="846">
      <c r="A846" s="5"/>
      <c r="B846" s="5"/>
      <c r="C846" s="168"/>
      <c r="D846" s="168"/>
      <c r="E846" s="5"/>
      <c r="F846" s="5"/>
      <c r="G846" s="5"/>
      <c r="H846" s="16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4"/>
    </row>
    <row r="847">
      <c r="A847" s="5"/>
      <c r="B847" s="5"/>
      <c r="C847" s="168"/>
      <c r="D847" s="168"/>
      <c r="E847" s="5"/>
      <c r="F847" s="5"/>
      <c r="G847" s="5"/>
      <c r="H847" s="16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4"/>
    </row>
    <row r="848">
      <c r="A848" s="5"/>
      <c r="B848" s="5"/>
      <c r="C848" s="168"/>
      <c r="D848" s="168"/>
      <c r="E848" s="5"/>
      <c r="F848" s="5"/>
      <c r="G848" s="5"/>
      <c r="H848" s="16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4"/>
    </row>
    <row r="849">
      <c r="A849" s="5"/>
      <c r="B849" s="5"/>
      <c r="C849" s="168"/>
      <c r="D849" s="168"/>
      <c r="E849" s="5"/>
      <c r="F849" s="5"/>
      <c r="G849" s="5"/>
      <c r="H849" s="16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4"/>
    </row>
    <row r="850">
      <c r="A850" s="5"/>
      <c r="B850" s="5"/>
      <c r="C850" s="168"/>
      <c r="D850" s="168"/>
      <c r="E850" s="5"/>
      <c r="F850" s="5"/>
      <c r="G850" s="5"/>
      <c r="H850" s="16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4"/>
    </row>
    <row r="851">
      <c r="A851" s="5"/>
      <c r="B851" s="5"/>
      <c r="C851" s="168"/>
      <c r="D851" s="168"/>
      <c r="E851" s="5"/>
      <c r="F851" s="5"/>
      <c r="G851" s="5"/>
      <c r="H851" s="16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4"/>
    </row>
    <row r="852">
      <c r="A852" s="5"/>
      <c r="B852" s="5"/>
      <c r="C852" s="168"/>
      <c r="D852" s="168"/>
      <c r="E852" s="5"/>
      <c r="F852" s="5"/>
      <c r="G852" s="5"/>
      <c r="H852" s="16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4"/>
    </row>
    <row r="853">
      <c r="A853" s="5"/>
      <c r="B853" s="5"/>
      <c r="C853" s="168"/>
      <c r="D853" s="168"/>
      <c r="E853" s="5"/>
      <c r="F853" s="5"/>
      <c r="G853" s="5"/>
      <c r="H853" s="16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4"/>
    </row>
    <row r="854">
      <c r="A854" s="5"/>
      <c r="B854" s="5"/>
      <c r="C854" s="168"/>
      <c r="D854" s="168"/>
      <c r="E854" s="5"/>
      <c r="F854" s="5"/>
      <c r="G854" s="5"/>
      <c r="H854" s="16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4"/>
    </row>
    <row r="855">
      <c r="A855" s="5"/>
      <c r="B855" s="5"/>
      <c r="C855" s="168"/>
      <c r="D855" s="168"/>
      <c r="E855" s="5"/>
      <c r="F855" s="5"/>
      <c r="G855" s="5"/>
      <c r="H855" s="16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4"/>
    </row>
    <row r="856">
      <c r="A856" s="5"/>
      <c r="B856" s="5"/>
      <c r="C856" s="168"/>
      <c r="D856" s="168"/>
      <c r="E856" s="5"/>
      <c r="F856" s="5"/>
      <c r="G856" s="5"/>
      <c r="H856" s="16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4"/>
    </row>
    <row r="857">
      <c r="A857" s="5"/>
      <c r="B857" s="5"/>
      <c r="C857" s="168"/>
      <c r="D857" s="168"/>
      <c r="E857" s="5"/>
      <c r="F857" s="5"/>
      <c r="G857" s="5"/>
      <c r="H857" s="16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4"/>
    </row>
    <row r="858">
      <c r="A858" s="5"/>
      <c r="B858" s="5"/>
      <c r="C858" s="168"/>
      <c r="D858" s="168"/>
      <c r="E858" s="5"/>
      <c r="F858" s="5"/>
      <c r="G858" s="5"/>
      <c r="H858" s="16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4"/>
    </row>
    <row r="859">
      <c r="A859" s="5"/>
      <c r="B859" s="5"/>
      <c r="C859" s="168"/>
      <c r="D859" s="168"/>
      <c r="E859" s="5"/>
      <c r="F859" s="5"/>
      <c r="G859" s="5"/>
      <c r="H859" s="16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4"/>
    </row>
    <row r="860">
      <c r="A860" s="5"/>
      <c r="B860" s="5"/>
      <c r="C860" s="168"/>
      <c r="D860" s="168"/>
      <c r="E860" s="5"/>
      <c r="F860" s="5"/>
      <c r="G860" s="5"/>
      <c r="H860" s="16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4"/>
    </row>
    <row r="861">
      <c r="A861" s="5"/>
      <c r="B861" s="5"/>
      <c r="C861" s="168"/>
      <c r="D861" s="168"/>
      <c r="E861" s="5"/>
      <c r="F861" s="5"/>
      <c r="G861" s="5"/>
      <c r="H861" s="16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4"/>
    </row>
    <row r="862">
      <c r="A862" s="5"/>
      <c r="B862" s="5"/>
      <c r="C862" s="168"/>
      <c r="D862" s="168"/>
      <c r="E862" s="5"/>
      <c r="F862" s="5"/>
      <c r="G862" s="5"/>
      <c r="H862" s="16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4"/>
    </row>
    <row r="863">
      <c r="A863" s="5"/>
      <c r="B863" s="5"/>
      <c r="C863" s="168"/>
      <c r="D863" s="168"/>
      <c r="E863" s="5"/>
      <c r="F863" s="5"/>
      <c r="G863" s="5"/>
      <c r="H863" s="16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4"/>
    </row>
    <row r="864">
      <c r="A864" s="5"/>
      <c r="B864" s="5"/>
      <c r="C864" s="168"/>
      <c r="D864" s="168"/>
      <c r="E864" s="5"/>
      <c r="F864" s="5"/>
      <c r="G864" s="5"/>
      <c r="H864" s="16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4"/>
    </row>
    <row r="865">
      <c r="A865" s="5"/>
      <c r="B865" s="5"/>
      <c r="C865" s="168"/>
      <c r="D865" s="168"/>
      <c r="E865" s="5"/>
      <c r="F865" s="5"/>
      <c r="G865" s="5"/>
      <c r="H865" s="16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4"/>
    </row>
    <row r="866">
      <c r="A866" s="5"/>
      <c r="B866" s="5"/>
      <c r="C866" s="168"/>
      <c r="D866" s="168"/>
      <c r="E866" s="5"/>
      <c r="F866" s="5"/>
      <c r="G866" s="5"/>
      <c r="H866" s="16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4"/>
    </row>
    <row r="867">
      <c r="A867" s="5"/>
      <c r="B867" s="5"/>
      <c r="C867" s="168"/>
      <c r="D867" s="168"/>
      <c r="E867" s="5"/>
      <c r="F867" s="5"/>
      <c r="G867" s="5"/>
      <c r="H867" s="16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4"/>
    </row>
    <row r="868">
      <c r="A868" s="5"/>
      <c r="B868" s="5"/>
      <c r="C868" s="168"/>
      <c r="D868" s="168"/>
      <c r="E868" s="5"/>
      <c r="F868" s="5"/>
      <c r="G868" s="5"/>
      <c r="H868" s="16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4"/>
    </row>
    <row r="869">
      <c r="A869" s="5"/>
      <c r="B869" s="5"/>
      <c r="C869" s="168"/>
      <c r="D869" s="168"/>
      <c r="E869" s="5"/>
      <c r="F869" s="5"/>
      <c r="G869" s="5"/>
      <c r="H869" s="16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4"/>
    </row>
    <row r="870">
      <c r="A870" s="5"/>
      <c r="B870" s="5"/>
      <c r="C870" s="168"/>
      <c r="D870" s="168"/>
      <c r="E870" s="5"/>
      <c r="F870" s="5"/>
      <c r="G870" s="5"/>
      <c r="H870" s="16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4"/>
    </row>
    <row r="871">
      <c r="A871" s="5"/>
      <c r="B871" s="5"/>
      <c r="C871" s="168"/>
      <c r="D871" s="168"/>
      <c r="E871" s="5"/>
      <c r="F871" s="5"/>
      <c r="G871" s="5"/>
      <c r="H871" s="16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4"/>
    </row>
    <row r="872">
      <c r="A872" s="5"/>
      <c r="B872" s="5"/>
      <c r="C872" s="168"/>
      <c r="D872" s="168"/>
      <c r="E872" s="5"/>
      <c r="F872" s="5"/>
      <c r="G872" s="5"/>
      <c r="H872" s="16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4"/>
    </row>
    <row r="873">
      <c r="A873" s="5"/>
      <c r="B873" s="5"/>
      <c r="C873" s="168"/>
      <c r="D873" s="168"/>
      <c r="E873" s="5"/>
      <c r="F873" s="5"/>
      <c r="G873" s="5"/>
      <c r="H873" s="16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4"/>
    </row>
    <row r="874">
      <c r="A874" s="5"/>
      <c r="B874" s="5"/>
      <c r="C874" s="168"/>
      <c r="D874" s="168"/>
      <c r="E874" s="5"/>
      <c r="F874" s="5"/>
      <c r="G874" s="5"/>
      <c r="H874" s="16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4"/>
    </row>
    <row r="875">
      <c r="A875" s="5"/>
      <c r="B875" s="5"/>
      <c r="C875" s="168"/>
      <c r="D875" s="168"/>
      <c r="E875" s="5"/>
      <c r="F875" s="5"/>
      <c r="G875" s="5"/>
      <c r="H875" s="16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4"/>
    </row>
    <row r="876">
      <c r="A876" s="5"/>
      <c r="B876" s="5"/>
      <c r="C876" s="168"/>
      <c r="D876" s="168"/>
      <c r="E876" s="5"/>
      <c r="F876" s="5"/>
      <c r="G876" s="5"/>
      <c r="H876" s="16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4"/>
    </row>
    <row r="877">
      <c r="A877" s="5"/>
      <c r="B877" s="5"/>
      <c r="C877" s="168"/>
      <c r="D877" s="168"/>
      <c r="E877" s="5"/>
      <c r="F877" s="5"/>
      <c r="G877" s="5"/>
      <c r="H877" s="16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4"/>
    </row>
    <row r="878">
      <c r="A878" s="5"/>
      <c r="B878" s="5"/>
      <c r="C878" s="168"/>
      <c r="D878" s="168"/>
      <c r="E878" s="5"/>
      <c r="F878" s="5"/>
      <c r="G878" s="5"/>
      <c r="H878" s="16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4"/>
    </row>
    <row r="879">
      <c r="A879" s="5"/>
      <c r="B879" s="5"/>
      <c r="C879" s="168"/>
      <c r="D879" s="168"/>
      <c r="E879" s="5"/>
      <c r="F879" s="5"/>
      <c r="G879" s="5"/>
      <c r="H879" s="16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4"/>
    </row>
    <row r="880">
      <c r="A880" s="5"/>
      <c r="B880" s="5"/>
      <c r="C880" s="168"/>
      <c r="D880" s="168"/>
      <c r="E880" s="5"/>
      <c r="F880" s="5"/>
      <c r="G880" s="5"/>
      <c r="H880" s="16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4"/>
    </row>
    <row r="881">
      <c r="A881" s="5"/>
      <c r="B881" s="5"/>
      <c r="C881" s="168"/>
      <c r="D881" s="168"/>
      <c r="E881" s="5"/>
      <c r="F881" s="5"/>
      <c r="G881" s="5"/>
      <c r="H881" s="16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4"/>
    </row>
    <row r="882">
      <c r="A882" s="5"/>
      <c r="B882" s="5"/>
      <c r="C882" s="168"/>
      <c r="D882" s="168"/>
      <c r="E882" s="5"/>
      <c r="F882" s="5"/>
      <c r="G882" s="5"/>
      <c r="H882" s="16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4"/>
    </row>
    <row r="883">
      <c r="A883" s="5"/>
      <c r="B883" s="5"/>
      <c r="C883" s="168"/>
      <c r="D883" s="168"/>
      <c r="E883" s="5"/>
      <c r="F883" s="5"/>
      <c r="G883" s="5"/>
      <c r="H883" s="16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4"/>
    </row>
    <row r="884">
      <c r="A884" s="5"/>
      <c r="B884" s="5"/>
      <c r="C884" s="168"/>
      <c r="D884" s="168"/>
      <c r="E884" s="5"/>
      <c r="F884" s="5"/>
      <c r="G884" s="5"/>
      <c r="H884" s="16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4"/>
    </row>
    <row r="885">
      <c r="A885" s="5"/>
      <c r="B885" s="5"/>
      <c r="C885" s="168"/>
      <c r="D885" s="168"/>
      <c r="E885" s="5"/>
      <c r="F885" s="5"/>
      <c r="G885" s="5"/>
      <c r="H885" s="16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4"/>
    </row>
    <row r="886">
      <c r="A886" s="5"/>
      <c r="B886" s="5"/>
      <c r="C886" s="168"/>
      <c r="D886" s="168"/>
      <c r="E886" s="5"/>
      <c r="F886" s="5"/>
      <c r="G886" s="5"/>
      <c r="H886" s="16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4"/>
    </row>
    <row r="887">
      <c r="A887" s="5"/>
      <c r="B887" s="5"/>
      <c r="C887" s="168"/>
      <c r="D887" s="168"/>
      <c r="E887" s="5"/>
      <c r="F887" s="5"/>
      <c r="G887" s="5"/>
      <c r="H887" s="16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4"/>
    </row>
    <row r="888">
      <c r="A888" s="5"/>
      <c r="B888" s="5"/>
      <c r="C888" s="168"/>
      <c r="D888" s="168"/>
      <c r="E888" s="5"/>
      <c r="F888" s="5"/>
      <c r="G888" s="5"/>
      <c r="H888" s="16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4"/>
    </row>
    <row r="889">
      <c r="A889" s="5"/>
      <c r="B889" s="5"/>
      <c r="C889" s="168"/>
      <c r="D889" s="168"/>
      <c r="E889" s="5"/>
      <c r="F889" s="5"/>
      <c r="G889" s="5"/>
      <c r="H889" s="16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4"/>
    </row>
    <row r="890">
      <c r="A890" s="5"/>
      <c r="B890" s="5"/>
      <c r="C890" s="168"/>
      <c r="D890" s="168"/>
      <c r="E890" s="5"/>
      <c r="F890" s="5"/>
      <c r="G890" s="5"/>
      <c r="H890" s="16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4"/>
    </row>
    <row r="891">
      <c r="A891" s="5"/>
      <c r="B891" s="5"/>
      <c r="C891" s="168"/>
      <c r="D891" s="168"/>
      <c r="E891" s="5"/>
      <c r="F891" s="5"/>
      <c r="G891" s="5"/>
      <c r="H891" s="16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4"/>
    </row>
    <row r="892">
      <c r="A892" s="5"/>
      <c r="B892" s="5"/>
      <c r="C892" s="168"/>
      <c r="D892" s="168"/>
      <c r="E892" s="5"/>
      <c r="F892" s="5"/>
      <c r="G892" s="5"/>
      <c r="H892" s="16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4"/>
    </row>
    <row r="893">
      <c r="A893" s="5"/>
      <c r="B893" s="5"/>
      <c r="C893" s="168"/>
      <c r="D893" s="168"/>
      <c r="E893" s="5"/>
      <c r="F893" s="5"/>
      <c r="G893" s="5"/>
      <c r="H893" s="16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4"/>
    </row>
    <row r="894">
      <c r="A894" s="5"/>
      <c r="B894" s="5"/>
      <c r="C894" s="168"/>
      <c r="D894" s="168"/>
      <c r="E894" s="5"/>
      <c r="F894" s="5"/>
      <c r="G894" s="5"/>
      <c r="H894" s="16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4"/>
    </row>
    <row r="895">
      <c r="A895" s="5"/>
      <c r="B895" s="5"/>
      <c r="C895" s="168"/>
      <c r="D895" s="168"/>
      <c r="E895" s="5"/>
      <c r="F895" s="5"/>
      <c r="G895" s="5"/>
      <c r="H895" s="16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4"/>
    </row>
    <row r="896">
      <c r="A896" s="5"/>
      <c r="B896" s="5"/>
      <c r="C896" s="168"/>
      <c r="D896" s="168"/>
      <c r="E896" s="5"/>
      <c r="F896" s="5"/>
      <c r="G896" s="5"/>
      <c r="H896" s="16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4"/>
    </row>
    <row r="897">
      <c r="A897" s="5"/>
      <c r="B897" s="5"/>
      <c r="C897" s="168"/>
      <c r="D897" s="168"/>
      <c r="E897" s="5"/>
      <c r="F897" s="5"/>
      <c r="G897" s="5"/>
      <c r="H897" s="16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4"/>
    </row>
    <row r="898">
      <c r="A898" s="5"/>
      <c r="B898" s="5"/>
      <c r="C898" s="168"/>
      <c r="D898" s="168"/>
      <c r="E898" s="5"/>
      <c r="F898" s="5"/>
      <c r="G898" s="5"/>
      <c r="H898" s="16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4"/>
    </row>
    <row r="899">
      <c r="A899" s="5"/>
      <c r="B899" s="5"/>
      <c r="C899" s="168"/>
      <c r="D899" s="168"/>
      <c r="E899" s="5"/>
      <c r="F899" s="5"/>
      <c r="G899" s="5"/>
      <c r="H899" s="16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4"/>
    </row>
    <row r="900">
      <c r="A900" s="5"/>
      <c r="B900" s="5"/>
      <c r="C900" s="168"/>
      <c r="D900" s="168"/>
      <c r="E900" s="5"/>
      <c r="F900" s="5"/>
      <c r="G900" s="5"/>
      <c r="H900" s="16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4"/>
    </row>
    <row r="901">
      <c r="A901" s="5"/>
      <c r="B901" s="5"/>
      <c r="C901" s="168"/>
      <c r="D901" s="168"/>
      <c r="E901" s="5"/>
      <c r="F901" s="5"/>
      <c r="G901" s="5"/>
      <c r="H901" s="16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4"/>
    </row>
    <row r="902">
      <c r="A902" s="5"/>
      <c r="B902" s="5"/>
      <c r="C902" s="168"/>
      <c r="D902" s="168"/>
      <c r="E902" s="5"/>
      <c r="F902" s="5"/>
      <c r="G902" s="5"/>
      <c r="H902" s="16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4"/>
    </row>
    <row r="903">
      <c r="A903" s="5"/>
      <c r="B903" s="5"/>
      <c r="C903" s="168"/>
      <c r="D903" s="168"/>
      <c r="E903" s="5"/>
      <c r="F903" s="5"/>
      <c r="G903" s="5"/>
      <c r="H903" s="16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4"/>
    </row>
    <row r="904">
      <c r="A904" s="5"/>
      <c r="B904" s="5"/>
      <c r="C904" s="168"/>
      <c r="D904" s="168"/>
      <c r="E904" s="5"/>
      <c r="F904" s="5"/>
      <c r="G904" s="5"/>
      <c r="H904" s="16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4"/>
    </row>
    <row r="905">
      <c r="A905" s="5"/>
      <c r="B905" s="5"/>
      <c r="C905" s="168"/>
      <c r="D905" s="168"/>
      <c r="E905" s="5"/>
      <c r="F905" s="5"/>
      <c r="G905" s="5"/>
      <c r="H905" s="16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4"/>
    </row>
    <row r="906">
      <c r="A906" s="5"/>
      <c r="B906" s="5"/>
      <c r="C906" s="168"/>
      <c r="D906" s="168"/>
      <c r="E906" s="5"/>
      <c r="F906" s="5"/>
      <c r="G906" s="5"/>
      <c r="H906" s="16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4"/>
    </row>
    <row r="907">
      <c r="A907" s="5"/>
      <c r="B907" s="5"/>
      <c r="C907" s="168"/>
      <c r="D907" s="168"/>
      <c r="E907" s="5"/>
      <c r="F907" s="5"/>
      <c r="G907" s="5"/>
      <c r="H907" s="16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4"/>
    </row>
    <row r="908">
      <c r="A908" s="5"/>
      <c r="B908" s="5"/>
      <c r="C908" s="168"/>
      <c r="D908" s="168"/>
      <c r="E908" s="5"/>
      <c r="F908" s="5"/>
      <c r="G908" s="5"/>
      <c r="H908" s="16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4"/>
    </row>
    <row r="909">
      <c r="A909" s="5"/>
      <c r="B909" s="5"/>
      <c r="C909" s="168"/>
      <c r="D909" s="168"/>
      <c r="E909" s="5"/>
      <c r="F909" s="5"/>
      <c r="G909" s="5"/>
      <c r="H909" s="16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4"/>
    </row>
    <row r="910">
      <c r="A910" s="5"/>
      <c r="B910" s="5"/>
      <c r="C910" s="168"/>
      <c r="D910" s="168"/>
      <c r="E910" s="5"/>
      <c r="F910" s="5"/>
      <c r="G910" s="5"/>
      <c r="H910" s="16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4"/>
    </row>
    <row r="911">
      <c r="A911" s="5"/>
      <c r="B911" s="5"/>
      <c r="C911" s="168"/>
      <c r="D911" s="168"/>
      <c r="E911" s="5"/>
      <c r="F911" s="5"/>
      <c r="G911" s="5"/>
      <c r="H911" s="16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4"/>
    </row>
    <row r="912">
      <c r="A912" s="5"/>
      <c r="B912" s="5"/>
      <c r="C912" s="168"/>
      <c r="D912" s="168"/>
      <c r="E912" s="5"/>
      <c r="F912" s="5"/>
      <c r="G912" s="5"/>
      <c r="H912" s="16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4"/>
    </row>
    <row r="913">
      <c r="A913" s="5"/>
      <c r="B913" s="5"/>
      <c r="C913" s="168"/>
      <c r="D913" s="168"/>
      <c r="E913" s="5"/>
      <c r="F913" s="5"/>
      <c r="G913" s="5"/>
      <c r="H913" s="16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4"/>
    </row>
    <row r="914">
      <c r="A914" s="5"/>
      <c r="B914" s="5"/>
      <c r="C914" s="168"/>
      <c r="D914" s="168"/>
      <c r="E914" s="5"/>
      <c r="F914" s="5"/>
      <c r="G914" s="5"/>
      <c r="H914" s="16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4"/>
    </row>
    <row r="915">
      <c r="A915" s="5"/>
      <c r="B915" s="5"/>
      <c r="C915" s="168"/>
      <c r="D915" s="168"/>
      <c r="E915" s="5"/>
      <c r="F915" s="5"/>
      <c r="G915" s="5"/>
      <c r="H915" s="16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4"/>
    </row>
    <row r="916">
      <c r="A916" s="5"/>
      <c r="B916" s="5"/>
      <c r="C916" s="168"/>
      <c r="D916" s="168"/>
      <c r="E916" s="5"/>
      <c r="F916" s="5"/>
      <c r="G916" s="5"/>
      <c r="H916" s="16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4"/>
    </row>
    <row r="917">
      <c r="A917" s="5"/>
      <c r="B917" s="5"/>
      <c r="C917" s="168"/>
      <c r="D917" s="168"/>
      <c r="E917" s="5"/>
      <c r="F917" s="5"/>
      <c r="G917" s="5"/>
      <c r="H917" s="16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4"/>
    </row>
    <row r="918">
      <c r="A918" s="5"/>
      <c r="B918" s="5"/>
      <c r="C918" s="168"/>
      <c r="D918" s="168"/>
      <c r="E918" s="5"/>
      <c r="F918" s="5"/>
      <c r="G918" s="5"/>
      <c r="H918" s="16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4"/>
    </row>
    <row r="919">
      <c r="A919" s="5"/>
      <c r="B919" s="5"/>
      <c r="C919" s="168"/>
      <c r="D919" s="168"/>
      <c r="E919" s="5"/>
      <c r="F919" s="5"/>
      <c r="G919" s="5"/>
      <c r="H919" s="16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4"/>
    </row>
    <row r="920">
      <c r="A920" s="5"/>
      <c r="B920" s="5"/>
      <c r="C920" s="168"/>
      <c r="D920" s="168"/>
      <c r="E920" s="5"/>
      <c r="F920" s="5"/>
      <c r="G920" s="5"/>
      <c r="H920" s="16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4"/>
    </row>
    <row r="921">
      <c r="A921" s="5"/>
      <c r="B921" s="5"/>
      <c r="C921" s="168"/>
      <c r="D921" s="168"/>
      <c r="E921" s="5"/>
      <c r="F921" s="5"/>
      <c r="G921" s="5"/>
      <c r="H921" s="16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4"/>
    </row>
    <row r="922">
      <c r="A922" s="5"/>
      <c r="B922" s="5"/>
      <c r="C922" s="168"/>
      <c r="D922" s="168"/>
      <c r="E922" s="5"/>
      <c r="F922" s="5"/>
      <c r="G922" s="5"/>
      <c r="H922" s="16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4"/>
    </row>
    <row r="923">
      <c r="A923" s="5"/>
      <c r="B923" s="5"/>
      <c r="C923" s="168"/>
      <c r="D923" s="168"/>
      <c r="E923" s="5"/>
      <c r="F923" s="5"/>
      <c r="G923" s="5"/>
      <c r="H923" s="16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4"/>
    </row>
    <row r="924">
      <c r="A924" s="5"/>
      <c r="B924" s="5"/>
      <c r="C924" s="168"/>
      <c r="D924" s="168"/>
      <c r="E924" s="5"/>
      <c r="F924" s="5"/>
      <c r="G924" s="5"/>
      <c r="H924" s="16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4"/>
    </row>
    <row r="925">
      <c r="A925" s="5"/>
      <c r="B925" s="5"/>
      <c r="C925" s="168"/>
      <c r="D925" s="168"/>
      <c r="E925" s="5"/>
      <c r="F925" s="5"/>
      <c r="G925" s="5"/>
      <c r="H925" s="16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4"/>
    </row>
    <row r="926">
      <c r="A926" s="5"/>
      <c r="B926" s="5"/>
      <c r="C926" s="168"/>
      <c r="D926" s="168"/>
      <c r="E926" s="5"/>
      <c r="F926" s="5"/>
      <c r="G926" s="5"/>
      <c r="H926" s="16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4"/>
    </row>
    <row r="927">
      <c r="A927" s="5"/>
      <c r="B927" s="5"/>
      <c r="C927" s="168"/>
      <c r="D927" s="168"/>
      <c r="E927" s="5"/>
      <c r="F927" s="5"/>
      <c r="G927" s="5"/>
      <c r="H927" s="16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4"/>
    </row>
    <row r="928">
      <c r="A928" s="5"/>
      <c r="B928" s="5"/>
      <c r="C928" s="168"/>
      <c r="D928" s="168"/>
      <c r="E928" s="5"/>
      <c r="F928" s="5"/>
      <c r="G928" s="5"/>
      <c r="H928" s="16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4"/>
    </row>
    <row r="929">
      <c r="A929" s="5"/>
      <c r="B929" s="5"/>
      <c r="C929" s="168"/>
      <c r="D929" s="168"/>
      <c r="E929" s="5"/>
      <c r="F929" s="5"/>
      <c r="G929" s="5"/>
      <c r="H929" s="16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4"/>
    </row>
    <row r="930">
      <c r="A930" s="5"/>
      <c r="B930" s="5"/>
      <c r="C930" s="168"/>
      <c r="D930" s="168"/>
      <c r="E930" s="5"/>
      <c r="F930" s="5"/>
      <c r="G930" s="5"/>
      <c r="H930" s="16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4"/>
    </row>
    <row r="931">
      <c r="A931" s="5"/>
      <c r="B931" s="5"/>
      <c r="C931" s="168"/>
      <c r="D931" s="168"/>
      <c r="E931" s="5"/>
      <c r="F931" s="5"/>
      <c r="G931" s="5"/>
      <c r="H931" s="16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4"/>
    </row>
    <row r="932">
      <c r="A932" s="5"/>
      <c r="B932" s="5"/>
      <c r="C932" s="168"/>
      <c r="D932" s="168"/>
      <c r="E932" s="5"/>
      <c r="F932" s="5"/>
      <c r="G932" s="5"/>
      <c r="H932" s="16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4"/>
    </row>
    <row r="933">
      <c r="A933" s="5"/>
      <c r="B933" s="5"/>
      <c r="C933" s="168"/>
      <c r="D933" s="168"/>
      <c r="E933" s="5"/>
      <c r="F933" s="5"/>
      <c r="G933" s="5"/>
      <c r="H933" s="16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4"/>
    </row>
    <row r="934">
      <c r="A934" s="5"/>
      <c r="B934" s="5"/>
      <c r="C934" s="168"/>
      <c r="D934" s="168"/>
      <c r="E934" s="5"/>
      <c r="F934" s="5"/>
      <c r="G934" s="5"/>
      <c r="H934" s="16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4"/>
    </row>
    <row r="935">
      <c r="A935" s="5"/>
      <c r="B935" s="5"/>
      <c r="C935" s="168"/>
      <c r="D935" s="168"/>
      <c r="E935" s="5"/>
      <c r="F935" s="5"/>
      <c r="G935" s="5"/>
      <c r="H935" s="16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4"/>
    </row>
    <row r="936">
      <c r="A936" s="5"/>
      <c r="B936" s="5"/>
      <c r="C936" s="168"/>
      <c r="D936" s="168"/>
      <c r="E936" s="5"/>
      <c r="F936" s="5"/>
      <c r="G936" s="5"/>
      <c r="H936" s="16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4"/>
    </row>
    <row r="937">
      <c r="A937" s="5"/>
      <c r="B937" s="5"/>
      <c r="C937" s="168"/>
      <c r="D937" s="168"/>
      <c r="E937" s="5"/>
      <c r="F937" s="5"/>
      <c r="G937" s="5"/>
      <c r="H937" s="16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4"/>
    </row>
    <row r="938">
      <c r="A938" s="5"/>
      <c r="B938" s="5"/>
      <c r="C938" s="168"/>
      <c r="D938" s="168"/>
      <c r="E938" s="5"/>
      <c r="F938" s="5"/>
      <c r="G938" s="5"/>
      <c r="H938" s="16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4"/>
    </row>
    <row r="939">
      <c r="A939" s="5"/>
      <c r="B939" s="5"/>
      <c r="C939" s="168"/>
      <c r="D939" s="168"/>
      <c r="E939" s="5"/>
      <c r="F939" s="5"/>
      <c r="G939" s="5"/>
      <c r="H939" s="16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4"/>
    </row>
    <row r="940">
      <c r="A940" s="5"/>
      <c r="B940" s="5"/>
      <c r="C940" s="168"/>
      <c r="D940" s="168"/>
      <c r="E940" s="5"/>
      <c r="F940" s="5"/>
      <c r="G940" s="5"/>
      <c r="H940" s="16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4"/>
    </row>
    <row r="941">
      <c r="A941" s="5"/>
      <c r="B941" s="5"/>
      <c r="C941" s="168"/>
      <c r="D941" s="168"/>
      <c r="E941" s="5"/>
      <c r="F941" s="5"/>
      <c r="G941" s="5"/>
      <c r="H941" s="16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4"/>
    </row>
    <row r="942">
      <c r="A942" s="5"/>
      <c r="B942" s="5"/>
      <c r="C942" s="168"/>
      <c r="D942" s="168"/>
      <c r="E942" s="5"/>
      <c r="F942" s="5"/>
      <c r="G942" s="5"/>
      <c r="H942" s="16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4"/>
    </row>
    <row r="943">
      <c r="A943" s="5"/>
      <c r="B943" s="5"/>
      <c r="C943" s="168"/>
      <c r="D943" s="168"/>
      <c r="E943" s="5"/>
      <c r="F943" s="5"/>
      <c r="G943" s="5"/>
      <c r="H943" s="16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4"/>
    </row>
    <row r="944">
      <c r="A944" s="5"/>
      <c r="B944" s="5"/>
      <c r="C944" s="168"/>
      <c r="D944" s="168"/>
      <c r="E944" s="5"/>
      <c r="F944" s="5"/>
      <c r="G944" s="5"/>
      <c r="H944" s="16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4"/>
    </row>
    <row r="945">
      <c r="A945" s="5"/>
      <c r="B945" s="5"/>
      <c r="C945" s="168"/>
      <c r="D945" s="168"/>
      <c r="E945" s="5"/>
      <c r="F945" s="5"/>
      <c r="G945" s="5"/>
      <c r="H945" s="16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4"/>
    </row>
    <row r="946">
      <c r="A946" s="5"/>
      <c r="B946" s="5"/>
      <c r="C946" s="168"/>
      <c r="D946" s="168"/>
      <c r="E946" s="5"/>
      <c r="F946" s="5"/>
      <c r="G946" s="5"/>
      <c r="H946" s="16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4"/>
    </row>
    <row r="947">
      <c r="A947" s="5"/>
      <c r="B947" s="5"/>
      <c r="C947" s="168"/>
      <c r="D947" s="168"/>
      <c r="E947" s="5"/>
      <c r="F947" s="5"/>
      <c r="G947" s="5"/>
      <c r="H947" s="16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4"/>
    </row>
    <row r="948">
      <c r="A948" s="5"/>
      <c r="B948" s="5"/>
      <c r="C948" s="168"/>
      <c r="D948" s="168"/>
      <c r="E948" s="5"/>
      <c r="F948" s="5"/>
      <c r="G948" s="5"/>
      <c r="H948" s="16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4"/>
    </row>
    <row r="949">
      <c r="A949" s="5"/>
      <c r="B949" s="5"/>
      <c r="C949" s="168"/>
      <c r="D949" s="168"/>
      <c r="E949" s="5"/>
      <c r="F949" s="5"/>
      <c r="G949" s="5"/>
      <c r="H949" s="16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4"/>
    </row>
    <row r="950">
      <c r="A950" s="5"/>
      <c r="B950" s="5"/>
      <c r="C950" s="168"/>
      <c r="D950" s="168"/>
      <c r="E950" s="5"/>
      <c r="F950" s="5"/>
      <c r="G950" s="5"/>
      <c r="H950" s="16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4"/>
    </row>
    <row r="951">
      <c r="A951" s="5"/>
      <c r="B951" s="5"/>
      <c r="C951" s="168"/>
      <c r="D951" s="168"/>
      <c r="E951" s="5"/>
      <c r="F951" s="5"/>
      <c r="G951" s="5"/>
      <c r="H951" s="16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4"/>
    </row>
    <row r="952">
      <c r="A952" s="5"/>
      <c r="B952" s="5"/>
      <c r="C952" s="168"/>
      <c r="D952" s="168"/>
      <c r="E952" s="5"/>
      <c r="F952" s="5"/>
      <c r="G952" s="5"/>
      <c r="H952" s="16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4"/>
    </row>
    <row r="953">
      <c r="A953" s="5"/>
      <c r="B953" s="5"/>
      <c r="C953" s="168"/>
      <c r="D953" s="168"/>
      <c r="E953" s="5"/>
      <c r="F953" s="5"/>
      <c r="G953" s="5"/>
      <c r="H953" s="16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4"/>
    </row>
    <row r="954">
      <c r="A954" s="5"/>
      <c r="B954" s="5"/>
      <c r="C954" s="168"/>
      <c r="D954" s="168"/>
      <c r="E954" s="5"/>
      <c r="F954" s="5"/>
      <c r="G954" s="5"/>
      <c r="H954" s="16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4"/>
    </row>
    <row r="955">
      <c r="A955" s="5"/>
      <c r="B955" s="5"/>
      <c r="C955" s="168"/>
      <c r="D955" s="168"/>
      <c r="E955" s="5"/>
      <c r="F955" s="5"/>
      <c r="G955" s="5"/>
      <c r="H955" s="16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4"/>
    </row>
    <row r="956">
      <c r="A956" s="5"/>
      <c r="B956" s="5"/>
      <c r="C956" s="168"/>
      <c r="D956" s="168"/>
      <c r="E956" s="5"/>
      <c r="F956" s="5"/>
      <c r="G956" s="5"/>
      <c r="H956" s="16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4"/>
    </row>
    <row r="957">
      <c r="A957" s="5"/>
      <c r="B957" s="5"/>
      <c r="C957" s="168"/>
      <c r="D957" s="168"/>
      <c r="E957" s="5"/>
      <c r="F957" s="5"/>
      <c r="G957" s="5"/>
      <c r="H957" s="16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4"/>
    </row>
    <row r="958">
      <c r="A958" s="5"/>
      <c r="B958" s="5"/>
      <c r="C958" s="168"/>
      <c r="D958" s="168"/>
      <c r="E958" s="5"/>
      <c r="F958" s="5"/>
      <c r="G958" s="5"/>
      <c r="H958" s="16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4"/>
    </row>
    <row r="959">
      <c r="A959" s="5"/>
      <c r="B959" s="5"/>
      <c r="C959" s="168"/>
      <c r="D959" s="168"/>
      <c r="E959" s="5"/>
      <c r="F959" s="5"/>
      <c r="G959" s="5"/>
      <c r="H959" s="16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4"/>
    </row>
    <row r="960">
      <c r="A960" s="5"/>
      <c r="B960" s="5"/>
      <c r="C960" s="168"/>
      <c r="D960" s="168"/>
      <c r="E960" s="5"/>
      <c r="F960" s="5"/>
      <c r="G960" s="5"/>
      <c r="H960" s="16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4"/>
    </row>
    <row r="961">
      <c r="A961" s="5"/>
      <c r="B961" s="5"/>
      <c r="C961" s="168"/>
      <c r="D961" s="168"/>
      <c r="E961" s="5"/>
      <c r="F961" s="5"/>
      <c r="G961" s="5"/>
      <c r="H961" s="16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4"/>
    </row>
    <row r="962">
      <c r="A962" s="5"/>
      <c r="B962" s="5"/>
      <c r="C962" s="168"/>
      <c r="D962" s="168"/>
      <c r="E962" s="5"/>
      <c r="F962" s="5"/>
      <c r="G962" s="5"/>
      <c r="H962" s="16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4"/>
    </row>
    <row r="963">
      <c r="A963" s="5"/>
      <c r="B963" s="5"/>
      <c r="C963" s="168"/>
      <c r="D963" s="168"/>
      <c r="E963" s="5"/>
      <c r="F963" s="5"/>
      <c r="G963" s="5"/>
      <c r="H963" s="16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4"/>
    </row>
    <row r="964">
      <c r="A964" s="5"/>
      <c r="B964" s="5"/>
      <c r="C964" s="168"/>
      <c r="D964" s="168"/>
      <c r="E964" s="5"/>
      <c r="F964" s="5"/>
      <c r="G964" s="5"/>
      <c r="H964" s="16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4"/>
    </row>
    <row r="965">
      <c r="A965" s="5"/>
      <c r="B965" s="5"/>
      <c r="C965" s="168"/>
      <c r="D965" s="168"/>
      <c r="E965" s="5"/>
      <c r="F965" s="5"/>
      <c r="G965" s="5"/>
      <c r="H965" s="16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4"/>
    </row>
    <row r="966">
      <c r="A966" s="5"/>
      <c r="B966" s="5"/>
      <c r="C966" s="168"/>
      <c r="D966" s="168"/>
      <c r="E966" s="5"/>
      <c r="F966" s="5"/>
      <c r="G966" s="5"/>
      <c r="H966" s="16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4"/>
    </row>
    <row r="967">
      <c r="A967" s="5"/>
      <c r="B967" s="5"/>
      <c r="C967" s="168"/>
      <c r="D967" s="168"/>
      <c r="E967" s="5"/>
      <c r="F967" s="5"/>
      <c r="G967" s="5"/>
      <c r="H967" s="16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4"/>
    </row>
    <row r="968">
      <c r="A968" s="5"/>
      <c r="B968" s="5"/>
      <c r="C968" s="168"/>
      <c r="D968" s="168"/>
      <c r="E968" s="5"/>
      <c r="F968" s="5"/>
      <c r="G968" s="5"/>
      <c r="H968" s="16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4"/>
    </row>
    <row r="969">
      <c r="A969" s="5"/>
      <c r="B969" s="5"/>
      <c r="C969" s="168"/>
      <c r="D969" s="168"/>
      <c r="E969" s="5"/>
      <c r="F969" s="5"/>
      <c r="G969" s="5"/>
      <c r="H969" s="16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4"/>
    </row>
    <row r="970">
      <c r="A970" s="5"/>
      <c r="B970" s="5"/>
      <c r="C970" s="168"/>
      <c r="D970" s="168"/>
      <c r="E970" s="5"/>
      <c r="F970" s="5"/>
      <c r="G970" s="5"/>
      <c r="H970" s="16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4"/>
    </row>
    <row r="971">
      <c r="A971" s="5"/>
      <c r="B971" s="5"/>
      <c r="C971" s="168"/>
      <c r="D971" s="168"/>
      <c r="E971" s="5"/>
      <c r="F971" s="5"/>
      <c r="G971" s="5"/>
      <c r="H971" s="16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4"/>
    </row>
    <row r="972">
      <c r="A972" s="5"/>
      <c r="B972" s="5"/>
      <c r="C972" s="168"/>
      <c r="D972" s="168"/>
      <c r="E972" s="5"/>
      <c r="F972" s="5"/>
      <c r="G972" s="5"/>
      <c r="H972" s="16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4"/>
    </row>
    <row r="973">
      <c r="A973" s="5"/>
      <c r="B973" s="5"/>
      <c r="C973" s="168"/>
      <c r="D973" s="168"/>
      <c r="E973" s="5"/>
      <c r="F973" s="5"/>
      <c r="G973" s="5"/>
      <c r="H973" s="16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4"/>
    </row>
    <row r="974">
      <c r="A974" s="5"/>
      <c r="B974" s="5"/>
      <c r="C974" s="168"/>
      <c r="D974" s="168"/>
      <c r="E974" s="5"/>
      <c r="F974" s="5"/>
      <c r="G974" s="5"/>
      <c r="H974" s="16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4"/>
    </row>
    <row r="975">
      <c r="A975" s="5"/>
      <c r="B975" s="5"/>
      <c r="C975" s="168"/>
      <c r="D975" s="168"/>
      <c r="E975" s="5"/>
      <c r="F975" s="5"/>
      <c r="G975" s="5"/>
      <c r="H975" s="16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4"/>
    </row>
    <row r="976">
      <c r="A976" s="5"/>
      <c r="B976" s="5"/>
      <c r="C976" s="168"/>
      <c r="D976" s="168"/>
      <c r="E976" s="5"/>
      <c r="F976" s="5"/>
      <c r="G976" s="5"/>
      <c r="H976" s="16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4"/>
    </row>
    <row r="977">
      <c r="A977" s="5"/>
      <c r="B977" s="5"/>
      <c r="C977" s="168"/>
      <c r="D977" s="168"/>
      <c r="E977" s="5"/>
      <c r="F977" s="5"/>
      <c r="G977" s="5"/>
      <c r="H977" s="16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4"/>
    </row>
    <row r="978">
      <c r="A978" s="5"/>
      <c r="B978" s="5"/>
      <c r="C978" s="168"/>
      <c r="D978" s="168"/>
      <c r="E978" s="5"/>
      <c r="F978" s="5"/>
      <c r="G978" s="5"/>
      <c r="H978" s="16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4"/>
    </row>
    <row r="979">
      <c r="A979" s="5"/>
      <c r="B979" s="5"/>
      <c r="C979" s="168"/>
      <c r="D979" s="168"/>
      <c r="E979" s="5"/>
      <c r="F979" s="5"/>
      <c r="G979" s="5"/>
      <c r="H979" s="16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4"/>
    </row>
    <row r="980">
      <c r="A980" s="5"/>
      <c r="B980" s="5"/>
      <c r="C980" s="168"/>
      <c r="D980" s="168"/>
      <c r="E980" s="5"/>
      <c r="F980" s="5"/>
      <c r="G980" s="5"/>
      <c r="H980" s="16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4"/>
    </row>
    <row r="981">
      <c r="A981" s="4"/>
      <c r="B981" s="4"/>
      <c r="C981" s="52"/>
      <c r="D981" s="52"/>
      <c r="E981" s="4"/>
      <c r="F981" s="4"/>
      <c r="G981" s="4"/>
      <c r="H981" s="5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52"/>
      <c r="D982" s="52"/>
      <c r="E982" s="4"/>
      <c r="F982" s="4"/>
      <c r="G982" s="4"/>
      <c r="H982" s="5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52"/>
      <c r="D983" s="52"/>
      <c r="E983" s="4"/>
      <c r="F983" s="4"/>
      <c r="G983" s="4"/>
      <c r="H983" s="5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52"/>
      <c r="D984" s="52"/>
      <c r="E984" s="4"/>
      <c r="F984" s="4"/>
      <c r="G984" s="4"/>
      <c r="H984" s="5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52"/>
      <c r="D985" s="52"/>
      <c r="E985" s="4"/>
      <c r="F985" s="4"/>
      <c r="G985" s="4"/>
      <c r="H985" s="5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52"/>
      <c r="D986" s="52"/>
      <c r="E986" s="4"/>
      <c r="F986" s="4"/>
      <c r="G986" s="4"/>
      <c r="H986" s="5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52"/>
      <c r="D987" s="52"/>
      <c r="E987" s="4"/>
      <c r="F987" s="4"/>
      <c r="G987" s="4"/>
      <c r="H987" s="5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52"/>
      <c r="D988" s="52"/>
      <c r="E988" s="4"/>
      <c r="F988" s="4"/>
      <c r="G988" s="4"/>
      <c r="H988" s="5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52"/>
      <c r="D989" s="52"/>
      <c r="E989" s="4"/>
      <c r="F989" s="4"/>
      <c r="G989" s="4"/>
      <c r="H989" s="5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52"/>
      <c r="D990" s="52"/>
      <c r="E990" s="4"/>
      <c r="F990" s="4"/>
      <c r="G990" s="4"/>
      <c r="H990" s="5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52"/>
      <c r="D991" s="52"/>
      <c r="E991" s="4"/>
      <c r="F991" s="4"/>
      <c r="G991" s="4"/>
      <c r="H991" s="5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52"/>
      <c r="D992" s="52"/>
      <c r="E992" s="4"/>
      <c r="F992" s="4"/>
      <c r="G992" s="4"/>
      <c r="H992" s="5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52"/>
      <c r="D993" s="52"/>
      <c r="E993" s="4"/>
      <c r="F993" s="4"/>
      <c r="G993" s="4"/>
      <c r="H993" s="5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52"/>
      <c r="D994" s="52"/>
      <c r="E994" s="4"/>
      <c r="F994" s="4"/>
      <c r="G994" s="4"/>
      <c r="H994" s="5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52"/>
      <c r="D995" s="52"/>
      <c r="E995" s="4"/>
      <c r="F995" s="4"/>
      <c r="G995" s="4"/>
      <c r="H995" s="5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52"/>
      <c r="D996" s="52"/>
      <c r="E996" s="4"/>
      <c r="F996" s="4"/>
      <c r="G996" s="4"/>
      <c r="H996" s="5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52"/>
      <c r="D997" s="52"/>
      <c r="E997" s="4"/>
      <c r="F997" s="4"/>
      <c r="G997" s="4"/>
      <c r="H997" s="5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52"/>
      <c r="D998" s="52"/>
      <c r="E998" s="4"/>
      <c r="F998" s="4"/>
      <c r="G998" s="4"/>
      <c r="H998" s="5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52"/>
      <c r="D999" s="52"/>
      <c r="E999" s="4"/>
      <c r="F999" s="4"/>
      <c r="G999" s="4"/>
      <c r="H999" s="5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$G$1:$G$999"/>
  <dataValidations>
    <dataValidation type="list" allowBlank="1" showErrorMessage="1" sqref="G1:G999">
      <formula1>"Activo,Inactivo"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10.63"/>
    <col customWidth="1" hidden="1" min="2" max="3" width="12.13"/>
    <col customWidth="1" hidden="1" min="4" max="4" width="10.63"/>
    <col customWidth="1" hidden="1" min="5" max="5" width="10.25"/>
    <col customWidth="1" hidden="1" min="6" max="6" width="4.38"/>
    <col customWidth="1" hidden="1" min="7" max="7" width="11.13"/>
    <col customWidth="1" hidden="1" min="8" max="8" width="10.63"/>
    <col customWidth="1" hidden="1" min="9" max="9" width="11.63"/>
    <col customWidth="1" hidden="1" min="10" max="10" width="11.13"/>
    <col customWidth="1" hidden="1" min="11" max="11" width="11.75"/>
    <col customWidth="1" hidden="1" min="12" max="12" width="12.38"/>
    <col customWidth="1" hidden="1" min="13" max="13" width="11.13"/>
    <col customWidth="1" hidden="1" min="14" max="15" width="11.38"/>
    <col customWidth="1" hidden="1" min="16" max="16" width="11.63"/>
    <col customWidth="1" hidden="1" min="17" max="17" width="11.38"/>
    <col customWidth="1" hidden="1" min="18" max="18" width="10.5"/>
    <col customWidth="1" hidden="1" min="19" max="19" width="4.75"/>
    <col customWidth="1" min="21" max="21" width="17.38"/>
    <col customWidth="1" min="22" max="22" width="17.75"/>
    <col customWidth="1" min="23" max="23" width="20.63"/>
    <col customWidth="1" min="24" max="24" width="19.0"/>
    <col customWidth="1" min="25" max="25" width="18.25"/>
    <col customWidth="1" min="26" max="26" width="19.63"/>
    <col customWidth="1" min="27" max="27" width="15.25"/>
    <col customWidth="1" min="28" max="28" width="12.5"/>
    <col customWidth="1" min="32" max="32" width="2.5"/>
    <col customWidth="1" min="42" max="42" width="16.38"/>
    <col customWidth="1" min="43" max="43" width="16.13"/>
    <col customWidth="1" min="44" max="44" width="19.13"/>
    <col customWidth="1" min="45" max="45" width="2.0"/>
    <col customWidth="1" min="46" max="46" width="20.63"/>
    <col customWidth="1" min="47" max="47" width="18.88"/>
  </cols>
  <sheetData>
    <row r="1">
      <c r="A1" s="169" t="s">
        <v>712</v>
      </c>
      <c r="B1" s="170"/>
      <c r="C1" s="170"/>
      <c r="D1" s="170"/>
      <c r="E1" s="171"/>
      <c r="F1" s="172"/>
      <c r="G1" s="173" t="s">
        <v>713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1"/>
      <c r="S1" s="48"/>
      <c r="T1" s="174">
        <v>2024.0</v>
      </c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1"/>
      <c r="AF1" s="175"/>
      <c r="AG1" s="176">
        <v>2025.0</v>
      </c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1"/>
      <c r="AS1" s="175"/>
      <c r="AT1" s="177">
        <v>2026.0</v>
      </c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1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</row>
    <row r="2">
      <c r="A2" s="178" t="s">
        <v>714</v>
      </c>
      <c r="B2" s="179" t="s">
        <v>715</v>
      </c>
      <c r="C2" s="179" t="s">
        <v>716</v>
      </c>
      <c r="D2" s="179" t="s">
        <v>717</v>
      </c>
      <c r="E2" s="179" t="s">
        <v>718</v>
      </c>
      <c r="F2" s="172"/>
      <c r="G2" s="179" t="s">
        <v>719</v>
      </c>
      <c r="H2" s="179" t="s">
        <v>720</v>
      </c>
      <c r="I2" s="179" t="s">
        <v>721</v>
      </c>
      <c r="J2" s="179" t="s">
        <v>722</v>
      </c>
      <c r="K2" s="179" t="s">
        <v>723</v>
      </c>
      <c r="L2" s="179" t="s">
        <v>724</v>
      </c>
      <c r="M2" s="179" t="s">
        <v>725</v>
      </c>
      <c r="N2" s="179" t="s">
        <v>714</v>
      </c>
      <c r="O2" s="179" t="s">
        <v>715</v>
      </c>
      <c r="P2" s="179" t="s">
        <v>716</v>
      </c>
      <c r="Q2" s="179" t="s">
        <v>717</v>
      </c>
      <c r="R2" s="180" t="s">
        <v>718</v>
      </c>
      <c r="S2" s="48"/>
      <c r="T2" s="179" t="s">
        <v>719</v>
      </c>
      <c r="U2" s="179" t="s">
        <v>720</v>
      </c>
      <c r="V2" s="179" t="s">
        <v>721</v>
      </c>
      <c r="W2" s="179" t="s">
        <v>722</v>
      </c>
      <c r="X2" s="179" t="s">
        <v>723</v>
      </c>
      <c r="Y2" s="179" t="s">
        <v>724</v>
      </c>
      <c r="Z2" s="179" t="s">
        <v>725</v>
      </c>
      <c r="AA2" s="179" t="s">
        <v>714</v>
      </c>
      <c r="AB2" s="179" t="s">
        <v>715</v>
      </c>
      <c r="AC2" s="179" t="s">
        <v>716</v>
      </c>
      <c r="AD2" s="179" t="s">
        <v>717</v>
      </c>
      <c r="AE2" s="180" t="s">
        <v>718</v>
      </c>
      <c r="AF2" s="175"/>
      <c r="AG2" s="181" t="s">
        <v>719</v>
      </c>
      <c r="AH2" s="181" t="s">
        <v>720</v>
      </c>
      <c r="AI2" s="181" t="s">
        <v>721</v>
      </c>
      <c r="AJ2" s="181" t="s">
        <v>722</v>
      </c>
      <c r="AK2" s="181" t="s">
        <v>723</v>
      </c>
      <c r="AL2" s="181" t="s">
        <v>724</v>
      </c>
      <c r="AM2" s="181" t="s">
        <v>725</v>
      </c>
      <c r="AN2" s="181" t="s">
        <v>714</v>
      </c>
      <c r="AO2" s="181" t="s">
        <v>715</v>
      </c>
      <c r="AP2" s="181" t="s">
        <v>716</v>
      </c>
      <c r="AQ2" s="181" t="s">
        <v>717</v>
      </c>
      <c r="AR2" s="182" t="s">
        <v>718</v>
      </c>
      <c r="AS2" s="175"/>
      <c r="AT2" s="183" t="s">
        <v>719</v>
      </c>
      <c r="AU2" s="183" t="s">
        <v>720</v>
      </c>
      <c r="AV2" s="183" t="s">
        <v>721</v>
      </c>
      <c r="AW2" s="183" t="s">
        <v>722</v>
      </c>
      <c r="AX2" s="183" t="s">
        <v>723</v>
      </c>
      <c r="AY2" s="183" t="s">
        <v>724</v>
      </c>
      <c r="AZ2" s="183" t="s">
        <v>725</v>
      </c>
      <c r="BA2" s="183" t="s">
        <v>714</v>
      </c>
      <c r="BB2" s="183" t="s">
        <v>715</v>
      </c>
      <c r="BC2" s="183" t="s">
        <v>716</v>
      </c>
      <c r="BD2" s="183" t="s">
        <v>717</v>
      </c>
      <c r="BE2" s="184" t="s">
        <v>718</v>
      </c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</row>
    <row r="3">
      <c r="A3" s="150" t="s">
        <v>726</v>
      </c>
      <c r="B3" s="185" t="s">
        <v>727</v>
      </c>
      <c r="C3" s="136" t="s">
        <v>728</v>
      </c>
      <c r="D3" s="136" t="s">
        <v>322</v>
      </c>
      <c r="E3" s="136" t="s">
        <v>729</v>
      </c>
      <c r="F3" s="172"/>
      <c r="G3" s="136" t="s">
        <v>730</v>
      </c>
      <c r="H3" s="136" t="s">
        <v>471</v>
      </c>
      <c r="I3" s="136" t="s">
        <v>541</v>
      </c>
      <c r="J3" s="136" t="s">
        <v>237</v>
      </c>
      <c r="K3" s="136" t="s">
        <v>731</v>
      </c>
      <c r="L3" s="136" t="s">
        <v>732</v>
      </c>
      <c r="M3" s="136" t="s">
        <v>733</v>
      </c>
      <c r="N3" s="136" t="s">
        <v>734</v>
      </c>
      <c r="O3" s="136" t="s">
        <v>735</v>
      </c>
      <c r="P3" s="136" t="s">
        <v>736</v>
      </c>
      <c r="Q3" s="186" t="s">
        <v>737</v>
      </c>
      <c r="R3" s="187" t="s">
        <v>199</v>
      </c>
      <c r="S3" s="48"/>
      <c r="T3" s="188" t="s">
        <v>351</v>
      </c>
      <c r="U3" s="61" t="s">
        <v>163</v>
      </c>
      <c r="V3" s="189" t="s">
        <v>738</v>
      </c>
      <c r="W3" s="190" t="s">
        <v>738</v>
      </c>
      <c r="X3" s="164" t="s">
        <v>739</v>
      </c>
      <c r="Y3" s="10" t="s">
        <v>40</v>
      </c>
      <c r="Z3" s="10" t="s">
        <v>267</v>
      </c>
      <c r="AA3" s="61" t="s">
        <v>130</v>
      </c>
      <c r="AB3" s="61" t="s">
        <v>345</v>
      </c>
      <c r="AC3" s="61" t="s">
        <v>140</v>
      </c>
      <c r="AD3" s="189" t="s">
        <v>525</v>
      </c>
      <c r="AE3" s="191" t="s">
        <v>512</v>
      </c>
      <c r="AF3" s="175"/>
      <c r="AG3" s="191" t="s">
        <v>163</v>
      </c>
      <c r="AH3" s="192" t="s">
        <v>188</v>
      </c>
      <c r="AI3" s="193" t="s">
        <v>188</v>
      </c>
      <c r="AJ3" s="194" t="s">
        <v>58</v>
      </c>
      <c r="AK3" s="191" t="s">
        <v>78</v>
      </c>
      <c r="AL3" s="16" t="s">
        <v>740</v>
      </c>
      <c r="AM3" s="10" t="s">
        <v>741</v>
      </c>
      <c r="AN3" s="10" t="s">
        <v>742</v>
      </c>
      <c r="AO3" s="10" t="s">
        <v>743</v>
      </c>
      <c r="AP3" s="59" t="s">
        <v>168</v>
      </c>
      <c r="AQ3" s="16" t="s">
        <v>23</v>
      </c>
      <c r="AR3" s="22" t="s">
        <v>744</v>
      </c>
      <c r="AS3" s="175"/>
      <c r="AT3" s="16" t="s">
        <v>745</v>
      </c>
      <c r="AU3" s="195" t="s">
        <v>746</v>
      </c>
      <c r="AV3" s="56" t="s">
        <v>747</v>
      </c>
      <c r="AW3" s="56" t="s">
        <v>6</v>
      </c>
      <c r="AX3" s="13" t="s">
        <v>748</v>
      </c>
      <c r="AY3" s="35" t="s">
        <v>749</v>
      </c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</row>
    <row r="4">
      <c r="A4" s="150" t="s">
        <v>471</v>
      </c>
      <c r="B4" s="185" t="s">
        <v>750</v>
      </c>
      <c r="C4" s="136" t="s">
        <v>751</v>
      </c>
      <c r="D4" s="196" t="s">
        <v>311</v>
      </c>
      <c r="E4" s="136" t="s">
        <v>752</v>
      </c>
      <c r="F4" s="172"/>
      <c r="G4" s="136" t="s">
        <v>753</v>
      </c>
      <c r="H4" s="136" t="s">
        <v>275</v>
      </c>
      <c r="I4" s="136" t="s">
        <v>754</v>
      </c>
      <c r="J4" s="136" t="s">
        <v>268</v>
      </c>
      <c r="K4" s="136" t="s">
        <v>734</v>
      </c>
      <c r="L4" s="136" t="s">
        <v>755</v>
      </c>
      <c r="M4" s="136" t="s">
        <v>756</v>
      </c>
      <c r="N4" s="136" t="s">
        <v>757</v>
      </c>
      <c r="O4" s="136" t="s">
        <v>758</v>
      </c>
      <c r="P4" s="136" t="s">
        <v>759</v>
      </c>
      <c r="Q4" s="136" t="s">
        <v>677</v>
      </c>
      <c r="R4" s="156" t="s">
        <v>760</v>
      </c>
      <c r="S4" s="48"/>
      <c r="T4" s="189" t="s">
        <v>523</v>
      </c>
      <c r="U4" s="150" t="s">
        <v>164</v>
      </c>
      <c r="V4" s="189" t="s">
        <v>182</v>
      </c>
      <c r="W4" s="197" t="s">
        <v>761</v>
      </c>
      <c r="X4" s="198" t="s">
        <v>448</v>
      </c>
      <c r="Y4" s="10" t="s">
        <v>762</v>
      </c>
      <c r="Z4" s="10" t="s">
        <v>40</v>
      </c>
      <c r="AA4" s="191" t="s">
        <v>40</v>
      </c>
      <c r="AB4" s="191" t="s">
        <v>40</v>
      </c>
      <c r="AC4" s="61" t="s">
        <v>763</v>
      </c>
      <c r="AD4" s="189" t="s">
        <v>129</v>
      </c>
      <c r="AE4" s="61" t="s">
        <v>299</v>
      </c>
      <c r="AF4" s="175"/>
      <c r="AG4" s="191" t="s">
        <v>91</v>
      </c>
      <c r="AH4" s="199"/>
      <c r="AI4" s="192" t="s">
        <v>764</v>
      </c>
      <c r="AJ4" s="10" t="s">
        <v>68</v>
      </c>
      <c r="AK4" s="13" t="s">
        <v>765</v>
      </c>
      <c r="AL4" s="10" t="s">
        <v>68</v>
      </c>
      <c r="AM4" s="10" t="s">
        <v>766</v>
      </c>
      <c r="AN4" s="10" t="s">
        <v>767</v>
      </c>
      <c r="AO4" s="10" t="s">
        <v>68</v>
      </c>
      <c r="AP4" s="10" t="s">
        <v>20</v>
      </c>
      <c r="AQ4" s="15" t="s">
        <v>57</v>
      </c>
      <c r="AR4" s="56" t="s">
        <v>768</v>
      </c>
      <c r="AS4" s="175"/>
      <c r="AT4" s="10" t="s">
        <v>769</v>
      </c>
      <c r="AU4" s="56" t="s">
        <v>770</v>
      </c>
      <c r="AV4" s="56" t="s">
        <v>771</v>
      </c>
      <c r="AW4" s="56" t="s">
        <v>268</v>
      </c>
      <c r="AX4" s="13" t="s">
        <v>772</v>
      </c>
      <c r="AY4" s="200" t="s">
        <v>55</v>
      </c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</row>
    <row r="5">
      <c r="A5" s="153" t="s">
        <v>773</v>
      </c>
      <c r="B5" s="136" t="s">
        <v>774</v>
      </c>
      <c r="C5" s="185" t="s">
        <v>311</v>
      </c>
      <c r="D5" s="136" t="s">
        <v>775</v>
      </c>
      <c r="E5" s="136" t="s">
        <v>776</v>
      </c>
      <c r="F5" s="172"/>
      <c r="G5" s="136" t="s">
        <v>735</v>
      </c>
      <c r="H5" s="136" t="s">
        <v>548</v>
      </c>
      <c r="I5" s="136" t="s">
        <v>623</v>
      </c>
      <c r="J5" s="136" t="s">
        <v>777</v>
      </c>
      <c r="K5" s="136" t="s">
        <v>778</v>
      </c>
      <c r="L5" s="136" t="s">
        <v>779</v>
      </c>
      <c r="M5" s="136" t="s">
        <v>780</v>
      </c>
      <c r="N5" s="136" t="s">
        <v>781</v>
      </c>
      <c r="O5" s="136" t="s">
        <v>782</v>
      </c>
      <c r="P5" s="136" t="s">
        <v>345</v>
      </c>
      <c r="Q5" s="136" t="s">
        <v>58</v>
      </c>
      <c r="R5" s="156" t="s">
        <v>783</v>
      </c>
      <c r="S5" s="48"/>
      <c r="T5" s="143" t="s">
        <v>268</v>
      </c>
      <c r="U5" s="150" t="s">
        <v>130</v>
      </c>
      <c r="V5" s="190" t="s">
        <v>784</v>
      </c>
      <c r="W5" s="190" t="s">
        <v>785</v>
      </c>
      <c r="X5" s="164" t="s">
        <v>786</v>
      </c>
      <c r="Y5" s="201" t="s">
        <v>787</v>
      </c>
      <c r="Z5" s="10" t="s">
        <v>788</v>
      </c>
      <c r="AA5" s="61" t="s">
        <v>789</v>
      </c>
      <c r="AB5" s="61" t="s">
        <v>763</v>
      </c>
      <c r="AC5" s="202" t="s">
        <v>345</v>
      </c>
      <c r="AD5" s="164" t="s">
        <v>790</v>
      </c>
      <c r="AE5" s="191" t="s">
        <v>40</v>
      </c>
      <c r="AF5" s="175"/>
      <c r="AG5" s="191" t="s">
        <v>191</v>
      </c>
      <c r="AH5" s="203" t="s">
        <v>191</v>
      </c>
      <c r="AI5" s="203" t="s">
        <v>191</v>
      </c>
      <c r="AJ5" s="10" t="s">
        <v>69</v>
      </c>
      <c r="AK5" s="204" t="s">
        <v>183</v>
      </c>
      <c r="AL5" s="10" t="s">
        <v>69</v>
      </c>
      <c r="AM5" s="10" t="s">
        <v>174</v>
      </c>
      <c r="AN5" s="22" t="s">
        <v>791</v>
      </c>
      <c r="AO5" s="10" t="s">
        <v>98</v>
      </c>
      <c r="AP5" s="22" t="s">
        <v>792</v>
      </c>
      <c r="AQ5" s="22" t="s">
        <v>2</v>
      </c>
      <c r="AR5" s="22" t="s">
        <v>793</v>
      </c>
      <c r="AS5" s="175"/>
      <c r="AT5" s="16" t="s">
        <v>794</v>
      </c>
      <c r="AU5" s="195" t="s">
        <v>795</v>
      </c>
      <c r="AV5" s="56" t="s">
        <v>796</v>
      </c>
      <c r="AW5" s="22" t="s">
        <v>100</v>
      </c>
      <c r="AX5" s="22" t="s">
        <v>797</v>
      </c>
      <c r="AY5" s="200" t="s">
        <v>798</v>
      </c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</row>
    <row r="6">
      <c r="A6" s="153" t="s">
        <v>799</v>
      </c>
      <c r="B6" s="136" t="s">
        <v>800</v>
      </c>
      <c r="C6" s="185" t="s">
        <v>471</v>
      </c>
      <c r="D6" s="136" t="s">
        <v>801</v>
      </c>
      <c r="E6" s="136" t="s">
        <v>802</v>
      </c>
      <c r="F6" s="172"/>
      <c r="G6" s="136" t="s">
        <v>803</v>
      </c>
      <c r="H6" s="136" t="s">
        <v>804</v>
      </c>
      <c r="I6" s="136" t="s">
        <v>805</v>
      </c>
      <c r="J6" s="136" t="s">
        <v>806</v>
      </c>
      <c r="K6" s="136" t="s">
        <v>182</v>
      </c>
      <c r="L6" s="136" t="s">
        <v>807</v>
      </c>
      <c r="M6" s="136" t="s">
        <v>322</v>
      </c>
      <c r="N6" s="136" t="s">
        <v>808</v>
      </c>
      <c r="O6" s="136" t="s">
        <v>167</v>
      </c>
      <c r="P6" s="136" t="s">
        <v>809</v>
      </c>
      <c r="Q6" s="136" t="s">
        <v>124</v>
      </c>
      <c r="R6" s="205" t="s">
        <v>623</v>
      </c>
      <c r="S6" s="48"/>
      <c r="T6" s="206" t="s">
        <v>165</v>
      </c>
      <c r="U6" s="150" t="s">
        <v>761</v>
      </c>
      <c r="V6" s="207" t="s">
        <v>810</v>
      </c>
      <c r="W6" s="208" t="s">
        <v>810</v>
      </c>
      <c r="X6" s="209" t="s">
        <v>811</v>
      </c>
      <c r="Y6" s="209" t="s">
        <v>491</v>
      </c>
      <c r="Z6" s="10" t="s">
        <v>762</v>
      </c>
      <c r="AA6" s="191" t="s">
        <v>812</v>
      </c>
      <c r="AB6" s="202" t="s">
        <v>268</v>
      </c>
      <c r="AC6" s="202" t="s">
        <v>813</v>
      </c>
      <c r="AD6" s="10" t="s">
        <v>40</v>
      </c>
      <c r="AE6" s="202" t="s">
        <v>814</v>
      </c>
      <c r="AF6" s="175"/>
      <c r="AG6" s="61" t="s">
        <v>591</v>
      </c>
      <c r="AH6" s="192" t="s">
        <v>815</v>
      </c>
      <c r="AI6" s="192" t="s">
        <v>815</v>
      </c>
      <c r="AJ6" s="16" t="s">
        <v>816</v>
      </c>
      <c r="AK6" s="10" t="s">
        <v>817</v>
      </c>
      <c r="AL6" s="10" t="s">
        <v>818</v>
      </c>
      <c r="AM6" s="191" t="s">
        <v>742</v>
      </c>
      <c r="AN6" s="59" t="s">
        <v>819</v>
      </c>
      <c r="AO6" s="16" t="s">
        <v>132</v>
      </c>
      <c r="AP6" s="10" t="s">
        <v>118</v>
      </c>
      <c r="AQ6" s="16" t="s">
        <v>820</v>
      </c>
      <c r="AR6" s="210" t="s">
        <v>821</v>
      </c>
      <c r="AS6" s="175"/>
      <c r="AT6" s="10" t="s">
        <v>822</v>
      </c>
      <c r="AU6" s="195" t="s">
        <v>823</v>
      </c>
      <c r="AV6" s="28" t="s">
        <v>824</v>
      </c>
      <c r="AW6" s="16" t="s">
        <v>825</v>
      </c>
      <c r="AX6" s="56" t="s">
        <v>161</v>
      </c>
      <c r="AY6" s="200" t="s">
        <v>83</v>
      </c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</row>
    <row r="7">
      <c r="A7" s="153" t="s">
        <v>826</v>
      </c>
      <c r="B7" s="185" t="s">
        <v>827</v>
      </c>
      <c r="C7" s="136" t="s">
        <v>828</v>
      </c>
      <c r="D7" s="136" t="s">
        <v>17</v>
      </c>
      <c r="E7" s="136" t="s">
        <v>829</v>
      </c>
      <c r="F7" s="172"/>
      <c r="G7" s="136" t="s">
        <v>830</v>
      </c>
      <c r="H7" s="136" t="s">
        <v>831</v>
      </c>
      <c r="I7" s="136" t="s">
        <v>296</v>
      </c>
      <c r="J7" s="136" t="s">
        <v>289</v>
      </c>
      <c r="K7" s="136" t="s">
        <v>231</v>
      </c>
      <c r="L7" s="136" t="s">
        <v>832</v>
      </c>
      <c r="M7" s="136" t="s">
        <v>833</v>
      </c>
      <c r="N7" s="136" t="s">
        <v>624</v>
      </c>
      <c r="O7" s="136" t="s">
        <v>834</v>
      </c>
      <c r="P7" s="136" t="s">
        <v>835</v>
      </c>
      <c r="Q7" s="136" t="s">
        <v>836</v>
      </c>
      <c r="R7" s="205" t="s">
        <v>124</v>
      </c>
      <c r="S7" s="48"/>
      <c r="T7" s="135" t="s">
        <v>120</v>
      </c>
      <c r="U7" s="150" t="s">
        <v>598</v>
      </c>
      <c r="V7" s="189" t="s">
        <v>165</v>
      </c>
      <c r="W7" s="211" t="s">
        <v>454</v>
      </c>
      <c r="X7" s="209" t="s">
        <v>837</v>
      </c>
      <c r="Y7" s="49" t="s">
        <v>546</v>
      </c>
      <c r="Z7" s="202" t="s">
        <v>587</v>
      </c>
      <c r="AA7" s="191" t="s">
        <v>838</v>
      </c>
      <c r="AB7" s="61" t="s">
        <v>839</v>
      </c>
      <c r="AC7" s="160" t="s">
        <v>268</v>
      </c>
      <c r="AD7" s="164" t="s">
        <v>840</v>
      </c>
      <c r="AE7" s="61" t="s">
        <v>782</v>
      </c>
      <c r="AF7" s="175"/>
      <c r="AG7" s="191" t="s">
        <v>841</v>
      </c>
      <c r="AH7" s="212" t="s">
        <v>78</v>
      </c>
      <c r="AI7" s="203" t="s">
        <v>78</v>
      </c>
      <c r="AJ7" s="194" t="s">
        <v>174</v>
      </c>
      <c r="AK7" s="194" t="s">
        <v>842</v>
      </c>
      <c r="AL7" s="22" t="s">
        <v>843</v>
      </c>
      <c r="AM7" s="48" t="s">
        <v>844</v>
      </c>
      <c r="AN7" s="22" t="s">
        <v>845</v>
      </c>
      <c r="AO7" s="10" t="s">
        <v>846</v>
      </c>
      <c r="AP7" s="10" t="s">
        <v>57</v>
      </c>
      <c r="AQ7" s="59" t="s">
        <v>847</v>
      </c>
      <c r="AR7" s="22" t="s">
        <v>848</v>
      </c>
      <c r="AS7" s="175"/>
      <c r="AT7" s="16" t="s">
        <v>849</v>
      </c>
      <c r="AU7" s="28" t="s">
        <v>850</v>
      </c>
      <c r="AV7" s="16" t="s">
        <v>20</v>
      </c>
      <c r="AW7" s="22" t="s">
        <v>851</v>
      </c>
      <c r="AX7" s="56" t="s">
        <v>852</v>
      </c>
      <c r="AY7" s="28" t="s">
        <v>853</v>
      </c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</row>
    <row r="8">
      <c r="A8" s="153" t="s">
        <v>319</v>
      </c>
      <c r="B8" s="136" t="s">
        <v>499</v>
      </c>
      <c r="C8" s="136" t="s">
        <v>854</v>
      </c>
      <c r="D8" s="185" t="s">
        <v>855</v>
      </c>
      <c r="E8" s="136" t="s">
        <v>856</v>
      </c>
      <c r="F8" s="172"/>
      <c r="G8" s="136" t="s">
        <v>548</v>
      </c>
      <c r="H8" s="136" t="s">
        <v>735</v>
      </c>
      <c r="I8" s="136" t="s">
        <v>464</v>
      </c>
      <c r="J8" s="136" t="s">
        <v>472</v>
      </c>
      <c r="K8" s="136" t="s">
        <v>857</v>
      </c>
      <c r="L8" s="136" t="s">
        <v>623</v>
      </c>
      <c r="M8" s="136" t="s">
        <v>182</v>
      </c>
      <c r="N8" s="136" t="s">
        <v>623</v>
      </c>
      <c r="O8" s="136" t="s">
        <v>858</v>
      </c>
      <c r="P8" s="136" t="s">
        <v>758</v>
      </c>
      <c r="Q8" s="136" t="s">
        <v>598</v>
      </c>
      <c r="R8" s="149" t="s">
        <v>609</v>
      </c>
      <c r="S8" s="48"/>
      <c r="T8" s="189" t="s">
        <v>349</v>
      </c>
      <c r="U8" s="136" t="s">
        <v>789</v>
      </c>
      <c r="V8" s="207" t="s">
        <v>859</v>
      </c>
      <c r="W8" s="213" t="s">
        <v>860</v>
      </c>
      <c r="X8" s="190" t="s">
        <v>861</v>
      </c>
      <c r="Y8" s="164" t="s">
        <v>862</v>
      </c>
      <c r="Z8" s="214" t="s">
        <v>863</v>
      </c>
      <c r="AA8" s="164" t="s">
        <v>864</v>
      </c>
      <c r="AB8" s="61" t="s">
        <v>865</v>
      </c>
      <c r="AC8" s="150" t="s">
        <v>865</v>
      </c>
      <c r="AD8" s="166" t="s">
        <v>866</v>
      </c>
      <c r="AE8" s="191" t="s">
        <v>840</v>
      </c>
      <c r="AF8" s="175"/>
      <c r="AG8" s="61" t="s">
        <v>867</v>
      </c>
      <c r="AH8" s="212" t="s">
        <v>868</v>
      </c>
      <c r="AI8" s="203" t="s">
        <v>868</v>
      </c>
      <c r="AJ8" s="194" t="s">
        <v>53</v>
      </c>
      <c r="AK8" s="202" t="s">
        <v>512</v>
      </c>
      <c r="AL8" s="10" t="s">
        <v>171</v>
      </c>
      <c r="AM8" s="191" t="s">
        <v>869</v>
      </c>
      <c r="AN8" s="22" t="s">
        <v>20</v>
      </c>
      <c r="AO8" s="22" t="s">
        <v>870</v>
      </c>
      <c r="AP8" s="10" t="s">
        <v>871</v>
      </c>
      <c r="AQ8" s="16" t="s">
        <v>96</v>
      </c>
      <c r="AR8" s="10" t="s">
        <v>872</v>
      </c>
      <c r="AS8" s="175"/>
      <c r="AT8" s="194" t="s">
        <v>873</v>
      </c>
      <c r="AU8" s="28" t="s">
        <v>874</v>
      </c>
      <c r="AV8" s="56" t="s">
        <v>62</v>
      </c>
      <c r="AW8" s="28" t="s">
        <v>875</v>
      </c>
      <c r="AX8" s="22" t="s">
        <v>876</v>
      </c>
      <c r="AY8" s="28" t="s">
        <v>877</v>
      </c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</row>
    <row r="9">
      <c r="A9" s="153" t="s">
        <v>878</v>
      </c>
      <c r="B9" s="136" t="s">
        <v>879</v>
      </c>
      <c r="C9" s="185" t="s">
        <v>880</v>
      </c>
      <c r="D9" s="136" t="s">
        <v>132</v>
      </c>
      <c r="E9" s="136" t="s">
        <v>881</v>
      </c>
      <c r="F9" s="172"/>
      <c r="G9" s="136" t="s">
        <v>251</v>
      </c>
      <c r="H9" s="136" t="s">
        <v>525</v>
      </c>
      <c r="I9" s="136" t="s">
        <v>882</v>
      </c>
      <c r="J9" s="136" t="s">
        <v>883</v>
      </c>
      <c r="K9" s="136" t="s">
        <v>251</v>
      </c>
      <c r="L9" s="136" t="s">
        <v>884</v>
      </c>
      <c r="M9" s="136" t="s">
        <v>885</v>
      </c>
      <c r="N9" s="136" t="s">
        <v>345</v>
      </c>
      <c r="O9" s="136" t="s">
        <v>886</v>
      </c>
      <c r="P9" s="136" t="s">
        <v>834</v>
      </c>
      <c r="Q9" s="136" t="s">
        <v>120</v>
      </c>
      <c r="R9" s="205" t="s">
        <v>887</v>
      </c>
      <c r="S9" s="48"/>
      <c r="T9" s="206" t="s">
        <v>888</v>
      </c>
      <c r="U9" s="150" t="s">
        <v>889</v>
      </c>
      <c r="V9" s="190" t="s">
        <v>785</v>
      </c>
      <c r="W9" s="189" t="s">
        <v>618</v>
      </c>
      <c r="X9" s="189" t="s">
        <v>487</v>
      </c>
      <c r="Y9" s="189" t="s">
        <v>520</v>
      </c>
      <c r="Z9" s="61" t="s">
        <v>546</v>
      </c>
      <c r="AA9" s="194" t="s">
        <v>512</v>
      </c>
      <c r="AB9" s="61" t="s">
        <v>512</v>
      </c>
      <c r="AC9" s="61" t="s">
        <v>789</v>
      </c>
      <c r="AD9" s="164" t="s">
        <v>867</v>
      </c>
      <c r="AE9" s="61" t="s">
        <v>890</v>
      </c>
      <c r="AF9" s="175"/>
      <c r="AG9" s="10" t="s">
        <v>182</v>
      </c>
      <c r="AH9" s="212" t="s">
        <v>68</v>
      </c>
      <c r="AI9" s="203" t="s">
        <v>87</v>
      </c>
      <c r="AJ9" s="194" t="s">
        <v>891</v>
      </c>
      <c r="AK9" s="61" t="s">
        <v>20</v>
      </c>
      <c r="AL9" s="10" t="s">
        <v>892</v>
      </c>
      <c r="AM9" s="215" t="s">
        <v>893</v>
      </c>
      <c r="AN9" s="10" t="s">
        <v>891</v>
      </c>
      <c r="AO9" s="10" t="s">
        <v>894</v>
      </c>
      <c r="AP9" s="10" t="s">
        <v>895</v>
      </c>
      <c r="AQ9" s="10" t="s">
        <v>896</v>
      </c>
      <c r="AR9" s="16" t="s">
        <v>897</v>
      </c>
      <c r="AS9" s="175"/>
      <c r="AT9" s="56" t="s">
        <v>892</v>
      </c>
      <c r="AU9" s="22" t="s">
        <v>898</v>
      </c>
      <c r="AV9" s="16" t="s">
        <v>749</v>
      </c>
      <c r="AW9" s="22" t="s">
        <v>899</v>
      </c>
      <c r="AX9" s="22" t="s">
        <v>900</v>
      </c>
      <c r="AY9" s="35" t="s">
        <v>901</v>
      </c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</row>
    <row r="10">
      <c r="A10" s="153" t="s">
        <v>301</v>
      </c>
      <c r="B10" s="136" t="s">
        <v>902</v>
      </c>
      <c r="C10" s="136" t="s">
        <v>903</v>
      </c>
      <c r="D10" s="136" t="s">
        <v>773</v>
      </c>
      <c r="E10" s="136" t="s">
        <v>904</v>
      </c>
      <c r="F10" s="172"/>
      <c r="G10" s="136" t="s">
        <v>905</v>
      </c>
      <c r="H10" s="136" t="s">
        <v>327</v>
      </c>
      <c r="I10" s="185" t="s">
        <v>804</v>
      </c>
      <c r="J10" s="136" t="s">
        <v>906</v>
      </c>
      <c r="K10" s="136" t="s">
        <v>907</v>
      </c>
      <c r="L10" s="136" t="s">
        <v>733</v>
      </c>
      <c r="M10" s="136" t="s">
        <v>757</v>
      </c>
      <c r="N10" s="136" t="s">
        <v>908</v>
      </c>
      <c r="O10" s="136" t="s">
        <v>199</v>
      </c>
      <c r="P10" s="136" t="s">
        <v>909</v>
      </c>
      <c r="Q10" s="186" t="s">
        <v>910</v>
      </c>
      <c r="R10" s="205" t="s">
        <v>865</v>
      </c>
      <c r="S10" s="48"/>
      <c r="T10" s="189" t="s">
        <v>303</v>
      </c>
      <c r="U10" s="208" t="s">
        <v>911</v>
      </c>
      <c r="V10" s="207" t="s">
        <v>912</v>
      </c>
      <c r="W10" s="166" t="s">
        <v>268</v>
      </c>
      <c r="X10" s="216" t="s">
        <v>913</v>
      </c>
      <c r="Y10" s="209" t="s">
        <v>734</v>
      </c>
      <c r="Z10" s="191" t="s">
        <v>914</v>
      </c>
      <c r="AA10" s="194" t="s">
        <v>915</v>
      </c>
      <c r="AB10" s="61" t="s">
        <v>356</v>
      </c>
      <c r="AC10" s="61" t="s">
        <v>916</v>
      </c>
      <c r="AD10" s="191" t="s">
        <v>363</v>
      </c>
      <c r="AE10" s="189" t="s">
        <v>182</v>
      </c>
      <c r="AF10" s="175"/>
      <c r="AG10" s="166" t="s">
        <v>917</v>
      </c>
      <c r="AH10" s="212" t="s">
        <v>166</v>
      </c>
      <c r="AI10" s="192" t="s">
        <v>918</v>
      </c>
      <c r="AJ10" s="191" t="s">
        <v>16</v>
      </c>
      <c r="AK10" s="191" t="s">
        <v>37</v>
      </c>
      <c r="AL10" s="191" t="s">
        <v>16</v>
      </c>
      <c r="AM10" s="13" t="s">
        <v>919</v>
      </c>
      <c r="AN10" s="10" t="s">
        <v>677</v>
      </c>
      <c r="AO10" s="10" t="s">
        <v>920</v>
      </c>
      <c r="AP10" s="22" t="s">
        <v>171</v>
      </c>
      <c r="AQ10" s="56" t="s">
        <v>921</v>
      </c>
      <c r="AR10" s="22" t="s">
        <v>896</v>
      </c>
      <c r="AS10" s="175"/>
      <c r="AT10" s="22" t="s">
        <v>825</v>
      </c>
      <c r="AU10" s="56" t="s">
        <v>28</v>
      </c>
      <c r="AV10" s="16" t="s">
        <v>319</v>
      </c>
      <c r="AW10" s="22" t="s">
        <v>893</v>
      </c>
      <c r="AX10" s="22" t="s">
        <v>922</v>
      </c>
      <c r="AY10" s="35" t="s">
        <v>22</v>
      </c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</row>
    <row r="11">
      <c r="A11" s="153" t="s">
        <v>923</v>
      </c>
      <c r="B11" s="136" t="s">
        <v>924</v>
      </c>
      <c r="C11" s="136" t="s">
        <v>925</v>
      </c>
      <c r="D11" s="136" t="s">
        <v>229</v>
      </c>
      <c r="E11" s="136" t="s">
        <v>926</v>
      </c>
      <c r="F11" s="172"/>
      <c r="G11" s="136" t="s">
        <v>927</v>
      </c>
      <c r="H11" s="136" t="s">
        <v>633</v>
      </c>
      <c r="I11" s="136" t="s">
        <v>928</v>
      </c>
      <c r="J11" s="136" t="s">
        <v>929</v>
      </c>
      <c r="K11" s="136" t="s">
        <v>596</v>
      </c>
      <c r="L11" s="136" t="s">
        <v>930</v>
      </c>
      <c r="M11" s="136" t="s">
        <v>281</v>
      </c>
      <c r="N11" s="136" t="s">
        <v>754</v>
      </c>
      <c r="O11" s="136" t="s">
        <v>124</v>
      </c>
      <c r="P11" s="136" t="s">
        <v>931</v>
      </c>
      <c r="Q11" s="136" t="s">
        <v>932</v>
      </c>
      <c r="R11" s="136" t="s">
        <v>322</v>
      </c>
      <c r="S11" s="48"/>
      <c r="T11" s="135" t="s">
        <v>933</v>
      </c>
      <c r="U11" s="208" t="s">
        <v>454</v>
      </c>
      <c r="V11" s="217" t="s">
        <v>495</v>
      </c>
      <c r="W11" s="166" t="s">
        <v>601</v>
      </c>
      <c r="X11" s="197" t="s">
        <v>934</v>
      </c>
      <c r="Y11" s="189" t="s">
        <v>935</v>
      </c>
      <c r="Z11" s="191" t="s">
        <v>782</v>
      </c>
      <c r="AA11" s="164" t="s">
        <v>591</v>
      </c>
      <c r="AB11" s="202" t="s">
        <v>96</v>
      </c>
      <c r="AC11" s="191" t="s">
        <v>512</v>
      </c>
      <c r="AD11" s="61" t="s">
        <v>936</v>
      </c>
      <c r="AE11" s="218" t="s">
        <v>335</v>
      </c>
      <c r="AF11" s="175"/>
      <c r="AG11" s="189" t="s">
        <v>937</v>
      </c>
      <c r="AH11" s="212" t="s">
        <v>917</v>
      </c>
      <c r="AI11" s="203" t="s">
        <v>938</v>
      </c>
      <c r="AJ11" s="61" t="s">
        <v>20</v>
      </c>
      <c r="AK11" s="204" t="s">
        <v>939</v>
      </c>
      <c r="AL11" s="191" t="s">
        <v>940</v>
      </c>
      <c r="AM11" s="191" t="s">
        <v>941</v>
      </c>
      <c r="AN11" s="69" t="s">
        <v>942</v>
      </c>
      <c r="AO11" s="10" t="s">
        <v>763</v>
      </c>
      <c r="AP11" s="22" t="s">
        <v>870</v>
      </c>
      <c r="AQ11" s="15" t="s">
        <v>943</v>
      </c>
      <c r="AR11" s="22" t="s">
        <v>20</v>
      </c>
      <c r="AS11" s="175"/>
      <c r="AT11" s="56" t="s">
        <v>113</v>
      </c>
      <c r="AU11" s="28" t="s">
        <v>771</v>
      </c>
      <c r="AV11" s="16" t="s">
        <v>898</v>
      </c>
      <c r="AW11" s="22" t="s">
        <v>771</v>
      </c>
      <c r="AX11" s="66" t="s">
        <v>853</v>
      </c>
      <c r="AY11" s="35" t="s">
        <v>20</v>
      </c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</row>
    <row r="12">
      <c r="A12" s="153" t="s">
        <v>96</v>
      </c>
      <c r="B12" s="185" t="s">
        <v>319</v>
      </c>
      <c r="C12" s="136" t="s">
        <v>229</v>
      </c>
      <c r="D12" s="136" t="s">
        <v>294</v>
      </c>
      <c r="E12" s="136" t="s">
        <v>944</v>
      </c>
      <c r="F12" s="172"/>
      <c r="G12" s="136" t="s">
        <v>296</v>
      </c>
      <c r="H12" s="136" t="s">
        <v>809</v>
      </c>
      <c r="I12" s="136" t="s">
        <v>945</v>
      </c>
      <c r="J12" s="136" t="s">
        <v>946</v>
      </c>
      <c r="K12" s="136" t="s">
        <v>301</v>
      </c>
      <c r="L12" s="136" t="s">
        <v>947</v>
      </c>
      <c r="M12" s="136" t="s">
        <v>948</v>
      </c>
      <c r="N12" s="136" t="s">
        <v>237</v>
      </c>
      <c r="O12" s="136" t="s">
        <v>949</v>
      </c>
      <c r="P12" s="136" t="s">
        <v>950</v>
      </c>
      <c r="Q12" s="186" t="s">
        <v>865</v>
      </c>
      <c r="R12" s="165" t="s">
        <v>738</v>
      </c>
      <c r="S12" s="48"/>
      <c r="T12" s="206" t="s">
        <v>951</v>
      </c>
      <c r="U12" s="165" t="s">
        <v>345</v>
      </c>
      <c r="V12" s="219" t="s">
        <v>134</v>
      </c>
      <c r="W12" s="189" t="s">
        <v>784</v>
      </c>
      <c r="X12" s="211" t="s">
        <v>952</v>
      </c>
      <c r="Y12" s="166" t="s">
        <v>914</v>
      </c>
      <c r="Z12" s="214" t="s">
        <v>953</v>
      </c>
      <c r="AA12" s="164" t="s">
        <v>954</v>
      </c>
      <c r="AB12" s="61" t="s">
        <v>955</v>
      </c>
      <c r="AC12" s="191" t="s">
        <v>956</v>
      </c>
      <c r="AD12" s="61" t="s">
        <v>763</v>
      </c>
      <c r="AE12" s="166" t="s">
        <v>487</v>
      </c>
      <c r="AF12" s="175"/>
      <c r="AG12" s="189" t="s">
        <v>957</v>
      </c>
      <c r="AH12" s="220" t="s">
        <v>891</v>
      </c>
      <c r="AI12" s="203" t="s">
        <v>70</v>
      </c>
      <c r="AJ12" s="191" t="s">
        <v>956</v>
      </c>
      <c r="AK12" s="194" t="s">
        <v>186</v>
      </c>
      <c r="AL12" s="202" t="s">
        <v>765</v>
      </c>
      <c r="AM12" s="191" t="s">
        <v>891</v>
      </c>
      <c r="AN12" s="22" t="s">
        <v>168</v>
      </c>
      <c r="AO12" s="22" t="s">
        <v>168</v>
      </c>
      <c r="AP12" s="10" t="s">
        <v>824</v>
      </c>
      <c r="AQ12" s="10" t="s">
        <v>958</v>
      </c>
      <c r="AR12" s="192" t="s">
        <v>959</v>
      </c>
      <c r="AS12" s="175"/>
      <c r="AT12" s="16" t="s">
        <v>960</v>
      </c>
      <c r="AU12" s="28" t="s">
        <v>268</v>
      </c>
      <c r="AV12" s="16" t="s">
        <v>961</v>
      </c>
      <c r="AW12" s="56" t="s">
        <v>51</v>
      </c>
      <c r="AX12" s="61" t="s">
        <v>22</v>
      </c>
      <c r="AY12" s="8" t="s">
        <v>962</v>
      </c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</row>
    <row r="13">
      <c r="A13" s="153" t="s">
        <v>229</v>
      </c>
      <c r="B13" s="185" t="s">
        <v>120</v>
      </c>
      <c r="C13" s="136" t="s">
        <v>294</v>
      </c>
      <c r="D13" s="136" t="s">
        <v>96</v>
      </c>
      <c r="E13" s="136" t="s">
        <v>17</v>
      </c>
      <c r="F13" s="172"/>
      <c r="G13" s="136" t="s">
        <v>963</v>
      </c>
      <c r="H13" s="136" t="s">
        <v>754</v>
      </c>
      <c r="I13" s="136" t="s">
        <v>311</v>
      </c>
      <c r="J13" s="136" t="s">
        <v>330</v>
      </c>
      <c r="K13" s="136" t="s">
        <v>964</v>
      </c>
      <c r="L13" s="136" t="s">
        <v>199</v>
      </c>
      <c r="M13" s="136" t="s">
        <v>811</v>
      </c>
      <c r="N13" s="136" t="s">
        <v>134</v>
      </c>
      <c r="O13" s="136" t="s">
        <v>965</v>
      </c>
      <c r="P13" s="136" t="s">
        <v>966</v>
      </c>
      <c r="Q13" s="136" t="s">
        <v>243</v>
      </c>
      <c r="R13" s="221" t="s">
        <v>268</v>
      </c>
      <c r="S13" s="48"/>
      <c r="T13" s="208" t="s">
        <v>167</v>
      </c>
      <c r="U13" s="189" t="s">
        <v>167</v>
      </c>
      <c r="V13" s="219" t="s">
        <v>967</v>
      </c>
      <c r="W13" s="190" t="s">
        <v>968</v>
      </c>
      <c r="X13" s="208" t="s">
        <v>969</v>
      </c>
      <c r="Y13" s="189" t="s">
        <v>866</v>
      </c>
      <c r="Z13" s="217" t="s">
        <v>169</v>
      </c>
      <c r="AA13" s="56" t="s">
        <v>126</v>
      </c>
      <c r="AB13" s="202" t="s">
        <v>305</v>
      </c>
      <c r="AC13" s="191" t="s">
        <v>302</v>
      </c>
      <c r="AD13" s="191" t="s">
        <v>192</v>
      </c>
      <c r="AE13" s="189" t="s">
        <v>91</v>
      </c>
      <c r="AF13" s="175"/>
      <c r="AG13" s="61" t="s">
        <v>970</v>
      </c>
      <c r="AH13" s="212" t="s">
        <v>16</v>
      </c>
      <c r="AI13" s="69" t="s">
        <v>891</v>
      </c>
      <c r="AJ13" s="202" t="s">
        <v>971</v>
      </c>
      <c r="AK13" s="22" t="s">
        <v>972</v>
      </c>
      <c r="AL13" s="194" t="s">
        <v>94</v>
      </c>
      <c r="AM13" s="191" t="s">
        <v>973</v>
      </c>
      <c r="AN13" s="10" t="s">
        <v>43</v>
      </c>
      <c r="AO13" s="28" t="s">
        <v>974</v>
      </c>
      <c r="AP13" s="10" t="s">
        <v>975</v>
      </c>
      <c r="AQ13" s="10" t="s">
        <v>959</v>
      </c>
      <c r="AR13" s="10" t="s">
        <v>749</v>
      </c>
      <c r="AS13" s="175"/>
      <c r="AT13" s="56" t="s">
        <v>143</v>
      </c>
      <c r="AU13" s="56" t="s">
        <v>20</v>
      </c>
      <c r="AV13" s="28" t="s">
        <v>976</v>
      </c>
      <c r="AW13" s="22" t="s">
        <v>101</v>
      </c>
      <c r="AX13" s="66" t="s">
        <v>20</v>
      </c>
      <c r="AY13" s="21" t="s">
        <v>977</v>
      </c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</row>
    <row r="14">
      <c r="A14" s="153" t="s">
        <v>978</v>
      </c>
      <c r="B14" s="185" t="s">
        <v>330</v>
      </c>
      <c r="C14" s="136" t="s">
        <v>923</v>
      </c>
      <c r="D14" s="136" t="s">
        <v>776</v>
      </c>
      <c r="E14" s="136" t="s">
        <v>979</v>
      </c>
      <c r="F14" s="172"/>
      <c r="G14" s="136" t="s">
        <v>980</v>
      </c>
      <c r="H14" s="136" t="s">
        <v>981</v>
      </c>
      <c r="I14" s="185" t="s">
        <v>982</v>
      </c>
      <c r="J14" s="136" t="s">
        <v>562</v>
      </c>
      <c r="K14" s="136" t="s">
        <v>983</v>
      </c>
      <c r="L14" s="136" t="s">
        <v>984</v>
      </c>
      <c r="M14" s="136" t="s">
        <v>755</v>
      </c>
      <c r="N14" s="136" t="s">
        <v>985</v>
      </c>
      <c r="O14" s="136" t="s">
        <v>498</v>
      </c>
      <c r="P14" s="136" t="s">
        <v>907</v>
      </c>
      <c r="Q14" s="136" t="s">
        <v>946</v>
      </c>
      <c r="R14" s="221" t="s">
        <v>754</v>
      </c>
      <c r="S14" s="48"/>
      <c r="T14" s="206" t="s">
        <v>840</v>
      </c>
      <c r="U14" s="135" t="s">
        <v>201</v>
      </c>
      <c r="V14" s="219" t="s">
        <v>986</v>
      </c>
      <c r="W14" s="190" t="s">
        <v>469</v>
      </c>
      <c r="X14" s="198" t="s">
        <v>327</v>
      </c>
      <c r="Y14" s="189" t="s">
        <v>304</v>
      </c>
      <c r="Z14" s="61" t="s">
        <v>201</v>
      </c>
      <c r="AA14" s="222" t="s">
        <v>491</v>
      </c>
      <c r="AB14" s="189" t="s">
        <v>199</v>
      </c>
      <c r="AC14" s="202" t="s">
        <v>96</v>
      </c>
      <c r="AD14" s="61" t="s">
        <v>91</v>
      </c>
      <c r="AE14" s="149" t="s">
        <v>813</v>
      </c>
      <c r="AF14" s="175"/>
      <c r="AG14" s="61" t="s">
        <v>987</v>
      </c>
      <c r="AH14" s="69" t="s">
        <v>970</v>
      </c>
      <c r="AI14" s="192" t="s">
        <v>20</v>
      </c>
      <c r="AJ14" s="202" t="s">
        <v>988</v>
      </c>
      <c r="AK14" s="223" t="s">
        <v>94</v>
      </c>
      <c r="AL14" s="16" t="s">
        <v>989</v>
      </c>
      <c r="AM14" s="191" t="s">
        <v>990</v>
      </c>
      <c r="AN14" s="22" t="s">
        <v>991</v>
      </c>
      <c r="AO14" s="28" t="s">
        <v>992</v>
      </c>
      <c r="AP14" s="192" t="s">
        <v>16</v>
      </c>
      <c r="AQ14" s="59" t="s">
        <v>68</v>
      </c>
      <c r="AR14" s="66" t="s">
        <v>993</v>
      </c>
      <c r="AS14" s="175"/>
      <c r="AT14" s="56" t="s">
        <v>100</v>
      </c>
      <c r="AU14" s="28" t="s">
        <v>959</v>
      </c>
      <c r="AV14" s="28" t="s">
        <v>994</v>
      </c>
      <c r="AW14" s="22" t="s">
        <v>20</v>
      </c>
      <c r="AX14" s="61" t="s">
        <v>62</v>
      </c>
      <c r="AY14" s="21" t="s">
        <v>143</v>
      </c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</row>
    <row r="15">
      <c r="A15" s="153" t="s">
        <v>995</v>
      </c>
      <c r="B15" s="185" t="s">
        <v>598</v>
      </c>
      <c r="C15" s="136" t="s">
        <v>598</v>
      </c>
      <c r="D15" s="136" t="s">
        <v>996</v>
      </c>
      <c r="E15" s="136" t="s">
        <v>997</v>
      </c>
      <c r="F15" s="172"/>
      <c r="G15" s="136" t="s">
        <v>998</v>
      </c>
      <c r="H15" s="185" t="s">
        <v>904</v>
      </c>
      <c r="I15" s="136" t="s">
        <v>365</v>
      </c>
      <c r="J15" s="136" t="s">
        <v>132</v>
      </c>
      <c r="K15" s="136" t="s">
        <v>999</v>
      </c>
      <c r="L15" s="136" t="s">
        <v>1000</v>
      </c>
      <c r="M15" s="136" t="s">
        <v>982</v>
      </c>
      <c r="N15" s="136" t="s">
        <v>904</v>
      </c>
      <c r="O15" s="136" t="s">
        <v>1001</v>
      </c>
      <c r="P15" s="136" t="s">
        <v>831</v>
      </c>
      <c r="Q15" s="136" t="s">
        <v>322</v>
      </c>
      <c r="R15" s="224" t="s">
        <v>1002</v>
      </c>
      <c r="S15" s="48"/>
      <c r="T15" s="135" t="s">
        <v>495</v>
      </c>
      <c r="U15" s="69" t="s">
        <v>933</v>
      </c>
      <c r="V15" s="219" t="s">
        <v>349</v>
      </c>
      <c r="W15" s="190" t="s">
        <v>1003</v>
      </c>
      <c r="X15" s="61" t="s">
        <v>1004</v>
      </c>
      <c r="Y15" s="164" t="s">
        <v>1005</v>
      </c>
      <c r="Z15" s="192" t="s">
        <v>313</v>
      </c>
      <c r="AA15" s="10" t="s">
        <v>494</v>
      </c>
      <c r="AB15" s="189" t="s">
        <v>839</v>
      </c>
      <c r="AC15" s="153" t="s">
        <v>776</v>
      </c>
      <c r="AD15" s="61" t="s">
        <v>624</v>
      </c>
      <c r="AE15" s="189" t="s">
        <v>182</v>
      </c>
      <c r="AF15" s="225"/>
      <c r="AG15" s="192" t="s">
        <v>201</v>
      </c>
      <c r="AH15" s="212" t="s">
        <v>512</v>
      </c>
      <c r="AI15" s="226" t="s">
        <v>768</v>
      </c>
      <c r="AJ15" s="203" t="s">
        <v>1006</v>
      </c>
      <c r="AK15" s="10" t="s">
        <v>1007</v>
      </c>
      <c r="AL15" s="10" t="s">
        <v>1008</v>
      </c>
      <c r="AM15" s="192" t="s">
        <v>20</v>
      </c>
      <c r="AN15" s="10" t="s">
        <v>1009</v>
      </c>
      <c r="AO15" s="28" t="s">
        <v>1010</v>
      </c>
      <c r="AP15" s="192" t="s">
        <v>1011</v>
      </c>
      <c r="AQ15" s="10" t="s">
        <v>161</v>
      </c>
      <c r="AR15" s="227" t="s">
        <v>1012</v>
      </c>
      <c r="AS15" s="225"/>
      <c r="AT15" s="56" t="s">
        <v>1013</v>
      </c>
      <c r="AU15" s="195" t="s">
        <v>62</v>
      </c>
      <c r="AV15" s="56" t="s">
        <v>525</v>
      </c>
      <c r="AW15" s="22" t="s">
        <v>1014</v>
      </c>
      <c r="AX15" s="227" t="s">
        <v>1015</v>
      </c>
      <c r="AY15" s="21" t="s">
        <v>1016</v>
      </c>
      <c r="AZ15" s="228"/>
      <c r="BA15" s="228"/>
      <c r="BB15" s="228"/>
      <c r="BC15" s="228"/>
      <c r="BD15" s="228"/>
      <c r="BE15" s="228"/>
      <c r="BF15" s="228"/>
      <c r="BG15" s="228"/>
      <c r="BH15" s="228"/>
      <c r="BI15" s="228"/>
      <c r="BJ15" s="228"/>
      <c r="BK15" s="228"/>
      <c r="BL15" s="228"/>
      <c r="BM15" s="228"/>
      <c r="BN15" s="228"/>
      <c r="BO15" s="228"/>
      <c r="BP15" s="228"/>
      <c r="BQ15" s="228"/>
      <c r="BR15" s="228"/>
      <c r="BS15" s="228"/>
      <c r="BT15" s="228"/>
      <c r="BU15" s="228"/>
      <c r="BV15" s="228"/>
      <c r="BW15" s="228"/>
      <c r="BX15" s="228"/>
      <c r="BY15" s="228"/>
      <c r="BZ15" s="228"/>
      <c r="CA15" s="228"/>
      <c r="CB15" s="228"/>
      <c r="CC15" s="228"/>
      <c r="CD15" s="228"/>
      <c r="CE15" s="228"/>
      <c r="CF15" s="228"/>
      <c r="CG15" s="228"/>
      <c r="CH15" s="228"/>
      <c r="CI15" s="228"/>
      <c r="CJ15" s="228"/>
      <c r="CK15" s="228"/>
      <c r="CL15" s="228"/>
      <c r="CM15" s="228"/>
      <c r="CN15" s="228"/>
      <c r="CO15" s="228"/>
      <c r="CP15" s="228"/>
      <c r="CQ15" s="228"/>
      <c r="CR15" s="228"/>
      <c r="CS15" s="228"/>
      <c r="CT15" s="228"/>
      <c r="CU15" s="228"/>
      <c r="CV15" s="228"/>
      <c r="CW15" s="228"/>
      <c r="CX15" s="228"/>
      <c r="CY15" s="228"/>
      <c r="CZ15" s="228"/>
      <c r="DA15" s="228"/>
      <c r="DB15" s="228"/>
      <c r="DC15" s="228"/>
      <c r="DD15" s="228"/>
    </row>
    <row r="16">
      <c r="A16" s="153" t="s">
        <v>1017</v>
      </c>
      <c r="B16" s="185" t="s">
        <v>1018</v>
      </c>
      <c r="C16" s="136" t="s">
        <v>1019</v>
      </c>
      <c r="D16" s="136" t="s">
        <v>345</v>
      </c>
      <c r="E16" s="136" t="s">
        <v>1020</v>
      </c>
      <c r="F16" s="172"/>
      <c r="G16" s="136" t="s">
        <v>1021</v>
      </c>
      <c r="H16" s="136" t="s">
        <v>1022</v>
      </c>
      <c r="I16" s="136" t="s">
        <v>1023</v>
      </c>
      <c r="J16" s="136" t="s">
        <v>1024</v>
      </c>
      <c r="K16" s="136" t="s">
        <v>947</v>
      </c>
      <c r="L16" s="136" t="s">
        <v>130</v>
      </c>
      <c r="M16" s="136" t="s">
        <v>807</v>
      </c>
      <c r="N16" s="136" t="s">
        <v>1025</v>
      </c>
      <c r="O16" s="136" t="s">
        <v>1001</v>
      </c>
      <c r="P16" s="136" t="s">
        <v>1026</v>
      </c>
      <c r="Q16" s="186" t="s">
        <v>1027</v>
      </c>
      <c r="R16" s="165" t="s">
        <v>1028</v>
      </c>
      <c r="S16" s="48"/>
      <c r="T16" s="135" t="s">
        <v>738</v>
      </c>
      <c r="U16" s="150" t="s">
        <v>761</v>
      </c>
      <c r="V16" s="219" t="s">
        <v>913</v>
      </c>
      <c r="W16" s="201" t="s">
        <v>1029</v>
      </c>
      <c r="X16" s="160" t="s">
        <v>1030</v>
      </c>
      <c r="Y16" s="201" t="s">
        <v>322</v>
      </c>
      <c r="Z16" s="164" t="s">
        <v>130</v>
      </c>
      <c r="AA16" s="10" t="s">
        <v>1031</v>
      </c>
      <c r="AB16" s="164" t="s">
        <v>789</v>
      </c>
      <c r="AC16" s="61" t="s">
        <v>305</v>
      </c>
      <c r="AD16" s="160" t="s">
        <v>268</v>
      </c>
      <c r="AE16" s="218" t="s">
        <v>782</v>
      </c>
      <c r="AF16" s="229"/>
      <c r="AG16" s="192" t="s">
        <v>173</v>
      </c>
      <c r="AH16" s="192" t="s">
        <v>94</v>
      </c>
      <c r="AI16" s="192" t="s">
        <v>1032</v>
      </c>
      <c r="AJ16" s="203" t="s">
        <v>1033</v>
      </c>
      <c r="AK16" s="16" t="s">
        <v>1034</v>
      </c>
      <c r="AL16" s="22" t="s">
        <v>843</v>
      </c>
      <c r="AM16" s="192" t="s">
        <v>91</v>
      </c>
      <c r="AN16" s="194" t="s">
        <v>1035</v>
      </c>
      <c r="AO16" s="28" t="s">
        <v>1036</v>
      </c>
      <c r="AP16" s="230" t="s">
        <v>1037</v>
      </c>
      <c r="AQ16" s="10" t="s">
        <v>1038</v>
      </c>
      <c r="AR16" s="227" t="s">
        <v>1039</v>
      </c>
      <c r="AS16" s="229"/>
      <c r="AT16" s="10" t="s">
        <v>1040</v>
      </c>
      <c r="AU16" s="195" t="s">
        <v>1041</v>
      </c>
      <c r="AV16" s="22" t="s">
        <v>362</v>
      </c>
      <c r="AW16" s="16" t="s">
        <v>128</v>
      </c>
      <c r="AX16" s="16" t="s">
        <v>1042</v>
      </c>
      <c r="AY16" s="8" t="s">
        <v>1043</v>
      </c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1"/>
      <c r="BK16" s="231"/>
      <c r="BL16" s="231"/>
      <c r="BM16" s="231"/>
      <c r="BN16" s="231"/>
      <c r="BO16" s="231"/>
      <c r="BP16" s="231"/>
      <c r="BQ16" s="231"/>
      <c r="BR16" s="231"/>
      <c r="BS16" s="231"/>
      <c r="BT16" s="231"/>
      <c r="BU16" s="231"/>
      <c r="BV16" s="231"/>
      <c r="BW16" s="231"/>
      <c r="BX16" s="231"/>
      <c r="BY16" s="231"/>
      <c r="BZ16" s="231"/>
      <c r="CA16" s="231"/>
      <c r="CB16" s="231"/>
      <c r="CC16" s="231"/>
      <c r="CD16" s="231"/>
      <c r="CE16" s="231"/>
      <c r="CF16" s="231"/>
      <c r="CG16" s="231"/>
      <c r="CH16" s="231"/>
      <c r="CI16" s="231"/>
      <c r="CJ16" s="231"/>
      <c r="CK16" s="231"/>
      <c r="CL16" s="231"/>
      <c r="CM16" s="231"/>
      <c r="CN16" s="231"/>
      <c r="CO16" s="231"/>
      <c r="CP16" s="231"/>
      <c r="CQ16" s="231"/>
      <c r="CR16" s="231"/>
      <c r="CS16" s="231"/>
      <c r="CT16" s="231"/>
      <c r="CU16" s="231"/>
      <c r="CV16" s="231"/>
      <c r="CW16" s="231"/>
      <c r="CX16" s="231"/>
      <c r="CY16" s="231"/>
      <c r="CZ16" s="231"/>
      <c r="DA16" s="231"/>
      <c r="DB16" s="231"/>
      <c r="DC16" s="231"/>
      <c r="DD16" s="231"/>
    </row>
    <row r="17">
      <c r="A17" s="150" t="s">
        <v>169</v>
      </c>
      <c r="B17" s="185" t="s">
        <v>303</v>
      </c>
      <c r="C17" s="136" t="s">
        <v>96</v>
      </c>
      <c r="D17" s="136" t="s">
        <v>322</v>
      </c>
      <c r="E17" s="136" t="s">
        <v>1044</v>
      </c>
      <c r="F17" s="172"/>
      <c r="G17" s="136" t="s">
        <v>776</v>
      </c>
      <c r="H17" s="185" t="s">
        <v>251</v>
      </c>
      <c r="I17" s="136" t="s">
        <v>57</v>
      </c>
      <c r="J17" s="136" t="s">
        <v>541</v>
      </c>
      <c r="K17" s="136" t="s">
        <v>642</v>
      </c>
      <c r="L17" s="136" t="s">
        <v>349</v>
      </c>
      <c r="M17" s="136" t="s">
        <v>1045</v>
      </c>
      <c r="N17" s="136" t="s">
        <v>1046</v>
      </c>
      <c r="O17" s="136" t="s">
        <v>1001</v>
      </c>
      <c r="P17" s="136" t="s">
        <v>1047</v>
      </c>
      <c r="Q17" s="136" t="s">
        <v>609</v>
      </c>
      <c r="R17" s="165" t="s">
        <v>912</v>
      </c>
      <c r="S17" s="48"/>
      <c r="T17" s="189" t="s">
        <v>130</v>
      </c>
      <c r="U17" s="160" t="s">
        <v>1048</v>
      </c>
      <c r="V17" s="219" t="s">
        <v>120</v>
      </c>
      <c r="W17" s="207" t="s">
        <v>134</v>
      </c>
      <c r="X17" s="153" t="s">
        <v>601</v>
      </c>
      <c r="Y17" s="213" t="s">
        <v>169</v>
      </c>
      <c r="Z17" s="164" t="s">
        <v>345</v>
      </c>
      <c r="AA17" s="61" t="s">
        <v>134</v>
      </c>
      <c r="AB17" s="10" t="s">
        <v>51</v>
      </c>
      <c r="AC17" s="61" t="s">
        <v>866</v>
      </c>
      <c r="AD17" s="232" t="s">
        <v>865</v>
      </c>
      <c r="AE17" s="166" t="s">
        <v>866</v>
      </c>
      <c r="AF17" s="225"/>
      <c r="AG17" s="192" t="s">
        <v>1049</v>
      </c>
      <c r="AH17" s="212" t="s">
        <v>1050</v>
      </c>
      <c r="AI17" s="192" t="s">
        <v>201</v>
      </c>
      <c r="AJ17" s="10" t="s">
        <v>193</v>
      </c>
      <c r="AK17" s="10" t="s">
        <v>1051</v>
      </c>
      <c r="AL17" s="194" t="s">
        <v>1052</v>
      </c>
      <c r="AM17" s="10" t="s">
        <v>1053</v>
      </c>
      <c r="AN17" s="22" t="s">
        <v>919</v>
      </c>
      <c r="AO17" s="28" t="s">
        <v>1054</v>
      </c>
      <c r="AP17" s="10" t="s">
        <v>863</v>
      </c>
      <c r="AQ17" s="16" t="s">
        <v>1055</v>
      </c>
      <c r="AR17" s="22" t="s">
        <v>1056</v>
      </c>
      <c r="AS17" s="225"/>
      <c r="AT17" s="22" t="s">
        <v>1057</v>
      </c>
      <c r="AU17" s="195" t="s">
        <v>1058</v>
      </c>
      <c r="AV17" s="22" t="s">
        <v>6</v>
      </c>
      <c r="AW17" s="56" t="s">
        <v>898</v>
      </c>
      <c r="AX17" s="16" t="s">
        <v>58</v>
      </c>
      <c r="AY17" s="21" t="s">
        <v>1059</v>
      </c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3"/>
      <c r="BN17" s="233"/>
      <c r="BO17" s="233"/>
      <c r="BP17" s="233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  <c r="CB17" s="233"/>
      <c r="CC17" s="233"/>
      <c r="CD17" s="233"/>
      <c r="CE17" s="233"/>
      <c r="CF17" s="233"/>
      <c r="CG17" s="233"/>
      <c r="CH17" s="233"/>
      <c r="CI17" s="233"/>
      <c r="CJ17" s="233"/>
      <c r="CK17" s="233"/>
      <c r="CL17" s="233"/>
      <c r="CM17" s="233"/>
      <c r="CN17" s="233"/>
      <c r="CO17" s="233"/>
      <c r="CP17" s="233"/>
      <c r="CQ17" s="233"/>
      <c r="CR17" s="233"/>
      <c r="CS17" s="233"/>
      <c r="CT17" s="233"/>
      <c r="CU17" s="233"/>
      <c r="CV17" s="233"/>
      <c r="CW17" s="233"/>
      <c r="CX17" s="233"/>
      <c r="CY17" s="233"/>
      <c r="CZ17" s="233"/>
      <c r="DA17" s="233"/>
      <c r="DB17" s="233"/>
      <c r="DC17" s="233"/>
      <c r="DD17" s="233"/>
    </row>
    <row r="18">
      <c r="A18" s="153" t="s">
        <v>319</v>
      </c>
      <c r="B18" s="185" t="s">
        <v>311</v>
      </c>
      <c r="C18" s="136" t="s">
        <v>1060</v>
      </c>
      <c r="D18" s="136" t="s">
        <v>775</v>
      </c>
      <c r="E18" s="136" t="s">
        <v>1061</v>
      </c>
      <c r="F18" s="172"/>
      <c r="G18" s="136" t="s">
        <v>217</v>
      </c>
      <c r="H18" s="136" t="s">
        <v>907</v>
      </c>
      <c r="I18" s="136" t="s">
        <v>906</v>
      </c>
      <c r="J18" s="136" t="s">
        <v>623</v>
      </c>
      <c r="K18" s="136" t="s">
        <v>805</v>
      </c>
      <c r="L18" s="136" t="s">
        <v>1062</v>
      </c>
      <c r="M18" s="136" t="s">
        <v>1063</v>
      </c>
      <c r="N18" s="136" t="s">
        <v>1064</v>
      </c>
      <c r="O18" s="136" t="s">
        <v>982</v>
      </c>
      <c r="P18" s="136" t="s">
        <v>1065</v>
      </c>
      <c r="Q18" s="186" t="s">
        <v>268</v>
      </c>
      <c r="R18" s="189" t="s">
        <v>182</v>
      </c>
      <c r="S18" s="48"/>
      <c r="T18" s="189" t="s">
        <v>1066</v>
      </c>
      <c r="U18" s="150" t="s">
        <v>912</v>
      </c>
      <c r="V18" s="189" t="s">
        <v>813</v>
      </c>
      <c r="W18" s="189" t="s">
        <v>734</v>
      </c>
      <c r="X18" s="150" t="s">
        <v>40</v>
      </c>
      <c r="Y18" s="164" t="s">
        <v>1067</v>
      </c>
      <c r="Z18" s="10" t="s">
        <v>40</v>
      </c>
      <c r="AA18" s="202" t="s">
        <v>96</v>
      </c>
      <c r="AB18" s="10" t="s">
        <v>1068</v>
      </c>
      <c r="AC18" s="153" t="s">
        <v>165</v>
      </c>
      <c r="AD18" s="191" t="s">
        <v>1069</v>
      </c>
      <c r="AE18" s="164" t="s">
        <v>867</v>
      </c>
      <c r="AF18" s="229"/>
      <c r="AG18" s="69" t="s">
        <v>1070</v>
      </c>
      <c r="AH18" s="192" t="s">
        <v>173</v>
      </c>
      <c r="AI18" s="234" t="s">
        <v>1071</v>
      </c>
      <c r="AJ18" s="10" t="s">
        <v>78</v>
      </c>
      <c r="AK18" s="61" t="s">
        <v>763</v>
      </c>
      <c r="AL18" s="192" t="s">
        <v>1072</v>
      </c>
      <c r="AM18" s="69" t="s">
        <v>58</v>
      </c>
      <c r="AN18" s="10" t="s">
        <v>69</v>
      </c>
      <c r="AO18" s="28" t="s">
        <v>1073</v>
      </c>
      <c r="AP18" s="10" t="s">
        <v>68</v>
      </c>
      <c r="AQ18" s="10" t="s">
        <v>1074</v>
      </c>
      <c r="AR18" s="10" t="s">
        <v>1075</v>
      </c>
      <c r="AS18" s="229"/>
      <c r="AT18" s="69" t="s">
        <v>1076</v>
      </c>
      <c r="AU18" s="227" t="s">
        <v>1077</v>
      </c>
      <c r="AV18" s="22" t="s">
        <v>866</v>
      </c>
      <c r="AW18" s="22" t="s">
        <v>1078</v>
      </c>
      <c r="AX18" s="28" t="s">
        <v>1079</v>
      </c>
      <c r="AY18" s="21" t="s">
        <v>901</v>
      </c>
      <c r="AZ18" s="167"/>
      <c r="BA18" s="167"/>
      <c r="BB18" s="167"/>
      <c r="BC18" s="167"/>
      <c r="BD18" s="167"/>
      <c r="BE18" s="167"/>
      <c r="BF18" s="167"/>
      <c r="BG18" s="167"/>
      <c r="BH18" s="167"/>
      <c r="BI18" s="167"/>
      <c r="BJ18" s="167"/>
      <c r="BK18" s="167"/>
      <c r="BL18" s="167"/>
      <c r="BM18" s="167"/>
      <c r="BN18" s="167"/>
      <c r="BO18" s="167"/>
      <c r="BP18" s="167"/>
      <c r="BQ18" s="167"/>
      <c r="BR18" s="167"/>
      <c r="BS18" s="167"/>
      <c r="BT18" s="167"/>
      <c r="BU18" s="167"/>
      <c r="BV18" s="167"/>
      <c r="BW18" s="167"/>
      <c r="BX18" s="167"/>
      <c r="BY18" s="167"/>
      <c r="BZ18" s="167"/>
      <c r="CA18" s="167"/>
      <c r="CB18" s="167"/>
      <c r="CC18" s="167"/>
      <c r="CD18" s="167"/>
      <c r="CE18" s="167"/>
      <c r="CF18" s="167"/>
      <c r="CG18" s="167"/>
      <c r="CH18" s="167"/>
      <c r="CI18" s="167"/>
      <c r="CJ18" s="167"/>
      <c r="CK18" s="167"/>
      <c r="CL18" s="167"/>
      <c r="CM18" s="167"/>
      <c r="CN18" s="167"/>
      <c r="CO18" s="167"/>
      <c r="CP18" s="167"/>
      <c r="CQ18" s="167"/>
      <c r="CR18" s="167"/>
      <c r="CS18" s="167"/>
      <c r="CT18" s="167"/>
      <c r="CU18" s="167"/>
      <c r="CV18" s="167"/>
      <c r="CW18" s="167"/>
      <c r="CX18" s="167"/>
      <c r="CY18" s="167"/>
      <c r="CZ18" s="167"/>
      <c r="DA18" s="167"/>
      <c r="DB18" s="167"/>
      <c r="DC18" s="167"/>
      <c r="DD18" s="167"/>
    </row>
    <row r="19">
      <c r="A19" s="153" t="s">
        <v>878</v>
      </c>
      <c r="B19" s="185" t="s">
        <v>925</v>
      </c>
      <c r="C19" s="136" t="s">
        <v>1080</v>
      </c>
      <c r="D19" s="136" t="s">
        <v>17</v>
      </c>
      <c r="E19" s="136" t="s">
        <v>1081</v>
      </c>
      <c r="F19" s="172"/>
      <c r="G19" s="136" t="s">
        <v>1082</v>
      </c>
      <c r="H19" s="136" t="s">
        <v>779</v>
      </c>
      <c r="I19" s="136" t="s">
        <v>1083</v>
      </c>
      <c r="J19" s="136" t="s">
        <v>1060</v>
      </c>
      <c r="K19" s="136" t="s">
        <v>234</v>
      </c>
      <c r="L19" s="136" t="s">
        <v>1084</v>
      </c>
      <c r="M19" s="136" t="s">
        <v>596</v>
      </c>
      <c r="N19" s="136" t="s">
        <v>758</v>
      </c>
      <c r="O19" s="136" t="s">
        <v>345</v>
      </c>
      <c r="P19" s="136" t="s">
        <v>1025</v>
      </c>
      <c r="Q19" s="136" t="s">
        <v>754</v>
      </c>
      <c r="R19" s="165" t="s">
        <v>912</v>
      </c>
      <c r="S19" s="48"/>
      <c r="T19" s="189" t="s">
        <v>525</v>
      </c>
      <c r="U19" s="150" t="s">
        <v>469</v>
      </c>
      <c r="V19" s="190" t="s">
        <v>761</v>
      </c>
      <c r="W19" s="202" t="s">
        <v>967</v>
      </c>
      <c r="X19" s="213" t="s">
        <v>169</v>
      </c>
      <c r="Y19" s="189" t="s">
        <v>201</v>
      </c>
      <c r="Z19" s="164" t="s">
        <v>789</v>
      </c>
      <c r="AA19" s="61" t="s">
        <v>1085</v>
      </c>
      <c r="AB19" s="189" t="s">
        <v>299</v>
      </c>
      <c r="AC19" s="214" t="s">
        <v>124</v>
      </c>
      <c r="AD19" s="185" t="s">
        <v>890</v>
      </c>
      <c r="AE19" s="166" t="s">
        <v>363</v>
      </c>
      <c r="AF19" s="225"/>
      <c r="AG19" s="69" t="s">
        <v>1086</v>
      </c>
      <c r="AH19" s="212" t="s">
        <v>1071</v>
      </c>
      <c r="AI19" s="192" t="s">
        <v>1087</v>
      </c>
      <c r="AJ19" s="10" t="s">
        <v>94</v>
      </c>
      <c r="AK19" s="235" t="s">
        <v>765</v>
      </c>
      <c r="AL19" s="69" t="s">
        <v>91</v>
      </c>
      <c r="AM19" s="192" t="s">
        <v>767</v>
      </c>
      <c r="AN19" s="10" t="s">
        <v>1088</v>
      </c>
      <c r="AO19" s="28" t="s">
        <v>1089</v>
      </c>
      <c r="AP19" s="10" t="s">
        <v>1090</v>
      </c>
      <c r="AQ19" s="10" t="s">
        <v>53</v>
      </c>
      <c r="AR19" s="236" t="s">
        <v>1091</v>
      </c>
      <c r="AS19" s="225"/>
      <c r="AT19" s="69" t="s">
        <v>824</v>
      </c>
      <c r="AU19" s="22" t="s">
        <v>6</v>
      </c>
      <c r="AV19" s="22" t="s">
        <v>15</v>
      </c>
      <c r="AW19" s="56" t="s">
        <v>746</v>
      </c>
      <c r="AX19" s="56" t="s">
        <v>1092</v>
      </c>
      <c r="AY19" s="237" t="s">
        <v>1093</v>
      </c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  <c r="CB19" s="233"/>
      <c r="CC19" s="233"/>
      <c r="CD19" s="233"/>
      <c r="CE19" s="233"/>
      <c r="CF19" s="233"/>
      <c r="CG19" s="233"/>
      <c r="CH19" s="233"/>
      <c r="CI19" s="233"/>
      <c r="CJ19" s="233"/>
      <c r="CK19" s="233"/>
      <c r="CL19" s="233"/>
      <c r="CM19" s="233"/>
      <c r="CN19" s="233"/>
      <c r="CO19" s="233"/>
      <c r="CP19" s="233"/>
      <c r="CQ19" s="233"/>
      <c r="CR19" s="233"/>
      <c r="CS19" s="233"/>
      <c r="CT19" s="233"/>
      <c r="CU19" s="233"/>
      <c r="CV19" s="233"/>
      <c r="CW19" s="233"/>
      <c r="CX19" s="233"/>
      <c r="CY19" s="233"/>
      <c r="CZ19" s="233"/>
      <c r="DA19" s="233"/>
      <c r="DB19" s="233"/>
      <c r="DC19" s="233"/>
      <c r="DD19" s="233"/>
    </row>
    <row r="20">
      <c r="A20" s="153" t="s">
        <v>301</v>
      </c>
      <c r="B20" s="185" t="s">
        <v>955</v>
      </c>
      <c r="C20" s="136" t="s">
        <v>1094</v>
      </c>
      <c r="D20" s="136" t="s">
        <v>1095</v>
      </c>
      <c r="E20" s="136" t="s">
        <v>998</v>
      </c>
      <c r="F20" s="172"/>
      <c r="G20" s="136" t="s">
        <v>525</v>
      </c>
      <c r="H20" s="185" t="s">
        <v>1096</v>
      </c>
      <c r="I20" s="136" t="s">
        <v>1097</v>
      </c>
      <c r="J20" s="136" t="s">
        <v>1098</v>
      </c>
      <c r="K20" s="136" t="s">
        <v>57</v>
      </c>
      <c r="L20" s="136" t="s">
        <v>731</v>
      </c>
      <c r="M20" s="136" t="s">
        <v>1099</v>
      </c>
      <c r="N20" s="136" t="s">
        <v>982</v>
      </c>
      <c r="O20" s="136" t="s">
        <v>1100</v>
      </c>
      <c r="P20" s="136" t="s">
        <v>1101</v>
      </c>
      <c r="Q20" s="136" t="s">
        <v>982</v>
      </c>
      <c r="R20" s="142" t="s">
        <v>633</v>
      </c>
      <c r="S20" s="48"/>
      <c r="T20" s="189" t="s">
        <v>912</v>
      </c>
      <c r="U20" s="149" t="s">
        <v>982</v>
      </c>
      <c r="V20" s="135" t="s">
        <v>454</v>
      </c>
      <c r="W20" s="160" t="s">
        <v>1102</v>
      </c>
      <c r="X20" s="189" t="s">
        <v>1103</v>
      </c>
      <c r="Y20" s="201" t="s">
        <v>603</v>
      </c>
      <c r="Z20" s="10" t="s">
        <v>762</v>
      </c>
      <c r="AA20" s="61" t="s">
        <v>955</v>
      </c>
      <c r="AB20" s="194" t="s">
        <v>268</v>
      </c>
      <c r="AC20" s="238" t="s">
        <v>1069</v>
      </c>
      <c r="AD20" s="61" t="s">
        <v>313</v>
      </c>
      <c r="AE20" s="220" t="s">
        <v>936</v>
      </c>
      <c r="AF20" s="239"/>
      <c r="AG20" s="192" t="s">
        <v>184</v>
      </c>
      <c r="AH20" s="212" t="s">
        <v>90</v>
      </c>
      <c r="AI20" s="203" t="s">
        <v>90</v>
      </c>
      <c r="AJ20" s="10" t="s">
        <v>128</v>
      </c>
      <c r="AK20" s="194" t="s">
        <v>94</v>
      </c>
      <c r="AL20" s="203" t="s">
        <v>1104</v>
      </c>
      <c r="AM20" s="69" t="s">
        <v>77</v>
      </c>
      <c r="AN20" s="10" t="s">
        <v>1105</v>
      </c>
      <c r="AO20" s="28" t="s">
        <v>58</v>
      </c>
      <c r="AP20" s="22" t="s">
        <v>1106</v>
      </c>
      <c r="AQ20" s="10" t="s">
        <v>1107</v>
      </c>
      <c r="AR20" s="10" t="s">
        <v>1108</v>
      </c>
      <c r="AS20" s="239"/>
      <c r="AT20" s="192" t="s">
        <v>14</v>
      </c>
      <c r="AU20" s="11" t="s">
        <v>1109</v>
      </c>
      <c r="AV20" s="22" t="s">
        <v>1110</v>
      </c>
      <c r="AW20" s="56" t="s">
        <v>877</v>
      </c>
      <c r="AX20" s="56" t="s">
        <v>1111</v>
      </c>
      <c r="AY20" s="194" t="s">
        <v>1112</v>
      </c>
      <c r="AZ20" s="240"/>
      <c r="BA20" s="240"/>
      <c r="BB20" s="240"/>
      <c r="BC20" s="240"/>
      <c r="BD20" s="240"/>
      <c r="BE20" s="240"/>
      <c r="BF20" s="240"/>
      <c r="BG20" s="240"/>
      <c r="BH20" s="240"/>
      <c r="BI20" s="240"/>
      <c r="BJ20" s="240"/>
      <c r="BK20" s="240"/>
      <c r="BL20" s="240"/>
      <c r="BM20" s="240"/>
      <c r="BN20" s="240"/>
      <c r="BO20" s="240"/>
      <c r="BP20" s="240"/>
      <c r="BQ20" s="240"/>
      <c r="BR20" s="240"/>
      <c r="BS20" s="240"/>
      <c r="BT20" s="240"/>
      <c r="BU20" s="240"/>
      <c r="BV20" s="240"/>
      <c r="BW20" s="240"/>
      <c r="BX20" s="240"/>
      <c r="BY20" s="240"/>
      <c r="BZ20" s="240"/>
      <c r="CA20" s="240"/>
      <c r="CB20" s="240"/>
      <c r="CC20" s="240"/>
      <c r="CD20" s="240"/>
      <c r="CE20" s="240"/>
      <c r="CF20" s="240"/>
      <c r="CG20" s="240"/>
      <c r="CH20" s="240"/>
      <c r="CI20" s="240"/>
      <c r="CJ20" s="240"/>
      <c r="CK20" s="240"/>
      <c r="CL20" s="240"/>
      <c r="CM20" s="240"/>
      <c r="CN20" s="240"/>
      <c r="CO20" s="240"/>
      <c r="CP20" s="240"/>
      <c r="CQ20" s="240"/>
      <c r="CR20" s="240"/>
      <c r="CS20" s="240"/>
      <c r="CT20" s="240"/>
      <c r="CU20" s="240"/>
      <c r="CV20" s="240"/>
      <c r="CW20" s="240"/>
      <c r="CX20" s="240"/>
      <c r="CY20" s="240"/>
      <c r="CZ20" s="240"/>
      <c r="DA20" s="240"/>
      <c r="DB20" s="240"/>
      <c r="DC20" s="240"/>
      <c r="DD20" s="240"/>
    </row>
    <row r="21">
      <c r="A21" s="150" t="s">
        <v>229</v>
      </c>
      <c r="B21" s="136" t="s">
        <v>229</v>
      </c>
      <c r="C21" s="136" t="s">
        <v>1113</v>
      </c>
      <c r="D21" s="136" t="s">
        <v>1114</v>
      </c>
      <c r="E21" s="136" t="s">
        <v>1021</v>
      </c>
      <c r="F21" s="172"/>
      <c r="G21" s="136" t="s">
        <v>633</v>
      </c>
      <c r="H21" s="136" t="s">
        <v>296</v>
      </c>
      <c r="I21" s="136" t="s">
        <v>1115</v>
      </c>
      <c r="J21" s="136" t="s">
        <v>1116</v>
      </c>
      <c r="K21" s="136" t="s">
        <v>268</v>
      </c>
      <c r="L21" s="136" t="s">
        <v>1117</v>
      </c>
      <c r="M21" s="136" t="s">
        <v>1118</v>
      </c>
      <c r="N21" s="136" t="s">
        <v>1119</v>
      </c>
      <c r="O21" s="136" t="s">
        <v>896</v>
      </c>
      <c r="P21" s="136" t="s">
        <v>1120</v>
      </c>
      <c r="Q21" s="186" t="s">
        <v>1121</v>
      </c>
      <c r="R21" s="189" t="s">
        <v>201</v>
      </c>
      <c r="S21" s="241"/>
      <c r="T21" s="208" t="s">
        <v>524</v>
      </c>
      <c r="U21" s="153" t="s">
        <v>1122</v>
      </c>
      <c r="V21" s="135" t="s">
        <v>1123</v>
      </c>
      <c r="W21" s="160" t="s">
        <v>349</v>
      </c>
      <c r="X21" s="189" t="s">
        <v>1124</v>
      </c>
      <c r="Y21" s="242" t="s">
        <v>1125</v>
      </c>
      <c r="Z21" s="202" t="s">
        <v>1126</v>
      </c>
      <c r="AA21" s="61" t="s">
        <v>866</v>
      </c>
      <c r="AB21" s="56" t="s">
        <v>865</v>
      </c>
      <c r="AC21" s="191" t="s">
        <v>40</v>
      </c>
      <c r="AD21" s="164" t="s">
        <v>69</v>
      </c>
      <c r="AE21" s="218" t="s">
        <v>763</v>
      </c>
      <c r="AF21" s="229"/>
      <c r="AG21" s="226" t="s">
        <v>1127</v>
      </c>
      <c r="AH21" s="192" t="s">
        <v>335</v>
      </c>
      <c r="AI21" s="203" t="s">
        <v>16</v>
      </c>
      <c r="AJ21" s="22" t="s">
        <v>90</v>
      </c>
      <c r="AK21" s="10" t="s">
        <v>90</v>
      </c>
      <c r="AL21" s="235" t="s">
        <v>893</v>
      </c>
      <c r="AM21" s="192" t="s">
        <v>1128</v>
      </c>
      <c r="AN21" s="10" t="s">
        <v>174</v>
      </c>
      <c r="AO21" s="56" t="s">
        <v>1129</v>
      </c>
      <c r="AP21" s="243" t="s">
        <v>1130</v>
      </c>
      <c r="AQ21" s="10" t="s">
        <v>1131</v>
      </c>
      <c r="AR21" s="16" t="s">
        <v>1132</v>
      </c>
      <c r="AS21" s="229"/>
      <c r="AT21" s="192" t="s">
        <v>20</v>
      </c>
      <c r="AU21" s="56" t="s">
        <v>1013</v>
      </c>
      <c r="AV21" s="16" t="s">
        <v>20</v>
      </c>
      <c r="AW21" s="56" t="s">
        <v>1133</v>
      </c>
      <c r="AX21" s="16" t="s">
        <v>7</v>
      </c>
      <c r="AY21" s="21" t="s">
        <v>35</v>
      </c>
      <c r="AZ21" s="231"/>
      <c r="BA21" s="231"/>
      <c r="BB21" s="231"/>
      <c r="BC21" s="231"/>
      <c r="BD21" s="231"/>
      <c r="BE21" s="231"/>
      <c r="BF21" s="231"/>
      <c r="BG21" s="231"/>
      <c r="BH21" s="231"/>
      <c r="BI21" s="231"/>
      <c r="BJ21" s="231"/>
      <c r="BK21" s="231"/>
      <c r="BL21" s="231"/>
      <c r="BM21" s="231"/>
      <c r="BN21" s="231"/>
      <c r="BO21" s="231"/>
      <c r="BP21" s="231"/>
      <c r="BQ21" s="231"/>
      <c r="BR21" s="231"/>
      <c r="BS21" s="231"/>
      <c r="BT21" s="231"/>
      <c r="BU21" s="231"/>
      <c r="BV21" s="231"/>
      <c r="BW21" s="231"/>
      <c r="BX21" s="231"/>
      <c r="BY21" s="231"/>
      <c r="BZ21" s="231"/>
      <c r="CA21" s="231"/>
      <c r="CB21" s="231"/>
      <c r="CC21" s="231"/>
      <c r="CD21" s="231"/>
      <c r="CE21" s="231"/>
      <c r="CF21" s="231"/>
      <c r="CG21" s="231"/>
      <c r="CH21" s="231"/>
      <c r="CI21" s="231"/>
      <c r="CJ21" s="231"/>
      <c r="CK21" s="231"/>
      <c r="CL21" s="231"/>
      <c r="CM21" s="231"/>
      <c r="CN21" s="231"/>
      <c r="CO21" s="231"/>
      <c r="CP21" s="231"/>
      <c r="CQ21" s="231"/>
      <c r="CR21" s="231"/>
      <c r="CS21" s="231"/>
      <c r="CT21" s="231"/>
      <c r="CU21" s="231"/>
      <c r="CV21" s="231"/>
      <c r="CW21" s="231"/>
      <c r="CX21" s="231"/>
      <c r="CY21" s="231"/>
      <c r="CZ21" s="231"/>
      <c r="DA21" s="231"/>
      <c r="DB21" s="231"/>
      <c r="DC21" s="231"/>
      <c r="DD21" s="231"/>
    </row>
    <row r="22">
      <c r="A22" s="153" t="s">
        <v>1134</v>
      </c>
      <c r="B22" s="185" t="s">
        <v>294</v>
      </c>
      <c r="C22" s="136" t="s">
        <v>1135</v>
      </c>
      <c r="D22" s="136" t="s">
        <v>319</v>
      </c>
      <c r="E22" s="136" t="s">
        <v>776</v>
      </c>
      <c r="F22" s="172"/>
      <c r="G22" s="136" t="s">
        <v>1136</v>
      </c>
      <c r="H22" s="136" t="s">
        <v>464</v>
      </c>
      <c r="I22" s="136" t="s">
        <v>231</v>
      </c>
      <c r="J22" s="136" t="s">
        <v>1137</v>
      </c>
      <c r="K22" s="136" t="s">
        <v>1138</v>
      </c>
      <c r="L22" s="136" t="s">
        <v>1139</v>
      </c>
      <c r="M22" s="136" t="s">
        <v>268</v>
      </c>
      <c r="N22" s="136" t="s">
        <v>1140</v>
      </c>
      <c r="O22" s="136" t="s">
        <v>1141</v>
      </c>
      <c r="P22" s="136" t="s">
        <v>509</v>
      </c>
      <c r="Q22" s="186" t="s">
        <v>840</v>
      </c>
      <c r="R22" s="143" t="s">
        <v>322</v>
      </c>
      <c r="S22" s="48"/>
      <c r="T22" s="208" t="s">
        <v>182</v>
      </c>
      <c r="U22" s="69" t="s">
        <v>738</v>
      </c>
      <c r="V22" s="189" t="s">
        <v>738</v>
      </c>
      <c r="W22" s="244" t="s">
        <v>912</v>
      </c>
      <c r="X22" s="209" t="s">
        <v>550</v>
      </c>
      <c r="Y22" s="245" t="s">
        <v>70</v>
      </c>
      <c r="Z22" s="191" t="s">
        <v>248</v>
      </c>
      <c r="AA22" s="191" t="s">
        <v>51</v>
      </c>
      <c r="AB22" s="192" t="s">
        <v>782</v>
      </c>
      <c r="AC22" s="191" t="s">
        <v>361</v>
      </c>
      <c r="AD22" s="245" t="s">
        <v>1142</v>
      </c>
      <c r="AE22" s="166" t="s">
        <v>345</v>
      </c>
      <c r="AF22" s="225"/>
      <c r="AG22" s="226" t="s">
        <v>654</v>
      </c>
      <c r="AH22" s="221" t="s">
        <v>1143</v>
      </c>
      <c r="AI22" s="214" t="s">
        <v>841</v>
      </c>
      <c r="AJ22" s="10" t="s">
        <v>217</v>
      </c>
      <c r="AK22" s="22" t="s">
        <v>740</v>
      </c>
      <c r="AL22" s="10" t="s">
        <v>1144</v>
      </c>
      <c r="AM22" s="192" t="s">
        <v>1145</v>
      </c>
      <c r="AN22" s="10" t="s">
        <v>973</v>
      </c>
      <c r="AO22" s="22" t="s">
        <v>168</v>
      </c>
      <c r="AP22" s="246" t="s">
        <v>174</v>
      </c>
      <c r="AQ22" s="59" t="s">
        <v>1146</v>
      </c>
      <c r="AR22" s="22" t="s">
        <v>1147</v>
      </c>
      <c r="AS22" s="225"/>
      <c r="AT22" s="22" t="s">
        <v>23</v>
      </c>
      <c r="AU22" s="165" t="s">
        <v>1148</v>
      </c>
      <c r="AV22" s="22" t="s">
        <v>118</v>
      </c>
      <c r="AW22" s="28" t="s">
        <v>67</v>
      </c>
      <c r="AX22" s="22" t="s">
        <v>1149</v>
      </c>
      <c r="AY22" s="247" t="s">
        <v>1150</v>
      </c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  <c r="BL22" s="233"/>
      <c r="BM22" s="233"/>
      <c r="BN22" s="233"/>
      <c r="BO22" s="233"/>
      <c r="BP22" s="233"/>
      <c r="BQ22" s="233"/>
      <c r="BR22" s="233"/>
      <c r="BS22" s="233"/>
      <c r="BT22" s="233"/>
      <c r="BU22" s="233"/>
      <c r="BV22" s="233"/>
      <c r="BW22" s="233"/>
      <c r="BX22" s="233"/>
      <c r="BY22" s="233"/>
      <c r="BZ22" s="233"/>
      <c r="CA22" s="233"/>
      <c r="CB22" s="233"/>
      <c r="CC22" s="233"/>
      <c r="CD22" s="233"/>
      <c r="CE22" s="233"/>
      <c r="CF22" s="233"/>
      <c r="CG22" s="233"/>
      <c r="CH22" s="233"/>
      <c r="CI22" s="233"/>
      <c r="CJ22" s="233"/>
      <c r="CK22" s="233"/>
      <c r="CL22" s="233"/>
      <c r="CM22" s="233"/>
      <c r="CN22" s="233"/>
      <c r="CO22" s="233"/>
      <c r="CP22" s="233"/>
      <c r="CQ22" s="233"/>
      <c r="CR22" s="233"/>
      <c r="CS22" s="233"/>
      <c r="CT22" s="233"/>
      <c r="CU22" s="233"/>
      <c r="CV22" s="233"/>
      <c r="CW22" s="233"/>
      <c r="CX22" s="233"/>
      <c r="CY22" s="233"/>
      <c r="CZ22" s="233"/>
      <c r="DA22" s="233"/>
      <c r="DB22" s="233"/>
      <c r="DC22" s="233"/>
      <c r="DD22" s="233"/>
    </row>
    <row r="23">
      <c r="A23" s="153" t="s">
        <v>1151</v>
      </c>
      <c r="B23" s="185" t="s">
        <v>1152</v>
      </c>
      <c r="C23" s="136" t="s">
        <v>854</v>
      </c>
      <c r="D23" s="136" t="s">
        <v>1153</v>
      </c>
      <c r="E23" s="136" t="s">
        <v>1154</v>
      </c>
      <c r="F23" s="172"/>
      <c r="G23" s="136" t="s">
        <v>1155</v>
      </c>
      <c r="H23" s="136" t="s">
        <v>294</v>
      </c>
      <c r="I23" s="136" t="s">
        <v>322</v>
      </c>
      <c r="J23" s="136" t="s">
        <v>947</v>
      </c>
      <c r="K23" s="136" t="s">
        <v>1156</v>
      </c>
      <c r="L23" s="136" t="s">
        <v>1157</v>
      </c>
      <c r="M23" s="136" t="s">
        <v>1158</v>
      </c>
      <c r="N23" s="136" t="s">
        <v>1140</v>
      </c>
      <c r="O23" s="136" t="s">
        <v>1025</v>
      </c>
      <c r="P23" s="136" t="s">
        <v>1159</v>
      </c>
      <c r="Q23" s="136" t="s">
        <v>910</v>
      </c>
      <c r="R23" s="143" t="s">
        <v>268</v>
      </c>
      <c r="S23" s="48"/>
      <c r="T23" s="208" t="s">
        <v>1160</v>
      </c>
      <c r="U23" s="150" t="s">
        <v>164</v>
      </c>
      <c r="V23" s="189" t="s">
        <v>493</v>
      </c>
      <c r="W23" s="248" t="s">
        <v>1161</v>
      </c>
      <c r="X23" s="209" t="s">
        <v>591</v>
      </c>
      <c r="Y23" s="164" t="s">
        <v>1162</v>
      </c>
      <c r="Z23" s="202" t="s">
        <v>491</v>
      </c>
      <c r="AA23" s="189" t="s">
        <v>839</v>
      </c>
      <c r="AB23" s="189" t="s">
        <v>1163</v>
      </c>
      <c r="AC23" s="61" t="s">
        <v>140</v>
      </c>
      <c r="AD23" s="187" t="s">
        <v>914</v>
      </c>
      <c r="AE23" s="249" t="s">
        <v>865</v>
      </c>
      <c r="AF23" s="250"/>
      <c r="AG23" s="226" t="s">
        <v>194</v>
      </c>
      <c r="AH23" s="69" t="s">
        <v>1164</v>
      </c>
      <c r="AI23" s="191" t="s">
        <v>764</v>
      </c>
      <c r="AJ23" s="191" t="s">
        <v>896</v>
      </c>
      <c r="AK23" s="22" t="s">
        <v>1165</v>
      </c>
      <c r="AL23" s="22" t="s">
        <v>1166</v>
      </c>
      <c r="AM23" s="56" t="s">
        <v>942</v>
      </c>
      <c r="AN23" s="59" t="s">
        <v>866</v>
      </c>
      <c r="AO23" s="10" t="s">
        <v>1167</v>
      </c>
      <c r="AP23" s="251" t="s">
        <v>1168</v>
      </c>
      <c r="AQ23" s="15" t="s">
        <v>1091</v>
      </c>
      <c r="AR23" s="10" t="s">
        <v>1169</v>
      </c>
      <c r="AS23" s="250"/>
      <c r="AT23" s="194" t="s">
        <v>2</v>
      </c>
      <c r="AU23" s="22" t="s">
        <v>1170</v>
      </c>
      <c r="AV23" s="28" t="s">
        <v>143</v>
      </c>
      <c r="AW23" s="56" t="s">
        <v>163</v>
      </c>
      <c r="AX23" s="16" t="s">
        <v>1171</v>
      </c>
      <c r="AY23" s="252" t="s">
        <v>1172</v>
      </c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5"/>
      <c r="BQ23" s="95"/>
      <c r="BR23" s="95"/>
      <c r="BS23" s="95"/>
      <c r="BT23" s="95"/>
      <c r="BU23" s="95"/>
      <c r="BV23" s="95"/>
      <c r="BW23" s="95"/>
      <c r="BX23" s="95"/>
      <c r="BY23" s="95"/>
      <c r="BZ23" s="95"/>
      <c r="CA23" s="95"/>
      <c r="CB23" s="95"/>
      <c r="CC23" s="95"/>
      <c r="CD23" s="95"/>
      <c r="CE23" s="95"/>
      <c r="CF23" s="95"/>
      <c r="CG23" s="95"/>
      <c r="CH23" s="95"/>
      <c r="CI23" s="95"/>
      <c r="CJ23" s="95"/>
      <c r="CK23" s="95"/>
      <c r="CL23" s="95"/>
      <c r="CM23" s="95"/>
      <c r="CN23" s="95"/>
      <c r="CO23" s="95"/>
      <c r="CP23" s="95"/>
      <c r="CQ23" s="95"/>
      <c r="CR23" s="95"/>
      <c r="CS23" s="95"/>
      <c r="CT23" s="95"/>
      <c r="CU23" s="95"/>
      <c r="CV23" s="95"/>
      <c r="CW23" s="95"/>
      <c r="CX23" s="95"/>
      <c r="CY23" s="95"/>
      <c r="CZ23" s="95"/>
      <c r="DA23" s="95"/>
      <c r="DB23" s="95"/>
      <c r="DC23" s="95"/>
      <c r="DD23" s="95"/>
    </row>
    <row r="24">
      <c r="A24" s="153" t="s">
        <v>978</v>
      </c>
      <c r="B24" s="185" t="s">
        <v>1173</v>
      </c>
      <c r="C24" s="136" t="s">
        <v>904</v>
      </c>
      <c r="D24" s="196" t="s">
        <v>509</v>
      </c>
      <c r="E24" s="136" t="s">
        <v>730</v>
      </c>
      <c r="F24" s="172"/>
      <c r="G24" s="136" t="s">
        <v>345</v>
      </c>
      <c r="H24" s="136" t="s">
        <v>598</v>
      </c>
      <c r="I24" s="136" t="s">
        <v>1174</v>
      </c>
      <c r="J24" s="136" t="s">
        <v>1175</v>
      </c>
      <c r="K24" s="136" t="s">
        <v>1176</v>
      </c>
      <c r="L24" s="136" t="s">
        <v>268</v>
      </c>
      <c r="M24" s="136" t="s">
        <v>882</v>
      </c>
      <c r="N24" s="136" t="s">
        <v>735</v>
      </c>
      <c r="O24" s="136" t="s">
        <v>1177</v>
      </c>
      <c r="P24" s="136" t="s">
        <v>1159</v>
      </c>
      <c r="Q24" s="136" t="s">
        <v>504</v>
      </c>
      <c r="R24" s="135" t="s">
        <v>933</v>
      </c>
      <c r="S24" s="48"/>
      <c r="T24" s="208" t="s">
        <v>633</v>
      </c>
      <c r="U24" s="150" t="s">
        <v>525</v>
      </c>
      <c r="V24" s="189" t="s">
        <v>1178</v>
      </c>
      <c r="W24" s="61" t="s">
        <v>495</v>
      </c>
      <c r="X24" s="166" t="s">
        <v>870</v>
      </c>
      <c r="Y24" s="142" t="s">
        <v>487</v>
      </c>
      <c r="Z24" s="191" t="s">
        <v>51</v>
      </c>
      <c r="AA24" s="164" t="s">
        <v>887</v>
      </c>
      <c r="AB24" s="10" t="s">
        <v>890</v>
      </c>
      <c r="AC24" s="61" t="s">
        <v>763</v>
      </c>
      <c r="AD24" s="218" t="s">
        <v>487</v>
      </c>
      <c r="AE24" s="202" t="s">
        <v>868</v>
      </c>
      <c r="AF24" s="253"/>
      <c r="AG24" s="226" t="s">
        <v>1179</v>
      </c>
      <c r="AH24" s="192" t="s">
        <v>188</v>
      </c>
      <c r="AI24" s="10" t="s">
        <v>1180</v>
      </c>
      <c r="AJ24" s="191" t="s">
        <v>1181</v>
      </c>
      <c r="AK24" s="22" t="s">
        <v>1182</v>
      </c>
      <c r="AL24" s="59" t="s">
        <v>1090</v>
      </c>
      <c r="AM24" s="10" t="s">
        <v>37</v>
      </c>
      <c r="AN24" s="15" t="s">
        <v>921</v>
      </c>
      <c r="AO24" s="10" t="s">
        <v>181</v>
      </c>
      <c r="AP24" s="254" t="s">
        <v>1183</v>
      </c>
      <c r="AQ24" s="10" t="s">
        <v>1184</v>
      </c>
      <c r="AR24" s="22" t="s">
        <v>1185</v>
      </c>
      <c r="AS24" s="253"/>
      <c r="AT24" s="16" t="s">
        <v>1186</v>
      </c>
      <c r="AU24" s="56" t="s">
        <v>1187</v>
      </c>
      <c r="AV24" s="16" t="s">
        <v>1188</v>
      </c>
      <c r="AW24" s="56" t="s">
        <v>7</v>
      </c>
      <c r="AX24" s="16" t="s">
        <v>16</v>
      </c>
      <c r="AY24" s="255" t="s">
        <v>1189</v>
      </c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</row>
    <row r="25">
      <c r="A25" s="150" t="s">
        <v>1190</v>
      </c>
      <c r="B25" s="185" t="s">
        <v>132</v>
      </c>
      <c r="C25" s="185" t="s">
        <v>509</v>
      </c>
      <c r="D25" s="196" t="s">
        <v>729</v>
      </c>
      <c r="E25" s="136" t="s">
        <v>345</v>
      </c>
      <c r="F25" s="172"/>
      <c r="G25" s="136" t="s">
        <v>882</v>
      </c>
      <c r="H25" s="136" t="s">
        <v>1191</v>
      </c>
      <c r="I25" s="136" t="s">
        <v>804</v>
      </c>
      <c r="J25" s="136" t="s">
        <v>904</v>
      </c>
      <c r="K25" s="136" t="s">
        <v>1192</v>
      </c>
      <c r="L25" s="136" t="s">
        <v>1138</v>
      </c>
      <c r="M25" s="136" t="s">
        <v>541</v>
      </c>
      <c r="N25" s="136" t="s">
        <v>1193</v>
      </c>
      <c r="O25" s="136" t="s">
        <v>1194</v>
      </c>
      <c r="P25" s="136" t="s">
        <v>735</v>
      </c>
      <c r="Q25" s="136" t="s">
        <v>493</v>
      </c>
      <c r="R25" s="189" t="s">
        <v>167</v>
      </c>
      <c r="S25" s="48"/>
      <c r="T25" s="135" t="s">
        <v>201</v>
      </c>
      <c r="U25" s="150" t="s">
        <v>1065</v>
      </c>
      <c r="V25" s="189" t="s">
        <v>1195</v>
      </c>
      <c r="W25" s="150" t="s">
        <v>327</v>
      </c>
      <c r="X25" s="189" t="s">
        <v>1196</v>
      </c>
      <c r="Y25" s="142" t="s">
        <v>335</v>
      </c>
      <c r="Z25" s="61" t="s">
        <v>309</v>
      </c>
      <c r="AA25" s="10" t="s">
        <v>789</v>
      </c>
      <c r="AB25" s="214" t="s">
        <v>512</v>
      </c>
      <c r="AC25" s="160" t="s">
        <v>268</v>
      </c>
      <c r="AD25" s="218" t="s">
        <v>335</v>
      </c>
      <c r="AE25" s="61" t="s">
        <v>1197</v>
      </c>
      <c r="AF25" s="256"/>
      <c r="AG25" s="226" t="s">
        <v>1050</v>
      </c>
      <c r="AH25" s="203" t="s">
        <v>191</v>
      </c>
      <c r="AI25" s="202" t="s">
        <v>68</v>
      </c>
      <c r="AJ25" s="191" t="s">
        <v>1198</v>
      </c>
      <c r="AK25" s="10" t="s">
        <v>171</v>
      </c>
      <c r="AL25" s="16" t="s">
        <v>740</v>
      </c>
      <c r="AM25" s="16" t="s">
        <v>843</v>
      </c>
      <c r="AN25" s="22" t="s">
        <v>844</v>
      </c>
      <c r="AO25" s="10" t="s">
        <v>40</v>
      </c>
      <c r="AP25" s="10" t="s">
        <v>57</v>
      </c>
      <c r="AQ25" s="257" t="s">
        <v>1199</v>
      </c>
      <c r="AR25" s="22" t="s">
        <v>1200</v>
      </c>
      <c r="AS25" s="256"/>
      <c r="AT25" s="56" t="s">
        <v>1201</v>
      </c>
      <c r="AU25" s="22" t="s">
        <v>865</v>
      </c>
      <c r="AV25" s="28" t="s">
        <v>874</v>
      </c>
      <c r="AW25" s="28" t="s">
        <v>1202</v>
      </c>
      <c r="AX25" s="16" t="s">
        <v>73</v>
      </c>
      <c r="AY25" s="236" t="s">
        <v>28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</row>
    <row r="26">
      <c r="A26" s="153" t="s">
        <v>120</v>
      </c>
      <c r="B26" s="136" t="s">
        <v>96</v>
      </c>
      <c r="C26" s="136" t="s">
        <v>120</v>
      </c>
      <c r="D26" s="136" t="s">
        <v>229</v>
      </c>
      <c r="E26" s="136" t="s">
        <v>881</v>
      </c>
      <c r="F26" s="172"/>
      <c r="G26" s="136" t="s">
        <v>624</v>
      </c>
      <c r="H26" s="136" t="s">
        <v>312</v>
      </c>
      <c r="I26" s="136" t="s">
        <v>1203</v>
      </c>
      <c r="J26" s="136" t="s">
        <v>807</v>
      </c>
      <c r="K26" s="136" t="s">
        <v>1204</v>
      </c>
      <c r="L26" s="136" t="s">
        <v>1205</v>
      </c>
      <c r="M26" s="136" t="s">
        <v>199</v>
      </c>
      <c r="N26" s="136" t="s">
        <v>1195</v>
      </c>
      <c r="O26" s="136" t="s">
        <v>1115</v>
      </c>
      <c r="P26" s="136" t="s">
        <v>1206</v>
      </c>
      <c r="Q26" s="186" t="s">
        <v>783</v>
      </c>
      <c r="R26" s="135" t="s">
        <v>840</v>
      </c>
      <c r="S26" s="241"/>
      <c r="T26" s="135" t="s">
        <v>167</v>
      </c>
      <c r="U26" s="150" t="s">
        <v>1207</v>
      </c>
      <c r="V26" s="189" t="s">
        <v>1208</v>
      </c>
      <c r="W26" s="189" t="s">
        <v>130</v>
      </c>
      <c r="X26" s="189" t="s">
        <v>1126</v>
      </c>
      <c r="Y26" s="189" t="s">
        <v>934</v>
      </c>
      <c r="Z26" s="61" t="s">
        <v>955</v>
      </c>
      <c r="AA26" s="238" t="s">
        <v>140</v>
      </c>
      <c r="AB26" s="217" t="s">
        <v>169</v>
      </c>
      <c r="AC26" s="232" t="s">
        <v>865</v>
      </c>
      <c r="AD26" s="238" t="s">
        <v>1209</v>
      </c>
      <c r="AE26" s="61" t="s">
        <v>970</v>
      </c>
      <c r="AF26" s="256"/>
      <c r="AG26" s="164" t="s">
        <v>1086</v>
      </c>
      <c r="AH26" s="192" t="s">
        <v>815</v>
      </c>
      <c r="AI26" s="194" t="s">
        <v>182</v>
      </c>
      <c r="AJ26" s="202" t="s">
        <v>183</v>
      </c>
      <c r="AK26" s="194" t="s">
        <v>669</v>
      </c>
      <c r="AL26" s="22" t="s">
        <v>68</v>
      </c>
      <c r="AM26" s="10" t="s">
        <v>869</v>
      </c>
      <c r="AN26" s="10" t="s">
        <v>1210</v>
      </c>
      <c r="AO26" s="10" t="s">
        <v>891</v>
      </c>
      <c r="AP26" s="10" t="s">
        <v>161</v>
      </c>
      <c r="AQ26" s="10" t="s">
        <v>68</v>
      </c>
      <c r="AR26" s="16" t="s">
        <v>1211</v>
      </c>
      <c r="AS26" s="256"/>
      <c r="AT26" s="194" t="s">
        <v>1212</v>
      </c>
      <c r="AU26" s="66" t="s">
        <v>1213</v>
      </c>
      <c r="AV26" s="56" t="s">
        <v>1214</v>
      </c>
      <c r="AW26" s="28" t="s">
        <v>824</v>
      </c>
      <c r="AX26" s="16" t="s">
        <v>36</v>
      </c>
      <c r="AY26" s="8" t="s">
        <v>161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</row>
    <row r="27">
      <c r="A27" s="153" t="s">
        <v>1215</v>
      </c>
      <c r="B27" s="185" t="s">
        <v>1216</v>
      </c>
      <c r="C27" s="136" t="s">
        <v>17</v>
      </c>
      <c r="D27" s="136" t="s">
        <v>776</v>
      </c>
      <c r="E27" s="136" t="s">
        <v>904</v>
      </c>
      <c r="F27" s="172"/>
      <c r="G27" s="136" t="s">
        <v>1217</v>
      </c>
      <c r="H27" s="136" t="s">
        <v>1218</v>
      </c>
      <c r="I27" s="185" t="s">
        <v>251</v>
      </c>
      <c r="J27" s="136" t="s">
        <v>757</v>
      </c>
      <c r="K27" s="136" t="s">
        <v>623</v>
      </c>
      <c r="L27" s="136" t="s">
        <v>1219</v>
      </c>
      <c r="M27" s="136" t="s">
        <v>623</v>
      </c>
      <c r="N27" s="136" t="s">
        <v>1220</v>
      </c>
      <c r="O27" s="136" t="s">
        <v>735</v>
      </c>
      <c r="P27" s="136" t="s">
        <v>583</v>
      </c>
      <c r="Q27" s="136" t="s">
        <v>57</v>
      </c>
      <c r="R27" s="189" t="s">
        <v>1221</v>
      </c>
      <c r="S27" s="48"/>
      <c r="T27" s="135" t="s">
        <v>199</v>
      </c>
      <c r="U27" s="150" t="s">
        <v>1222</v>
      </c>
      <c r="V27" s="207" t="s">
        <v>120</v>
      </c>
      <c r="W27" s="189" t="s">
        <v>1223</v>
      </c>
      <c r="X27" s="190" t="s">
        <v>589</v>
      </c>
      <c r="Y27" s="202" t="s">
        <v>491</v>
      </c>
      <c r="Z27" s="202" t="s">
        <v>348</v>
      </c>
      <c r="AA27" s="238" t="s">
        <v>140</v>
      </c>
      <c r="AB27" s="61" t="s">
        <v>654</v>
      </c>
      <c r="AC27" s="232" t="s">
        <v>266</v>
      </c>
      <c r="AD27" s="258" t="s">
        <v>169</v>
      </c>
      <c r="AE27" s="61" t="s">
        <v>677</v>
      </c>
      <c r="AF27" s="256"/>
      <c r="AG27" s="16" t="s">
        <v>1224</v>
      </c>
      <c r="AH27" s="203" t="s">
        <v>78</v>
      </c>
      <c r="AI27" s="22" t="s">
        <v>892</v>
      </c>
      <c r="AJ27" s="22" t="s">
        <v>892</v>
      </c>
      <c r="AK27" s="13" t="s">
        <v>78</v>
      </c>
      <c r="AL27" s="16" t="s">
        <v>988</v>
      </c>
      <c r="AM27" s="59" t="s">
        <v>20</v>
      </c>
      <c r="AN27" s="10" t="s">
        <v>16</v>
      </c>
      <c r="AO27" s="10" t="s">
        <v>1010</v>
      </c>
      <c r="AP27" s="10" t="s">
        <v>1225</v>
      </c>
      <c r="AQ27" s="10" t="s">
        <v>23</v>
      </c>
      <c r="AR27" s="10" t="s">
        <v>1226</v>
      </c>
      <c r="AS27" s="256"/>
      <c r="AT27" s="10" t="s">
        <v>1227</v>
      </c>
      <c r="AU27" s="61" t="s">
        <v>23</v>
      </c>
      <c r="AV27" s="56" t="s">
        <v>268</v>
      </c>
      <c r="AW27" s="22" t="s">
        <v>21</v>
      </c>
      <c r="AX27" s="56" t="s">
        <v>67</v>
      </c>
      <c r="AY27" s="21" t="s">
        <v>1228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</row>
    <row r="28">
      <c r="A28" s="150" t="s">
        <v>774</v>
      </c>
      <c r="B28" s="185" t="s">
        <v>120</v>
      </c>
      <c r="C28" s="136" t="s">
        <v>330</v>
      </c>
      <c r="D28" s="136" t="s">
        <v>1229</v>
      </c>
      <c r="E28" s="136" t="s">
        <v>329</v>
      </c>
      <c r="F28" s="172"/>
      <c r="G28" s="136" t="s">
        <v>963</v>
      </c>
      <c r="H28" s="136" t="s">
        <v>1230</v>
      </c>
      <c r="I28" s="136" t="s">
        <v>132</v>
      </c>
      <c r="J28" s="136" t="s">
        <v>1231</v>
      </c>
      <c r="K28" s="136" t="s">
        <v>756</v>
      </c>
      <c r="L28" s="136" t="s">
        <v>1232</v>
      </c>
      <c r="M28" s="136" t="s">
        <v>1233</v>
      </c>
      <c r="N28" s="136" t="s">
        <v>731</v>
      </c>
      <c r="O28" s="136" t="s">
        <v>231</v>
      </c>
      <c r="P28" s="136" t="s">
        <v>1195</v>
      </c>
      <c r="Q28" s="136" t="s">
        <v>967</v>
      </c>
      <c r="R28" s="189" t="s">
        <v>134</v>
      </c>
      <c r="S28" s="48"/>
      <c r="T28" s="135" t="s">
        <v>495</v>
      </c>
      <c r="U28" s="150" t="s">
        <v>96</v>
      </c>
      <c r="V28" s="207" t="s">
        <v>913</v>
      </c>
      <c r="W28" s="189" t="s">
        <v>1030</v>
      </c>
      <c r="X28" s="198" t="s">
        <v>327</v>
      </c>
      <c r="Y28" s="150" t="s">
        <v>520</v>
      </c>
      <c r="Z28" s="202" t="s">
        <v>96</v>
      </c>
      <c r="AA28" s="191" t="s">
        <v>1234</v>
      </c>
      <c r="AB28" s="61" t="s">
        <v>472</v>
      </c>
      <c r="AC28" s="185" t="s">
        <v>890</v>
      </c>
      <c r="AD28" s="61" t="s">
        <v>129</v>
      </c>
      <c r="AE28" s="61" t="s">
        <v>1049</v>
      </c>
      <c r="AF28" s="256"/>
      <c r="AG28" s="226" t="s">
        <v>90</v>
      </c>
      <c r="AH28" s="212" t="s">
        <v>868</v>
      </c>
      <c r="AI28" s="10" t="s">
        <v>1235</v>
      </c>
      <c r="AJ28" s="10" t="s">
        <v>768</v>
      </c>
      <c r="AK28" s="202" t="s">
        <v>20</v>
      </c>
      <c r="AL28" s="22" t="s">
        <v>1236</v>
      </c>
      <c r="AM28" s="191" t="s">
        <v>1237</v>
      </c>
      <c r="AN28" s="10" t="s">
        <v>893</v>
      </c>
      <c r="AO28" s="10" t="s">
        <v>1238</v>
      </c>
      <c r="AP28" s="10" t="s">
        <v>1108</v>
      </c>
      <c r="AQ28" s="22" t="s">
        <v>1239</v>
      </c>
      <c r="AR28" s="22" t="s">
        <v>1240</v>
      </c>
      <c r="AS28" s="256"/>
      <c r="AT28" s="10" t="s">
        <v>892</v>
      </c>
      <c r="AU28" s="61" t="s">
        <v>1241</v>
      </c>
      <c r="AV28" s="56" t="s">
        <v>1242</v>
      </c>
      <c r="AW28" s="195" t="s">
        <v>15</v>
      </c>
      <c r="AX28" s="16" t="s">
        <v>868</v>
      </c>
      <c r="AY28" s="21" t="s">
        <v>20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</row>
    <row r="29">
      <c r="A29" s="153" t="s">
        <v>1243</v>
      </c>
      <c r="B29" s="185" t="s">
        <v>828</v>
      </c>
      <c r="C29" s="136" t="s">
        <v>1244</v>
      </c>
      <c r="D29" s="136" t="s">
        <v>1245</v>
      </c>
      <c r="E29" s="136" t="s">
        <v>1020</v>
      </c>
      <c r="F29" s="172"/>
      <c r="G29" s="136" t="s">
        <v>311</v>
      </c>
      <c r="H29" s="136" t="s">
        <v>1246</v>
      </c>
      <c r="I29" s="136" t="s">
        <v>1247</v>
      </c>
      <c r="J29" s="185" t="s">
        <v>999</v>
      </c>
      <c r="K29" s="136" t="s">
        <v>1248</v>
      </c>
      <c r="L29" s="136" t="s">
        <v>831</v>
      </c>
      <c r="M29" s="136" t="s">
        <v>167</v>
      </c>
      <c r="N29" s="136" t="s">
        <v>1249</v>
      </c>
      <c r="O29" s="136" t="s">
        <v>633</v>
      </c>
      <c r="P29" s="136" t="s">
        <v>217</v>
      </c>
      <c r="Q29" s="164" t="s">
        <v>623</v>
      </c>
      <c r="R29" s="189" t="s">
        <v>783</v>
      </c>
      <c r="S29" s="48"/>
      <c r="T29" s="135" t="s">
        <v>933</v>
      </c>
      <c r="U29" s="189" t="s">
        <v>813</v>
      </c>
      <c r="V29" s="61" t="s">
        <v>1250</v>
      </c>
      <c r="W29" s="189" t="s">
        <v>618</v>
      </c>
      <c r="X29" s="190" t="s">
        <v>1251</v>
      </c>
      <c r="Y29" s="153" t="s">
        <v>313</v>
      </c>
      <c r="Z29" s="202" t="s">
        <v>1252</v>
      </c>
      <c r="AA29" s="61" t="s">
        <v>126</v>
      </c>
      <c r="AB29" s="61" t="s">
        <v>356</v>
      </c>
      <c r="AC29" s="164" t="s">
        <v>813</v>
      </c>
      <c r="AD29" s="153" t="s">
        <v>96</v>
      </c>
      <c r="AE29" s="191" t="s">
        <v>201</v>
      </c>
      <c r="AF29" s="256"/>
      <c r="AG29" s="226" t="s">
        <v>78</v>
      </c>
      <c r="AH29" s="212" t="s">
        <v>68</v>
      </c>
      <c r="AI29" s="10" t="s">
        <v>1253</v>
      </c>
      <c r="AJ29" s="10" t="s">
        <v>69</v>
      </c>
      <c r="AK29" s="191" t="s">
        <v>896</v>
      </c>
      <c r="AL29" s="22" t="s">
        <v>896</v>
      </c>
      <c r="AM29" s="191" t="s">
        <v>69</v>
      </c>
      <c r="AN29" s="10" t="s">
        <v>1254</v>
      </c>
      <c r="AO29" s="33" t="s">
        <v>1255</v>
      </c>
      <c r="AP29" s="22" t="s">
        <v>1256</v>
      </c>
      <c r="AQ29" s="10" t="s">
        <v>1257</v>
      </c>
      <c r="AR29" s="22" t="s">
        <v>991</v>
      </c>
      <c r="AS29" s="256"/>
      <c r="AT29" s="194" t="s">
        <v>825</v>
      </c>
      <c r="AU29" s="61" t="s">
        <v>1043</v>
      </c>
      <c r="AV29" s="28" t="s">
        <v>850</v>
      </c>
      <c r="AW29" s="22" t="s">
        <v>28</v>
      </c>
      <c r="AX29" s="28" t="s">
        <v>1258</v>
      </c>
      <c r="AY29" s="21" t="s">
        <v>75</v>
      </c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  <c r="CA29" s="215"/>
      <c r="CB29" s="215"/>
      <c r="CC29" s="215"/>
      <c r="CD29" s="215"/>
      <c r="CE29" s="215"/>
      <c r="CF29" s="215"/>
      <c r="CG29" s="215"/>
      <c r="CH29" s="215"/>
      <c r="CI29" s="215"/>
      <c r="CJ29" s="215"/>
      <c r="CK29" s="215"/>
      <c r="CL29" s="215"/>
      <c r="CM29" s="215"/>
      <c r="CN29" s="215"/>
      <c r="CO29" s="215"/>
      <c r="CP29" s="215"/>
      <c r="CQ29" s="215"/>
      <c r="CR29" s="215"/>
      <c r="CS29" s="215"/>
      <c r="CT29" s="215"/>
      <c r="CU29" s="215"/>
      <c r="CV29" s="215"/>
      <c r="CW29" s="215"/>
      <c r="CX29" s="215"/>
      <c r="CY29" s="215"/>
      <c r="CZ29" s="215"/>
      <c r="DA29" s="215"/>
      <c r="DB29" s="215"/>
      <c r="DC29" s="215"/>
      <c r="DD29" s="215"/>
    </row>
    <row r="30">
      <c r="A30" s="153" t="s">
        <v>923</v>
      </c>
      <c r="B30" s="185" t="s">
        <v>132</v>
      </c>
      <c r="C30" s="136" t="s">
        <v>1151</v>
      </c>
      <c r="D30" s="136" t="s">
        <v>327</v>
      </c>
      <c r="E30" s="136" t="s">
        <v>607</v>
      </c>
      <c r="F30" s="172"/>
      <c r="G30" s="136" t="s">
        <v>329</v>
      </c>
      <c r="H30" s="136" t="s">
        <v>1259</v>
      </c>
      <c r="I30" s="185" t="s">
        <v>1260</v>
      </c>
      <c r="J30" s="136" t="s">
        <v>878</v>
      </c>
      <c r="K30" s="136" t="s">
        <v>1116</v>
      </c>
      <c r="L30" s="136" t="s">
        <v>982</v>
      </c>
      <c r="M30" s="136" t="s">
        <v>1083</v>
      </c>
      <c r="N30" s="136" t="s">
        <v>896</v>
      </c>
      <c r="O30" s="136" t="s">
        <v>199</v>
      </c>
      <c r="P30" s="136" t="s">
        <v>734</v>
      </c>
      <c r="Q30" s="259" t="s">
        <v>1261</v>
      </c>
      <c r="R30" s="135" t="s">
        <v>57</v>
      </c>
      <c r="S30" s="48"/>
      <c r="T30" s="189" t="s">
        <v>738</v>
      </c>
      <c r="U30" s="188" t="s">
        <v>268</v>
      </c>
      <c r="V30" s="150" t="s">
        <v>164</v>
      </c>
      <c r="W30" s="166" t="s">
        <v>199</v>
      </c>
      <c r="X30" s="260" t="s">
        <v>862</v>
      </c>
      <c r="Y30" s="150" t="s">
        <v>304</v>
      </c>
      <c r="Z30" s="191" t="s">
        <v>494</v>
      </c>
      <c r="AA30" s="191" t="s">
        <v>782</v>
      </c>
      <c r="AB30" s="61" t="s">
        <v>866</v>
      </c>
      <c r="AC30" s="202" t="s">
        <v>345</v>
      </c>
      <c r="AD30" s="202" t="s">
        <v>191</v>
      </c>
      <c r="AE30" s="202" t="s">
        <v>96</v>
      </c>
      <c r="AF30" s="253"/>
      <c r="AG30" s="226" t="s">
        <v>1262</v>
      </c>
      <c r="AH30" s="192" t="s">
        <v>182</v>
      </c>
      <c r="AI30" s="10" t="s">
        <v>78</v>
      </c>
      <c r="AJ30" s="194" t="s">
        <v>174</v>
      </c>
      <c r="AK30" s="61" t="s">
        <v>91</v>
      </c>
      <c r="AL30" s="56" t="s">
        <v>942</v>
      </c>
      <c r="AM30" s="61" t="s">
        <v>90</v>
      </c>
      <c r="AN30" s="16" t="s">
        <v>1263</v>
      </c>
      <c r="AO30" s="33" t="s">
        <v>1264</v>
      </c>
      <c r="AP30" s="10" t="s">
        <v>96</v>
      </c>
      <c r="AQ30" s="10" t="s">
        <v>1265</v>
      </c>
      <c r="AR30" s="28" t="s">
        <v>1266</v>
      </c>
      <c r="AS30" s="253"/>
      <c r="AT30" s="194" t="s">
        <v>1267</v>
      </c>
      <c r="AU30" s="61" t="s">
        <v>1268</v>
      </c>
      <c r="AV30" s="11" t="s">
        <v>126</v>
      </c>
      <c r="AW30" s="28" t="s">
        <v>57</v>
      </c>
      <c r="AX30" s="22" t="s">
        <v>1269</v>
      </c>
      <c r="AY30" s="21" t="s">
        <v>1270</v>
      </c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</row>
    <row r="31">
      <c r="A31" s="150" t="s">
        <v>1271</v>
      </c>
      <c r="B31" s="185" t="s">
        <v>319</v>
      </c>
      <c r="C31" s="136" t="s">
        <v>1272</v>
      </c>
      <c r="D31" s="136" t="s">
        <v>1273</v>
      </c>
      <c r="E31" s="136" t="s">
        <v>1274</v>
      </c>
      <c r="F31" s="172"/>
      <c r="G31" s="136" t="s">
        <v>1136</v>
      </c>
      <c r="H31" s="136" t="s">
        <v>982</v>
      </c>
      <c r="I31" s="136" t="s">
        <v>1275</v>
      </c>
      <c r="J31" s="136" t="s">
        <v>777</v>
      </c>
      <c r="K31" s="136" t="s">
        <v>245</v>
      </c>
      <c r="L31" s="136" t="s">
        <v>1276</v>
      </c>
      <c r="M31" s="136" t="s">
        <v>1277</v>
      </c>
      <c r="N31" s="136" t="s">
        <v>831</v>
      </c>
      <c r="O31" s="136" t="s">
        <v>1278</v>
      </c>
      <c r="P31" s="136" t="s">
        <v>1279</v>
      </c>
      <c r="Q31" s="142" t="s">
        <v>1280</v>
      </c>
      <c r="R31" s="189" t="s">
        <v>1281</v>
      </c>
      <c r="S31" s="48"/>
      <c r="T31" s="143" t="s">
        <v>268</v>
      </c>
      <c r="U31" s="189" t="s">
        <v>167</v>
      </c>
      <c r="V31" s="150" t="s">
        <v>525</v>
      </c>
      <c r="W31" s="242" t="s">
        <v>1282</v>
      </c>
      <c r="X31" s="150" t="s">
        <v>591</v>
      </c>
      <c r="Y31" s="160" t="s">
        <v>1160</v>
      </c>
      <c r="Z31" s="202" t="s">
        <v>305</v>
      </c>
      <c r="AA31" s="214" t="s">
        <v>953</v>
      </c>
      <c r="AB31" s="10" t="s">
        <v>40</v>
      </c>
      <c r="AC31" s="160" t="s">
        <v>1283</v>
      </c>
      <c r="AD31" s="61" t="s">
        <v>955</v>
      </c>
      <c r="AE31" s="166" t="s">
        <v>917</v>
      </c>
      <c r="AF31" s="225"/>
      <c r="AG31" s="226" t="s">
        <v>1284</v>
      </c>
      <c r="AH31" s="203" t="s">
        <v>166</v>
      </c>
      <c r="AI31" s="10" t="s">
        <v>1285</v>
      </c>
      <c r="AJ31" s="194" t="s">
        <v>70</v>
      </c>
      <c r="AK31" s="235" t="s">
        <v>1033</v>
      </c>
      <c r="AL31" s="16" t="s">
        <v>58</v>
      </c>
      <c r="AM31" s="192" t="s">
        <v>1286</v>
      </c>
      <c r="AN31" s="22" t="s">
        <v>1287</v>
      </c>
      <c r="AO31" s="33" t="s">
        <v>1288</v>
      </c>
      <c r="AP31" s="10" t="s">
        <v>1289</v>
      </c>
      <c r="AQ31" s="22" t="s">
        <v>1290</v>
      </c>
      <c r="AR31" s="56" t="s">
        <v>69</v>
      </c>
      <c r="AS31" s="225"/>
      <c r="AT31" s="56" t="s">
        <v>1291</v>
      </c>
      <c r="AU31" s="69" t="s">
        <v>1093</v>
      </c>
      <c r="AV31" s="11" t="s">
        <v>1078</v>
      </c>
      <c r="AW31" s="16" t="s">
        <v>825</v>
      </c>
      <c r="AX31" s="28" t="s">
        <v>1292</v>
      </c>
      <c r="AY31" s="8" t="s">
        <v>1293</v>
      </c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3"/>
      <c r="CG31" s="233"/>
      <c r="CH31" s="233"/>
      <c r="CI31" s="233"/>
      <c r="CJ31" s="233"/>
      <c r="CK31" s="233"/>
      <c r="CL31" s="233"/>
      <c r="CM31" s="233"/>
      <c r="CN31" s="233"/>
      <c r="CO31" s="233"/>
      <c r="CP31" s="233"/>
      <c r="CQ31" s="233"/>
      <c r="CR31" s="233"/>
      <c r="CS31" s="233"/>
      <c r="CT31" s="233"/>
      <c r="CU31" s="233"/>
      <c r="CV31" s="233"/>
      <c r="CW31" s="233"/>
      <c r="CX31" s="233"/>
      <c r="CY31" s="233"/>
      <c r="CZ31" s="233"/>
      <c r="DA31" s="233"/>
      <c r="DB31" s="233"/>
      <c r="DC31" s="233"/>
      <c r="DD31" s="233"/>
    </row>
    <row r="32">
      <c r="A32" s="153" t="s">
        <v>1216</v>
      </c>
      <c r="B32" s="185" t="s">
        <v>925</v>
      </c>
      <c r="C32" s="136" t="s">
        <v>229</v>
      </c>
      <c r="D32" s="136" t="s">
        <v>322</v>
      </c>
      <c r="E32" s="136" t="s">
        <v>907</v>
      </c>
      <c r="F32" s="172"/>
      <c r="G32" s="136" t="s">
        <v>1294</v>
      </c>
      <c r="H32" s="136" t="s">
        <v>275</v>
      </c>
      <c r="I32" s="136" t="s">
        <v>1295</v>
      </c>
      <c r="J32" s="136" t="s">
        <v>120</v>
      </c>
      <c r="K32" s="136" t="s">
        <v>1296</v>
      </c>
      <c r="L32" s="136" t="s">
        <v>807</v>
      </c>
      <c r="M32" s="136" t="s">
        <v>1206</v>
      </c>
      <c r="N32" s="136" t="s">
        <v>1297</v>
      </c>
      <c r="O32" s="136" t="s">
        <v>754</v>
      </c>
      <c r="P32" s="136" t="s">
        <v>887</v>
      </c>
      <c r="Q32" s="164" t="s">
        <v>633</v>
      </c>
      <c r="R32" s="189" t="s">
        <v>598</v>
      </c>
      <c r="S32" s="48"/>
      <c r="T32" s="135" t="s">
        <v>912</v>
      </c>
      <c r="U32" s="208" t="s">
        <v>633</v>
      </c>
      <c r="V32" s="207" t="s">
        <v>913</v>
      </c>
      <c r="W32" s="166" t="s">
        <v>1298</v>
      </c>
      <c r="X32" s="150" t="s">
        <v>934</v>
      </c>
      <c r="Y32" s="150" t="s">
        <v>866</v>
      </c>
      <c r="Z32" s="61" t="s">
        <v>866</v>
      </c>
      <c r="AA32" s="217" t="s">
        <v>169</v>
      </c>
      <c r="AB32" s="164" t="s">
        <v>140</v>
      </c>
      <c r="AC32" s="232" t="s">
        <v>865</v>
      </c>
      <c r="AD32" s="61" t="s">
        <v>1299</v>
      </c>
      <c r="AE32" s="10" t="s">
        <v>1300</v>
      </c>
      <c r="AF32" s="250"/>
      <c r="AG32" s="226" t="s">
        <v>1252</v>
      </c>
      <c r="AH32" s="203" t="s">
        <v>70</v>
      </c>
      <c r="AI32" s="194" t="s">
        <v>1301</v>
      </c>
      <c r="AJ32" s="194" t="s">
        <v>1302</v>
      </c>
      <c r="AK32" s="192" t="s">
        <v>892</v>
      </c>
      <c r="AL32" s="22" t="s">
        <v>843</v>
      </c>
      <c r="AM32" s="192" t="s">
        <v>973</v>
      </c>
      <c r="AN32" s="16" t="s">
        <v>791</v>
      </c>
      <c r="AO32" s="33" t="s">
        <v>1303</v>
      </c>
      <c r="AP32" s="10" t="s">
        <v>1304</v>
      </c>
      <c r="AQ32" s="10" t="s">
        <v>1305</v>
      </c>
      <c r="AR32" s="22" t="s">
        <v>1306</v>
      </c>
      <c r="AS32" s="250"/>
      <c r="AT32" s="22" t="s">
        <v>1307</v>
      </c>
      <c r="AU32" s="69" t="s">
        <v>1308</v>
      </c>
      <c r="AV32" s="56" t="s">
        <v>771</v>
      </c>
      <c r="AW32" s="56" t="s">
        <v>749</v>
      </c>
      <c r="AX32" s="56" t="s">
        <v>23</v>
      </c>
      <c r="AY32" s="22" t="s">
        <v>824</v>
      </c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U32" s="95"/>
      <c r="BV32" s="95"/>
      <c r="BW32" s="95"/>
      <c r="BX32" s="95"/>
      <c r="BY32" s="95"/>
      <c r="BZ32" s="95"/>
      <c r="CA32" s="95"/>
      <c r="CB32" s="95"/>
      <c r="CC32" s="95"/>
      <c r="CD32" s="95"/>
      <c r="CE32" s="95"/>
      <c r="CF32" s="95"/>
      <c r="CG32" s="95"/>
      <c r="CH32" s="95"/>
      <c r="CI32" s="95"/>
      <c r="CJ32" s="95"/>
      <c r="CK32" s="95"/>
      <c r="CL32" s="95"/>
      <c r="CM32" s="95"/>
      <c r="CN32" s="95"/>
      <c r="CO32" s="95"/>
      <c r="CP32" s="95"/>
      <c r="CQ32" s="95"/>
      <c r="CR32" s="95"/>
      <c r="CS32" s="95"/>
      <c r="CT32" s="95"/>
      <c r="CU32" s="95"/>
      <c r="CV32" s="95"/>
      <c r="CW32" s="95"/>
      <c r="CX32" s="95"/>
      <c r="CY32" s="95"/>
      <c r="CZ32" s="95"/>
      <c r="DA32" s="95"/>
      <c r="DB32" s="95"/>
      <c r="DC32" s="95"/>
      <c r="DD32" s="95"/>
    </row>
    <row r="33">
      <c r="A33" s="153" t="s">
        <v>120</v>
      </c>
      <c r="B33" s="136" t="s">
        <v>1152</v>
      </c>
      <c r="C33" s="136" t="s">
        <v>294</v>
      </c>
      <c r="D33" s="185" t="s">
        <v>1309</v>
      </c>
      <c r="E33" s="136" t="s">
        <v>963</v>
      </c>
      <c r="F33" s="172"/>
      <c r="G33" s="136" t="s">
        <v>17</v>
      </c>
      <c r="H33" s="136" t="s">
        <v>809</v>
      </c>
      <c r="I33" s="136" t="s">
        <v>238</v>
      </c>
      <c r="J33" s="136" t="s">
        <v>805</v>
      </c>
      <c r="K33" s="136" t="s">
        <v>199</v>
      </c>
      <c r="L33" s="136" t="s">
        <v>734</v>
      </c>
      <c r="M33" s="136" t="s">
        <v>322</v>
      </c>
      <c r="N33" s="136" t="s">
        <v>1310</v>
      </c>
      <c r="O33" s="136" t="s">
        <v>1311</v>
      </c>
      <c r="P33" s="136" t="s">
        <v>1312</v>
      </c>
      <c r="Q33" s="164" t="s">
        <v>1101</v>
      </c>
      <c r="R33" s="135" t="s">
        <v>982</v>
      </c>
      <c r="S33" s="48"/>
      <c r="T33" s="206" t="s">
        <v>1313</v>
      </c>
      <c r="U33" s="189" t="s">
        <v>982</v>
      </c>
      <c r="V33" s="197" t="s">
        <v>761</v>
      </c>
      <c r="W33" s="166" t="s">
        <v>120</v>
      </c>
      <c r="X33" s="244" t="s">
        <v>1314</v>
      </c>
      <c r="Y33" s="261" t="s">
        <v>838</v>
      </c>
      <c r="Z33" s="194" t="s">
        <v>887</v>
      </c>
      <c r="AA33" s="61" t="s">
        <v>201</v>
      </c>
      <c r="AB33" s="238" t="s">
        <v>1069</v>
      </c>
      <c r="AC33" s="191" t="s">
        <v>1069</v>
      </c>
      <c r="AD33" s="191" t="s">
        <v>870</v>
      </c>
      <c r="AE33" s="189" t="s">
        <v>182</v>
      </c>
      <c r="AF33" s="225"/>
      <c r="AG33" s="226" t="s">
        <v>1315</v>
      </c>
      <c r="AH33" s="192" t="s">
        <v>918</v>
      </c>
      <c r="AI33" s="194" t="s">
        <v>1316</v>
      </c>
      <c r="AJ33" s="194" t="s">
        <v>1200</v>
      </c>
      <c r="AK33" s="235" t="s">
        <v>137</v>
      </c>
      <c r="AL33" s="192" t="s">
        <v>1317</v>
      </c>
      <c r="AM33" s="193" t="s">
        <v>1318</v>
      </c>
      <c r="AN33" s="10" t="s">
        <v>1010</v>
      </c>
      <c r="AO33" s="33" t="s">
        <v>1319</v>
      </c>
      <c r="AP33" s="10" t="s">
        <v>975</v>
      </c>
      <c r="AQ33" s="10" t="s">
        <v>20</v>
      </c>
      <c r="AR33" s="10" t="s">
        <v>1320</v>
      </c>
      <c r="AS33" s="225"/>
      <c r="AT33" s="56" t="s">
        <v>1321</v>
      </c>
      <c r="AU33" s="69" t="s">
        <v>1291</v>
      </c>
      <c r="AV33" s="16" t="s">
        <v>796</v>
      </c>
      <c r="AW33" s="28" t="s">
        <v>1322</v>
      </c>
      <c r="AX33" s="16" t="s">
        <v>34</v>
      </c>
      <c r="AY33" s="21" t="s">
        <v>23</v>
      </c>
      <c r="AZ33" s="228"/>
      <c r="BA33" s="228"/>
      <c r="BB33" s="228"/>
      <c r="BC33" s="228"/>
      <c r="BD33" s="228"/>
      <c r="BE33" s="228"/>
      <c r="BF33" s="228"/>
      <c r="BG33" s="228"/>
      <c r="BH33" s="228"/>
      <c r="BI33" s="228"/>
      <c r="BJ33" s="228"/>
      <c r="BK33" s="228"/>
      <c r="BL33" s="228"/>
      <c r="BM33" s="228"/>
      <c r="BN33" s="228"/>
      <c r="BO33" s="228"/>
      <c r="BP33" s="228"/>
      <c r="BQ33" s="228"/>
      <c r="BR33" s="228"/>
      <c r="BS33" s="228"/>
      <c r="BT33" s="228"/>
      <c r="BU33" s="228"/>
      <c r="BV33" s="228"/>
      <c r="BW33" s="228"/>
      <c r="BX33" s="228"/>
      <c r="BY33" s="228"/>
      <c r="BZ33" s="228"/>
      <c r="CA33" s="228"/>
      <c r="CB33" s="228"/>
      <c r="CC33" s="228"/>
      <c r="CD33" s="228"/>
      <c r="CE33" s="228"/>
      <c r="CF33" s="228"/>
      <c r="CG33" s="228"/>
      <c r="CH33" s="228"/>
      <c r="CI33" s="228"/>
      <c r="CJ33" s="228"/>
      <c r="CK33" s="228"/>
      <c r="CL33" s="228"/>
      <c r="CM33" s="228"/>
      <c r="CN33" s="228"/>
      <c r="CO33" s="228"/>
      <c r="CP33" s="228"/>
      <c r="CQ33" s="228"/>
      <c r="CR33" s="228"/>
      <c r="CS33" s="228"/>
      <c r="CT33" s="228"/>
      <c r="CU33" s="228"/>
      <c r="CV33" s="228"/>
      <c r="CW33" s="228"/>
      <c r="CX33" s="228"/>
      <c r="CY33" s="228"/>
      <c r="CZ33" s="228"/>
      <c r="DA33" s="228"/>
      <c r="DB33" s="228"/>
      <c r="DC33" s="228"/>
      <c r="DD33" s="228"/>
    </row>
    <row r="34">
      <c r="A34" s="153" t="s">
        <v>1215</v>
      </c>
      <c r="B34" s="136" t="s">
        <v>229</v>
      </c>
      <c r="C34" s="136" t="s">
        <v>1323</v>
      </c>
      <c r="D34" s="196" t="s">
        <v>311</v>
      </c>
      <c r="E34" s="136" t="s">
        <v>980</v>
      </c>
      <c r="F34" s="172"/>
      <c r="G34" s="136" t="s">
        <v>330</v>
      </c>
      <c r="H34" s="136" t="s">
        <v>1324</v>
      </c>
      <c r="I34" s="136" t="s">
        <v>1205</v>
      </c>
      <c r="J34" s="136" t="s">
        <v>1325</v>
      </c>
      <c r="K34" s="136" t="s">
        <v>322</v>
      </c>
      <c r="L34" s="136" t="s">
        <v>182</v>
      </c>
      <c r="M34" s="136" t="s">
        <v>1326</v>
      </c>
      <c r="N34" s="136" t="s">
        <v>1327</v>
      </c>
      <c r="O34" s="136" t="s">
        <v>1328</v>
      </c>
      <c r="P34" s="136" t="s">
        <v>1101</v>
      </c>
      <c r="Q34" s="164" t="s">
        <v>167</v>
      </c>
      <c r="R34" s="189" t="s">
        <v>1329</v>
      </c>
      <c r="S34" s="241"/>
      <c r="T34" s="206" t="s">
        <v>840</v>
      </c>
      <c r="U34" s="135" t="s">
        <v>933</v>
      </c>
      <c r="V34" s="207" t="s">
        <v>349</v>
      </c>
      <c r="W34" s="61" t="s">
        <v>1102</v>
      </c>
      <c r="X34" s="244" t="s">
        <v>96</v>
      </c>
      <c r="Y34" s="61" t="s">
        <v>134</v>
      </c>
      <c r="Z34" s="164" t="s">
        <v>591</v>
      </c>
      <c r="AA34" s="61" t="s">
        <v>299</v>
      </c>
      <c r="AB34" s="61" t="s">
        <v>345</v>
      </c>
      <c r="AC34" s="10" t="s">
        <v>1330</v>
      </c>
      <c r="AD34" s="191" t="s">
        <v>917</v>
      </c>
      <c r="AE34" s="218"/>
      <c r="AF34" s="229"/>
      <c r="AG34" s="226" t="s">
        <v>870</v>
      </c>
      <c r="AH34" s="212" t="s">
        <v>1071</v>
      </c>
      <c r="AI34" s="16" t="s">
        <v>20</v>
      </c>
      <c r="AJ34" s="16" t="s">
        <v>20</v>
      </c>
      <c r="AK34" s="192" t="s">
        <v>1331</v>
      </c>
      <c r="AL34" s="192" t="s">
        <v>1332</v>
      </c>
      <c r="AM34" s="16" t="s">
        <v>1333</v>
      </c>
      <c r="AN34" s="10" t="s">
        <v>1200</v>
      </c>
      <c r="AO34" s="262" t="s">
        <v>1334</v>
      </c>
      <c r="AP34" s="10" t="s">
        <v>118</v>
      </c>
      <c r="AQ34" s="10" t="s">
        <v>1146</v>
      </c>
      <c r="AR34" s="10" t="s">
        <v>1335</v>
      </c>
      <c r="AS34" s="229"/>
      <c r="AT34" s="194" t="s">
        <v>1336</v>
      </c>
      <c r="AU34" s="69" t="s">
        <v>771</v>
      </c>
      <c r="AV34" s="16" t="s">
        <v>1093</v>
      </c>
      <c r="AW34" s="22" t="s">
        <v>126</v>
      </c>
      <c r="AX34" s="16" t="s">
        <v>1337</v>
      </c>
      <c r="AY34" s="21" t="s">
        <v>34</v>
      </c>
      <c r="AZ34" s="231"/>
      <c r="BA34" s="231"/>
      <c r="BB34" s="231"/>
      <c r="BC34" s="231"/>
      <c r="BD34" s="231"/>
      <c r="BE34" s="231"/>
      <c r="BF34" s="231"/>
      <c r="BG34" s="231"/>
      <c r="BH34" s="231"/>
      <c r="BI34" s="231"/>
      <c r="BJ34" s="231"/>
      <c r="BK34" s="231"/>
      <c r="BL34" s="231"/>
      <c r="BM34" s="231"/>
      <c r="BN34" s="231"/>
      <c r="BO34" s="231"/>
      <c r="BP34" s="231"/>
      <c r="BQ34" s="231"/>
      <c r="BR34" s="231"/>
      <c r="BS34" s="231"/>
      <c r="BT34" s="231"/>
      <c r="BU34" s="231"/>
      <c r="BV34" s="231"/>
      <c r="BW34" s="231"/>
      <c r="BX34" s="231"/>
      <c r="BY34" s="231"/>
      <c r="BZ34" s="231"/>
      <c r="CA34" s="231"/>
      <c r="CB34" s="231"/>
      <c r="CC34" s="231"/>
      <c r="CD34" s="231"/>
      <c r="CE34" s="231"/>
      <c r="CF34" s="231"/>
      <c r="CG34" s="231"/>
      <c r="CH34" s="231"/>
      <c r="CI34" s="231"/>
      <c r="CJ34" s="231"/>
      <c r="CK34" s="231"/>
      <c r="CL34" s="231"/>
      <c r="CM34" s="231"/>
      <c r="CN34" s="231"/>
      <c r="CO34" s="231"/>
      <c r="CP34" s="231"/>
      <c r="CQ34" s="231"/>
      <c r="CR34" s="231"/>
      <c r="CS34" s="231"/>
      <c r="CT34" s="231"/>
      <c r="CU34" s="231"/>
      <c r="CV34" s="231"/>
      <c r="CW34" s="231"/>
      <c r="CX34" s="231"/>
      <c r="CY34" s="231"/>
      <c r="CZ34" s="231"/>
      <c r="DA34" s="231"/>
      <c r="DB34" s="231"/>
      <c r="DC34" s="231"/>
      <c r="DD34" s="231"/>
    </row>
    <row r="35">
      <c r="A35" s="150" t="s">
        <v>607</v>
      </c>
      <c r="B35" s="185" t="s">
        <v>294</v>
      </c>
      <c r="C35" s="136" t="s">
        <v>1245</v>
      </c>
      <c r="D35" s="136" t="s">
        <v>773</v>
      </c>
      <c r="E35" s="136" t="s">
        <v>998</v>
      </c>
      <c r="F35" s="172"/>
      <c r="G35" s="136" t="s">
        <v>307</v>
      </c>
      <c r="H35" s="136" t="s">
        <v>322</v>
      </c>
      <c r="I35" s="136" t="s">
        <v>120</v>
      </c>
      <c r="J35" s="136" t="s">
        <v>1297</v>
      </c>
      <c r="K35" s="136" t="s">
        <v>232</v>
      </c>
      <c r="L35" s="136" t="s">
        <v>1338</v>
      </c>
      <c r="M35" s="136" t="s">
        <v>987</v>
      </c>
      <c r="N35" s="136" t="s">
        <v>1327</v>
      </c>
      <c r="O35" s="136" t="s">
        <v>624</v>
      </c>
      <c r="P35" s="136" t="s">
        <v>498</v>
      </c>
      <c r="Q35" s="164" t="s">
        <v>783</v>
      </c>
      <c r="R35" s="206" t="s">
        <v>623</v>
      </c>
      <c r="S35" s="48"/>
      <c r="T35" s="263" t="s">
        <v>1339</v>
      </c>
      <c r="U35" s="206" t="s">
        <v>738</v>
      </c>
      <c r="V35" s="190" t="s">
        <v>789</v>
      </c>
      <c r="W35" s="150" t="s">
        <v>1340</v>
      </c>
      <c r="X35" s="153" t="s">
        <v>548</v>
      </c>
      <c r="Y35" s="160" t="s">
        <v>301</v>
      </c>
      <c r="Z35" s="10" t="s">
        <v>918</v>
      </c>
      <c r="AA35" s="164" t="s">
        <v>487</v>
      </c>
      <c r="AB35" s="202" t="s">
        <v>268</v>
      </c>
      <c r="AC35" s="164" t="s">
        <v>937</v>
      </c>
      <c r="AD35" s="189" t="s">
        <v>1341</v>
      </c>
      <c r="AE35" s="166" t="s">
        <v>841</v>
      </c>
      <c r="AF35" s="225"/>
      <c r="AG35" s="203" t="s">
        <v>813</v>
      </c>
      <c r="AH35" s="192" t="s">
        <v>1106</v>
      </c>
      <c r="AI35" s="10" t="s">
        <v>191</v>
      </c>
      <c r="AJ35" s="223" t="s">
        <v>1342</v>
      </c>
      <c r="AK35" s="194" t="s">
        <v>765</v>
      </c>
      <c r="AL35" s="192" t="s">
        <v>1343</v>
      </c>
      <c r="AM35" s="43" t="s">
        <v>844</v>
      </c>
      <c r="AN35" s="10" t="s">
        <v>267</v>
      </c>
      <c r="AO35" s="262" t="s">
        <v>96</v>
      </c>
      <c r="AP35" s="10" t="s">
        <v>40</v>
      </c>
      <c r="AQ35" s="22" t="s">
        <v>1344</v>
      </c>
      <c r="AR35" s="235" t="s">
        <v>1091</v>
      </c>
      <c r="AS35" s="225"/>
      <c r="AT35" s="194" t="s">
        <v>1345</v>
      </c>
      <c r="AU35" s="69" t="s">
        <v>746</v>
      </c>
      <c r="AV35" s="22" t="s">
        <v>1110</v>
      </c>
      <c r="AW35" s="28" t="s">
        <v>874</v>
      </c>
      <c r="AX35" s="16" t="s">
        <v>1346</v>
      </c>
      <c r="AY35" s="35" t="s">
        <v>36</v>
      </c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  <c r="CB35" s="233"/>
      <c r="CC35" s="233"/>
      <c r="CD35" s="233"/>
      <c r="CE35" s="233"/>
      <c r="CF35" s="233"/>
      <c r="CG35" s="233"/>
      <c r="CH35" s="233"/>
      <c r="CI35" s="233"/>
      <c r="CJ35" s="233"/>
      <c r="CK35" s="233"/>
      <c r="CL35" s="233"/>
      <c r="CM35" s="233"/>
      <c r="CN35" s="233"/>
      <c r="CO35" s="233"/>
      <c r="CP35" s="233"/>
      <c r="CQ35" s="233"/>
      <c r="CR35" s="233"/>
      <c r="CS35" s="233"/>
      <c r="CT35" s="233"/>
      <c r="CU35" s="233"/>
      <c r="CV35" s="233"/>
      <c r="CW35" s="233"/>
      <c r="CX35" s="233"/>
      <c r="CY35" s="233"/>
      <c r="CZ35" s="233"/>
      <c r="DA35" s="233"/>
      <c r="DB35" s="233"/>
      <c r="DC35" s="233"/>
      <c r="DD35" s="233"/>
    </row>
    <row r="36">
      <c r="A36" s="153" t="s">
        <v>303</v>
      </c>
      <c r="B36" s="136" t="s">
        <v>923</v>
      </c>
      <c r="C36" s="185" t="s">
        <v>345</v>
      </c>
      <c r="D36" s="136" t="s">
        <v>1154</v>
      </c>
      <c r="E36" s="136" t="s">
        <v>1021</v>
      </c>
      <c r="F36" s="172"/>
      <c r="G36" s="136" t="s">
        <v>1347</v>
      </c>
      <c r="H36" s="136" t="s">
        <v>754</v>
      </c>
      <c r="I36" s="136" t="s">
        <v>96</v>
      </c>
      <c r="J36" s="136" t="s">
        <v>268</v>
      </c>
      <c r="K36" s="136" t="s">
        <v>1348</v>
      </c>
      <c r="L36" s="136" t="s">
        <v>58</v>
      </c>
      <c r="M36" s="136" t="s">
        <v>1349</v>
      </c>
      <c r="N36" s="136" t="s">
        <v>623</v>
      </c>
      <c r="O36" s="136" t="s">
        <v>982</v>
      </c>
      <c r="P36" s="136" t="s">
        <v>779</v>
      </c>
      <c r="Q36" s="143" t="s">
        <v>322</v>
      </c>
      <c r="R36" s="205" t="s">
        <v>124</v>
      </c>
      <c r="S36" s="48"/>
      <c r="T36" s="150" t="s">
        <v>134</v>
      </c>
      <c r="U36" s="189" t="s">
        <v>199</v>
      </c>
      <c r="V36" s="189" t="s">
        <v>1208</v>
      </c>
      <c r="W36" s="160" t="s">
        <v>1350</v>
      </c>
      <c r="X36" s="150" t="s">
        <v>305</v>
      </c>
      <c r="Y36" s="150" t="s">
        <v>130</v>
      </c>
      <c r="Z36" s="10" t="s">
        <v>840</v>
      </c>
      <c r="AA36" s="164" t="s">
        <v>335</v>
      </c>
      <c r="AB36" s="61" t="s">
        <v>865</v>
      </c>
      <c r="AC36" s="164" t="s">
        <v>174</v>
      </c>
      <c r="AD36" s="149" t="s">
        <v>813</v>
      </c>
      <c r="AE36" s="191" t="s">
        <v>512</v>
      </c>
      <c r="AF36" s="256"/>
      <c r="AG36" s="202" t="s">
        <v>90</v>
      </c>
      <c r="AH36" s="212" t="s">
        <v>130</v>
      </c>
      <c r="AI36" s="16" t="s">
        <v>1181</v>
      </c>
      <c r="AJ36" s="194" t="s">
        <v>78</v>
      </c>
      <c r="AK36" s="22" t="s">
        <v>740</v>
      </c>
      <c r="AL36" s="191" t="s">
        <v>818</v>
      </c>
      <c r="AM36" s="59" t="s">
        <v>43</v>
      </c>
      <c r="AN36" s="194" t="s">
        <v>1351</v>
      </c>
      <c r="AO36" s="10" t="s">
        <v>118</v>
      </c>
      <c r="AP36" s="10" t="s">
        <v>1352</v>
      </c>
      <c r="AQ36" s="22" t="s">
        <v>1091</v>
      </c>
      <c r="AR36" s="13" t="s">
        <v>1353</v>
      </c>
      <c r="AS36" s="256"/>
      <c r="AT36" s="194" t="s">
        <v>1076</v>
      </c>
      <c r="AU36" s="61" t="s">
        <v>824</v>
      </c>
      <c r="AV36" s="56" t="s">
        <v>91</v>
      </c>
      <c r="AW36" s="264" t="s">
        <v>1014</v>
      </c>
      <c r="AX36" s="56" t="s">
        <v>1354</v>
      </c>
      <c r="AY36" s="9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</row>
    <row r="37">
      <c r="A37" s="153" t="s">
        <v>1355</v>
      </c>
      <c r="B37" s="136" t="s">
        <v>773</v>
      </c>
      <c r="C37" s="136" t="s">
        <v>730</v>
      </c>
      <c r="D37" s="136" t="s">
        <v>330</v>
      </c>
      <c r="E37" s="136" t="s">
        <v>776</v>
      </c>
      <c r="F37" s="172"/>
      <c r="G37" s="136" t="s">
        <v>1356</v>
      </c>
      <c r="H37" s="136" t="s">
        <v>1357</v>
      </c>
      <c r="I37" s="136" t="s">
        <v>624</v>
      </c>
      <c r="J37" s="136" t="s">
        <v>1261</v>
      </c>
      <c r="K37" s="136" t="s">
        <v>182</v>
      </c>
      <c r="L37" s="136" t="s">
        <v>1358</v>
      </c>
      <c r="M37" s="136" t="s">
        <v>1359</v>
      </c>
      <c r="N37" s="136" t="s">
        <v>1263</v>
      </c>
      <c r="O37" s="136" t="s">
        <v>58</v>
      </c>
      <c r="P37" s="136" t="s">
        <v>1360</v>
      </c>
      <c r="Q37" s="164" t="s">
        <v>199</v>
      </c>
      <c r="R37" s="165" t="s">
        <v>912</v>
      </c>
      <c r="S37" s="48"/>
      <c r="T37" s="150" t="s">
        <v>163</v>
      </c>
      <c r="U37" s="188" t="s">
        <v>1361</v>
      </c>
      <c r="V37" s="217" t="s">
        <v>495</v>
      </c>
      <c r="W37" s="153" t="s">
        <v>1362</v>
      </c>
      <c r="X37" s="153" t="s">
        <v>951</v>
      </c>
      <c r="Y37" s="153" t="s">
        <v>546</v>
      </c>
      <c r="Z37" s="194" t="s">
        <v>1363</v>
      </c>
      <c r="AA37" s="224" t="s">
        <v>1031</v>
      </c>
      <c r="AB37" s="238" t="s">
        <v>346</v>
      </c>
      <c r="AC37" s="218" t="s">
        <v>487</v>
      </c>
      <c r="AD37" s="245" t="s">
        <v>814</v>
      </c>
      <c r="AE37" s="136" t="s">
        <v>1364</v>
      </c>
      <c r="AF37" s="256"/>
      <c r="AG37" s="202" t="s">
        <v>1365</v>
      </c>
      <c r="AH37" s="69" t="s">
        <v>782</v>
      </c>
      <c r="AI37" s="10" t="s">
        <v>68</v>
      </c>
      <c r="AJ37" s="13" t="s">
        <v>141</v>
      </c>
      <c r="AK37" s="10" t="s">
        <v>1366</v>
      </c>
      <c r="AL37" s="61" t="s">
        <v>1367</v>
      </c>
      <c r="AM37" s="10" t="s">
        <v>16</v>
      </c>
      <c r="AN37" s="22" t="s">
        <v>1368</v>
      </c>
      <c r="AO37" s="10" t="s">
        <v>1369</v>
      </c>
      <c r="AP37" s="191" t="s">
        <v>744</v>
      </c>
      <c r="AQ37" s="15" t="s">
        <v>1370</v>
      </c>
      <c r="AR37" s="22" t="s">
        <v>58</v>
      </c>
      <c r="AS37" s="256"/>
      <c r="AT37" s="194" t="s">
        <v>21</v>
      </c>
      <c r="AU37" s="61" t="s">
        <v>1371</v>
      </c>
      <c r="AV37" s="13"/>
      <c r="AW37" s="265" t="s">
        <v>2</v>
      </c>
      <c r="AX37" s="16" t="s">
        <v>1372</v>
      </c>
      <c r="AY37" s="9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</row>
    <row r="38">
      <c r="A38" s="153" t="s">
        <v>1373</v>
      </c>
      <c r="B38" s="185" t="s">
        <v>1374</v>
      </c>
      <c r="C38" s="136" t="s">
        <v>854</v>
      </c>
      <c r="D38" s="185" t="s">
        <v>828</v>
      </c>
      <c r="E38" s="136" t="s">
        <v>217</v>
      </c>
      <c r="F38" s="172"/>
      <c r="G38" s="136" t="s">
        <v>1375</v>
      </c>
      <c r="H38" s="136" t="s">
        <v>294</v>
      </c>
      <c r="I38" s="185" t="s">
        <v>982</v>
      </c>
      <c r="J38" s="136" t="s">
        <v>1376</v>
      </c>
      <c r="K38" s="136" t="s">
        <v>1377</v>
      </c>
      <c r="L38" s="136" t="s">
        <v>907</v>
      </c>
      <c r="M38" s="136" t="s">
        <v>750</v>
      </c>
      <c r="N38" s="136" t="s">
        <v>734</v>
      </c>
      <c r="O38" s="136" t="s">
        <v>345</v>
      </c>
      <c r="P38" s="136" t="s">
        <v>1026</v>
      </c>
      <c r="Q38" s="164" t="s">
        <v>268</v>
      </c>
      <c r="R38" s="205" t="s">
        <v>887</v>
      </c>
      <c r="S38" s="48"/>
      <c r="T38" s="150" t="s">
        <v>164</v>
      </c>
      <c r="U38" s="208" t="s">
        <v>761</v>
      </c>
      <c r="V38" s="219" t="s">
        <v>134</v>
      </c>
      <c r="W38" s="160" t="s">
        <v>454</v>
      </c>
      <c r="X38" s="189" t="s">
        <v>1126</v>
      </c>
      <c r="Y38" s="266" t="s">
        <v>762</v>
      </c>
      <c r="Z38" s="267" t="s">
        <v>988</v>
      </c>
      <c r="AA38" s="48"/>
      <c r="AB38" s="166" t="s">
        <v>134</v>
      </c>
      <c r="AC38" s="218" t="s">
        <v>335</v>
      </c>
      <c r="AD38" s="189" t="s">
        <v>182</v>
      </c>
      <c r="AE38" s="61" t="s">
        <v>174</v>
      </c>
      <c r="AF38" s="256"/>
      <c r="AG38" s="202" t="s">
        <v>65</v>
      </c>
      <c r="AH38" s="203" t="s">
        <v>14</v>
      </c>
      <c r="AI38" s="10" t="s">
        <v>69</v>
      </c>
      <c r="AJ38" s="13" t="s">
        <v>186</v>
      </c>
      <c r="AK38" s="194" t="s">
        <v>31</v>
      </c>
      <c r="AL38" s="191" t="s">
        <v>165</v>
      </c>
      <c r="AM38" s="10" t="s">
        <v>742</v>
      </c>
      <c r="AN38" s="10" t="s">
        <v>1378</v>
      </c>
      <c r="AO38" s="10" t="s">
        <v>141</v>
      </c>
      <c r="AP38" s="191" t="s">
        <v>1379</v>
      </c>
      <c r="AQ38" s="194" t="s">
        <v>1380</v>
      </c>
      <c r="AR38" s="10" t="s">
        <v>1381</v>
      </c>
      <c r="AS38" s="256"/>
      <c r="AT38" s="194" t="s">
        <v>1093</v>
      </c>
      <c r="AU38" s="66" t="s">
        <v>67</v>
      </c>
      <c r="AV38" s="13"/>
      <c r="AW38" s="56" t="s">
        <v>143</v>
      </c>
      <c r="AX38" s="13" t="s">
        <v>1382</v>
      </c>
      <c r="AY38" s="247" t="s">
        <v>1383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</row>
    <row r="39">
      <c r="A39" s="153" t="s">
        <v>1384</v>
      </c>
      <c r="B39" s="136" t="s">
        <v>879</v>
      </c>
      <c r="C39" s="136" t="s">
        <v>322</v>
      </c>
      <c r="D39" s="136" t="s">
        <v>132</v>
      </c>
      <c r="E39" s="136" t="s">
        <v>978</v>
      </c>
      <c r="F39" s="172"/>
      <c r="G39" s="136" t="s">
        <v>1082</v>
      </c>
      <c r="H39" s="136" t="s">
        <v>464</v>
      </c>
      <c r="I39" s="136" t="s">
        <v>750</v>
      </c>
      <c r="J39" s="136" t="s">
        <v>285</v>
      </c>
      <c r="K39" s="136" t="s">
        <v>475</v>
      </c>
      <c r="L39" s="136" t="s">
        <v>1385</v>
      </c>
      <c r="M39" s="136" t="s">
        <v>132</v>
      </c>
      <c r="N39" s="136" t="s">
        <v>786</v>
      </c>
      <c r="O39" s="136" t="s">
        <v>1386</v>
      </c>
      <c r="P39" s="136" t="s">
        <v>1297</v>
      </c>
      <c r="Q39" s="164" t="s">
        <v>754</v>
      </c>
      <c r="R39" s="189" t="s">
        <v>167</v>
      </c>
      <c r="S39" s="241"/>
      <c r="T39" s="150" t="s">
        <v>525</v>
      </c>
      <c r="U39" s="135" t="s">
        <v>840</v>
      </c>
      <c r="V39" s="150" t="s">
        <v>813</v>
      </c>
      <c r="W39" s="153" t="s">
        <v>1387</v>
      </c>
      <c r="X39" s="208" t="s">
        <v>40</v>
      </c>
      <c r="Y39" s="160" t="s">
        <v>302</v>
      </c>
      <c r="Z39" s="185" t="s">
        <v>51</v>
      </c>
      <c r="AA39" s="48"/>
      <c r="AB39" s="194" t="s">
        <v>191</v>
      </c>
      <c r="AC39" s="191" t="s">
        <v>512</v>
      </c>
      <c r="AD39" s="164" t="s">
        <v>790</v>
      </c>
      <c r="AE39" s="61" t="s">
        <v>890</v>
      </c>
      <c r="AF39" s="256"/>
      <c r="AG39" s="202" t="s">
        <v>91</v>
      </c>
      <c r="AH39" s="268" t="s">
        <v>120</v>
      </c>
      <c r="AI39" s="16" t="s">
        <v>87</v>
      </c>
      <c r="AJ39" s="235" t="s">
        <v>972</v>
      </c>
      <c r="AK39" s="10" t="s">
        <v>16</v>
      </c>
      <c r="AL39" s="191" t="s">
        <v>124</v>
      </c>
      <c r="AM39" s="36" t="s">
        <v>893</v>
      </c>
      <c r="AN39" s="16" t="s">
        <v>77</v>
      </c>
      <c r="AO39" s="22" t="s">
        <v>919</v>
      </c>
      <c r="AP39" s="191" t="s">
        <v>1388</v>
      </c>
      <c r="AQ39" s="10" t="s">
        <v>1389</v>
      </c>
      <c r="AR39" s="56" t="s">
        <v>1390</v>
      </c>
      <c r="AS39" s="256"/>
      <c r="AT39" s="223" t="s">
        <v>51</v>
      </c>
      <c r="AU39" s="61" t="s">
        <v>1391</v>
      </c>
      <c r="AV39" s="13"/>
      <c r="AW39" s="16" t="s">
        <v>128</v>
      </c>
      <c r="AX39" s="269" t="s">
        <v>7</v>
      </c>
      <c r="AY39" s="247" t="s">
        <v>1392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</row>
    <row r="40">
      <c r="A40" s="153" t="s">
        <v>311</v>
      </c>
      <c r="B40" s="136" t="s">
        <v>1019</v>
      </c>
      <c r="C40" s="185" t="s">
        <v>1190</v>
      </c>
      <c r="D40" s="136" t="s">
        <v>633</v>
      </c>
      <c r="E40" s="136" t="s">
        <v>1393</v>
      </c>
      <c r="F40" s="48"/>
      <c r="G40" s="270" t="s">
        <v>1250</v>
      </c>
      <c r="H40" s="136" t="s">
        <v>1394</v>
      </c>
      <c r="I40" s="136" t="s">
        <v>232</v>
      </c>
      <c r="J40" s="136" t="s">
        <v>1191</v>
      </c>
      <c r="K40" s="136" t="s">
        <v>311</v>
      </c>
      <c r="L40" s="136" t="s">
        <v>1395</v>
      </c>
      <c r="M40" s="136" t="s">
        <v>1396</v>
      </c>
      <c r="N40" s="136" t="s">
        <v>1397</v>
      </c>
      <c r="O40" s="136" t="s">
        <v>677</v>
      </c>
      <c r="P40" s="136" t="s">
        <v>624</v>
      </c>
      <c r="Q40" s="189" t="s">
        <v>624</v>
      </c>
      <c r="R40" s="135" t="s">
        <v>199</v>
      </c>
      <c r="S40" s="48"/>
      <c r="T40" s="153" t="s">
        <v>951</v>
      </c>
      <c r="U40" s="135" t="s">
        <v>782</v>
      </c>
      <c r="V40" s="244" t="s">
        <v>268</v>
      </c>
      <c r="W40" s="150" t="s">
        <v>913</v>
      </c>
      <c r="X40" s="211" t="s">
        <v>952</v>
      </c>
      <c r="Y40" s="222" t="s">
        <v>323</v>
      </c>
      <c r="Z40" s="61" t="s">
        <v>134</v>
      </c>
      <c r="AA40" s="48"/>
      <c r="AB40" s="194" t="s">
        <v>96</v>
      </c>
      <c r="AC40" s="191" t="s">
        <v>302</v>
      </c>
      <c r="AD40" s="166" t="s">
        <v>866</v>
      </c>
      <c r="AE40" s="218" t="s">
        <v>335</v>
      </c>
      <c r="AF40" s="229"/>
      <c r="AG40" s="203" t="s">
        <v>1398</v>
      </c>
      <c r="AH40" s="203" t="s">
        <v>191</v>
      </c>
      <c r="AI40" s="138" t="s">
        <v>1399</v>
      </c>
      <c r="AJ40" s="192" t="s">
        <v>128</v>
      </c>
      <c r="AK40" s="194" t="s">
        <v>512</v>
      </c>
      <c r="AL40" s="10" t="s">
        <v>31</v>
      </c>
      <c r="AM40" s="15" t="s">
        <v>1400</v>
      </c>
      <c r="AN40" s="10" t="s">
        <v>132</v>
      </c>
      <c r="AO40" s="10" t="s">
        <v>1088</v>
      </c>
      <c r="AP40" s="235" t="s">
        <v>893</v>
      </c>
      <c r="AQ40" s="191" t="s">
        <v>1107</v>
      </c>
      <c r="AR40" s="22" t="s">
        <v>1075</v>
      </c>
      <c r="AS40" s="229"/>
      <c r="AT40" s="56" t="s">
        <v>1401</v>
      </c>
      <c r="AU40" s="235" t="s">
        <v>1402</v>
      </c>
      <c r="AV40" s="167"/>
      <c r="AW40" s="56" t="s">
        <v>851</v>
      </c>
      <c r="AX40" s="69" t="s">
        <v>1403</v>
      </c>
      <c r="AY40" s="21" t="s">
        <v>1404</v>
      </c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  <c r="BW40" s="231"/>
      <c r="BX40" s="231"/>
      <c r="BY40" s="231"/>
      <c r="BZ40" s="231"/>
      <c r="CA40" s="231"/>
      <c r="CB40" s="231"/>
      <c r="CC40" s="231"/>
      <c r="CD40" s="231"/>
      <c r="CE40" s="231"/>
      <c r="CF40" s="231"/>
      <c r="CG40" s="231"/>
      <c r="CH40" s="231"/>
      <c r="CI40" s="231"/>
      <c r="CJ40" s="231"/>
      <c r="CK40" s="231"/>
      <c r="CL40" s="231"/>
      <c r="CM40" s="231"/>
      <c r="CN40" s="231"/>
      <c r="CO40" s="231"/>
      <c r="CP40" s="231"/>
      <c r="CQ40" s="231"/>
      <c r="CR40" s="231"/>
      <c r="CS40" s="231"/>
      <c r="CT40" s="231"/>
      <c r="CU40" s="231"/>
      <c r="CV40" s="231"/>
      <c r="CW40" s="231"/>
      <c r="CX40" s="231"/>
      <c r="CY40" s="231"/>
      <c r="CZ40" s="231"/>
      <c r="DA40" s="231"/>
      <c r="DB40" s="231"/>
      <c r="DC40" s="231"/>
      <c r="DD40" s="231"/>
    </row>
    <row r="41">
      <c r="A41" s="153" t="s">
        <v>301</v>
      </c>
      <c r="B41" s="136" t="s">
        <v>728</v>
      </c>
      <c r="C41" s="196" t="s">
        <v>1080</v>
      </c>
      <c r="D41" s="136" t="s">
        <v>319</v>
      </c>
      <c r="E41" s="136" t="s">
        <v>1405</v>
      </c>
      <c r="F41" s="172"/>
      <c r="G41" s="136" t="s">
        <v>998</v>
      </c>
      <c r="H41" s="136" t="s">
        <v>1406</v>
      </c>
      <c r="I41" s="136" t="s">
        <v>623</v>
      </c>
      <c r="J41" s="136" t="s">
        <v>1061</v>
      </c>
      <c r="K41" s="136" t="s">
        <v>464</v>
      </c>
      <c r="L41" s="136" t="s">
        <v>623</v>
      </c>
      <c r="M41" s="136" t="s">
        <v>982</v>
      </c>
      <c r="N41" s="136" t="s">
        <v>931</v>
      </c>
      <c r="O41" s="136" t="s">
        <v>126</v>
      </c>
      <c r="P41" s="136" t="s">
        <v>1407</v>
      </c>
      <c r="Q41" s="189" t="s">
        <v>982</v>
      </c>
      <c r="R41" s="143" t="s">
        <v>322</v>
      </c>
      <c r="S41" s="48"/>
      <c r="T41" s="150" t="s">
        <v>1408</v>
      </c>
      <c r="U41" s="61" t="s">
        <v>495</v>
      </c>
      <c r="V41" s="244" t="s">
        <v>1123</v>
      </c>
      <c r="W41" s="61" t="s">
        <v>1409</v>
      </c>
      <c r="X41" s="189" t="s">
        <v>838</v>
      </c>
      <c r="Y41" s="10" t="s">
        <v>633</v>
      </c>
      <c r="Z41" s="61" t="s">
        <v>140</v>
      </c>
      <c r="AA41" s="48"/>
      <c r="AB41" s="164" t="s">
        <v>813</v>
      </c>
      <c r="AC41" s="191" t="s">
        <v>201</v>
      </c>
      <c r="AD41" s="164" t="s">
        <v>174</v>
      </c>
      <c r="AE41" s="166" t="s">
        <v>487</v>
      </c>
      <c r="AF41" s="225"/>
      <c r="AG41" s="69" t="s">
        <v>1251</v>
      </c>
      <c r="AH41" s="192" t="s">
        <v>815</v>
      </c>
      <c r="AI41" s="194" t="s">
        <v>53</v>
      </c>
      <c r="AJ41" s="13" t="s">
        <v>1188</v>
      </c>
      <c r="AK41" s="194" t="s">
        <v>20</v>
      </c>
      <c r="AL41" s="10" t="s">
        <v>1410</v>
      </c>
      <c r="AM41" s="10" t="s">
        <v>768</v>
      </c>
      <c r="AN41" s="10" t="s">
        <v>1411</v>
      </c>
      <c r="AO41" s="33" t="s">
        <v>1210</v>
      </c>
      <c r="AP41" s="22" t="s">
        <v>1412</v>
      </c>
      <c r="AQ41" s="22" t="s">
        <v>1413</v>
      </c>
      <c r="AR41" s="10" t="s">
        <v>1414</v>
      </c>
      <c r="AS41" s="225"/>
      <c r="AT41" s="43" t="s">
        <v>51</v>
      </c>
      <c r="AU41" s="271" t="s">
        <v>1415</v>
      </c>
      <c r="AV41" s="228"/>
      <c r="AW41" s="56" t="s">
        <v>877</v>
      </c>
      <c r="AX41" s="61" t="s">
        <v>824</v>
      </c>
      <c r="AY41" s="21" t="s">
        <v>58</v>
      </c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  <c r="BX41" s="233"/>
      <c r="BY41" s="233"/>
      <c r="BZ41" s="233"/>
      <c r="CA41" s="233"/>
      <c r="CB41" s="233"/>
      <c r="CC41" s="233"/>
      <c r="CD41" s="233"/>
      <c r="CE41" s="233"/>
      <c r="CF41" s="233"/>
      <c r="CG41" s="233"/>
      <c r="CH41" s="233"/>
      <c r="CI41" s="233"/>
      <c r="CJ41" s="233"/>
      <c r="CK41" s="233"/>
      <c r="CL41" s="233"/>
      <c r="CM41" s="233"/>
      <c r="CN41" s="233"/>
      <c r="CO41" s="233"/>
      <c r="CP41" s="233"/>
      <c r="CQ41" s="233"/>
      <c r="CR41" s="233"/>
      <c r="CS41" s="233"/>
      <c r="CT41" s="233"/>
      <c r="CU41" s="233"/>
      <c r="CV41" s="233"/>
      <c r="CW41" s="233"/>
      <c r="CX41" s="233"/>
      <c r="CY41" s="233"/>
      <c r="CZ41" s="233"/>
      <c r="DA41" s="233"/>
      <c r="DB41" s="233"/>
      <c r="DC41" s="233"/>
      <c r="DD41" s="233"/>
    </row>
    <row r="42">
      <c r="A42" s="153" t="s">
        <v>750</v>
      </c>
      <c r="B42" s="136" t="s">
        <v>751</v>
      </c>
      <c r="C42" s="196" t="s">
        <v>878</v>
      </c>
      <c r="D42" s="136" t="s">
        <v>1416</v>
      </c>
      <c r="E42" s="136" t="s">
        <v>1417</v>
      </c>
      <c r="F42" s="172"/>
      <c r="G42" s="136" t="s">
        <v>1021</v>
      </c>
      <c r="H42" s="136" t="s">
        <v>805</v>
      </c>
      <c r="I42" s="136" t="s">
        <v>1297</v>
      </c>
      <c r="J42" s="185" t="s">
        <v>1418</v>
      </c>
      <c r="K42" s="136" t="s">
        <v>731</v>
      </c>
      <c r="L42" s="136" t="s">
        <v>464</v>
      </c>
      <c r="M42" s="136" t="s">
        <v>1045</v>
      </c>
      <c r="N42" s="136" t="s">
        <v>1419</v>
      </c>
      <c r="O42" s="136" t="s">
        <v>1312</v>
      </c>
      <c r="P42" s="136" t="s">
        <v>1206</v>
      </c>
      <c r="Q42" s="164" t="s">
        <v>1206</v>
      </c>
      <c r="R42" s="135" t="s">
        <v>933</v>
      </c>
      <c r="S42" s="48"/>
      <c r="T42" s="150" t="s">
        <v>1420</v>
      </c>
      <c r="U42" s="150" t="s">
        <v>134</v>
      </c>
      <c r="V42" s="219" t="s">
        <v>96</v>
      </c>
      <c r="W42" s="201" t="s">
        <v>761</v>
      </c>
      <c r="X42" s="189" t="s">
        <v>1421</v>
      </c>
      <c r="Y42" s="10" t="s">
        <v>789</v>
      </c>
      <c r="Z42" s="201" t="s">
        <v>1422</v>
      </c>
      <c r="AA42" s="48"/>
      <c r="AB42" s="10" t="s">
        <v>776</v>
      </c>
      <c r="AC42" s="202" t="s">
        <v>956</v>
      </c>
      <c r="AD42" s="166" t="s">
        <v>363</v>
      </c>
      <c r="AE42" s="191" t="s">
        <v>91</v>
      </c>
      <c r="AF42" s="256"/>
      <c r="AG42" s="61" t="s">
        <v>96</v>
      </c>
      <c r="AH42" s="212" t="s">
        <v>78</v>
      </c>
      <c r="AI42" s="10" t="s">
        <v>1423</v>
      </c>
      <c r="AJ42" s="10" t="s">
        <v>707</v>
      </c>
      <c r="AK42" s="223" t="s">
        <v>939</v>
      </c>
      <c r="AL42" s="22" t="s">
        <v>1424</v>
      </c>
      <c r="AM42" s="22" t="s">
        <v>1425</v>
      </c>
      <c r="AN42" s="10" t="s">
        <v>20</v>
      </c>
      <c r="AO42" s="33" t="s">
        <v>98</v>
      </c>
      <c r="AP42" s="10" t="s">
        <v>1304</v>
      </c>
      <c r="AQ42" s="10" t="s">
        <v>1426</v>
      </c>
      <c r="AR42" s="22" t="s">
        <v>1131</v>
      </c>
      <c r="AS42" s="256"/>
      <c r="AT42" s="66" t="s">
        <v>1427</v>
      </c>
      <c r="AU42" s="61" t="s">
        <v>1428</v>
      </c>
      <c r="AV42" s="13"/>
      <c r="AW42" s="28" t="s">
        <v>1403</v>
      </c>
      <c r="AX42" s="13" t="s">
        <v>1110</v>
      </c>
      <c r="AY42" s="35" t="s">
        <v>1429</v>
      </c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</row>
    <row r="43">
      <c r="A43" s="153" t="s">
        <v>923</v>
      </c>
      <c r="B43" s="136" t="s">
        <v>904</v>
      </c>
      <c r="C43" s="136" t="s">
        <v>775</v>
      </c>
      <c r="D43" s="136" t="s">
        <v>1153</v>
      </c>
      <c r="E43" s="136" t="s">
        <v>1430</v>
      </c>
      <c r="F43" s="172"/>
      <c r="G43" s="136" t="s">
        <v>217</v>
      </c>
      <c r="H43" s="136" t="s">
        <v>312</v>
      </c>
      <c r="I43" s="136" t="s">
        <v>1431</v>
      </c>
      <c r="J43" s="136" t="s">
        <v>1432</v>
      </c>
      <c r="K43" s="136" t="s">
        <v>1117</v>
      </c>
      <c r="L43" s="136" t="s">
        <v>1433</v>
      </c>
      <c r="M43" s="136" t="s">
        <v>1434</v>
      </c>
      <c r="N43" s="136" t="s">
        <v>498</v>
      </c>
      <c r="O43" s="136" t="s">
        <v>1138</v>
      </c>
      <c r="P43" s="136" t="s">
        <v>345</v>
      </c>
      <c r="Q43" s="164" t="s">
        <v>1221</v>
      </c>
      <c r="R43" s="188" t="s">
        <v>539</v>
      </c>
      <c r="S43" s="48"/>
      <c r="T43" s="61" t="s">
        <v>58</v>
      </c>
      <c r="U43" s="150" t="s">
        <v>164</v>
      </c>
      <c r="V43" s="48"/>
      <c r="W43" s="49" t="s">
        <v>1435</v>
      </c>
      <c r="X43" s="242" t="s">
        <v>301</v>
      </c>
      <c r="Y43" s="10" t="s">
        <v>762</v>
      </c>
      <c r="Z43" s="164" t="s">
        <v>1045</v>
      </c>
      <c r="AA43" s="48"/>
      <c r="AB43" s="194" t="s">
        <v>915</v>
      </c>
      <c r="AC43" s="189" t="s">
        <v>955</v>
      </c>
      <c r="AD43" s="220" t="s">
        <v>936</v>
      </c>
      <c r="AE43" s="191" t="s">
        <v>173</v>
      </c>
      <c r="AF43" s="256"/>
      <c r="AG43" s="61" t="s">
        <v>970</v>
      </c>
      <c r="AH43" s="212" t="s">
        <v>868</v>
      </c>
      <c r="AI43" s="10" t="s">
        <v>16</v>
      </c>
      <c r="AJ43" s="194" t="s">
        <v>971</v>
      </c>
      <c r="AK43" s="10" t="s">
        <v>51</v>
      </c>
      <c r="AL43" s="10" t="s">
        <v>1144</v>
      </c>
      <c r="AM43" s="10" t="s">
        <v>1436</v>
      </c>
      <c r="AN43" s="59" t="s">
        <v>1437</v>
      </c>
      <c r="AO43" s="33" t="s">
        <v>118</v>
      </c>
      <c r="AP43" s="10" t="s">
        <v>1438</v>
      </c>
      <c r="AQ43" s="10" t="s">
        <v>1226</v>
      </c>
      <c r="AR43" s="10" t="s">
        <v>1169</v>
      </c>
      <c r="AS43" s="256"/>
      <c r="AT43" s="13" t="s">
        <v>1182</v>
      </c>
      <c r="AU43" s="61" t="s">
        <v>1439</v>
      </c>
      <c r="AV43" s="13"/>
      <c r="AW43" s="28" t="s">
        <v>14</v>
      </c>
      <c r="AX43" s="61" t="s">
        <v>62</v>
      </c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</row>
    <row r="44">
      <c r="A44" s="153" t="s">
        <v>978</v>
      </c>
      <c r="B44" s="136" t="s">
        <v>17</v>
      </c>
      <c r="C44" s="136" t="s">
        <v>1440</v>
      </c>
      <c r="D44" s="136" t="s">
        <v>1441</v>
      </c>
      <c r="E44" s="136" t="s">
        <v>1442</v>
      </c>
      <c r="F44" s="172"/>
      <c r="G44" s="136" t="s">
        <v>776</v>
      </c>
      <c r="H44" s="136" t="s">
        <v>1443</v>
      </c>
      <c r="I44" s="185" t="s">
        <v>472</v>
      </c>
      <c r="J44" s="136" t="s">
        <v>1444</v>
      </c>
      <c r="K44" s="136" t="s">
        <v>1349</v>
      </c>
      <c r="L44" s="136" t="s">
        <v>1116</v>
      </c>
      <c r="M44" s="136" t="s">
        <v>1445</v>
      </c>
      <c r="N44" s="136" t="s">
        <v>58</v>
      </c>
      <c r="O44" s="136" t="s">
        <v>132</v>
      </c>
      <c r="P44" s="136" t="s">
        <v>633</v>
      </c>
      <c r="Q44" s="189" t="s">
        <v>755</v>
      </c>
      <c r="R44" s="143" t="s">
        <v>268</v>
      </c>
      <c r="S44" s="48"/>
      <c r="T44" s="150" t="s">
        <v>1446</v>
      </c>
      <c r="U44" s="150" t="s">
        <v>525</v>
      </c>
      <c r="V44" s="48"/>
      <c r="W44" s="189" t="s">
        <v>810</v>
      </c>
      <c r="X44" s="166" t="s">
        <v>914</v>
      </c>
      <c r="Y44" s="191" t="s">
        <v>313</v>
      </c>
      <c r="Z44" s="164" t="s">
        <v>1447</v>
      </c>
      <c r="AA44" s="48"/>
      <c r="AB44" s="192" t="s">
        <v>914</v>
      </c>
      <c r="AC44" s="245" t="s">
        <v>305</v>
      </c>
      <c r="AD44" s="164" t="s">
        <v>624</v>
      </c>
      <c r="AE44" s="48"/>
      <c r="AF44" s="175"/>
      <c r="AG44" s="202" t="s">
        <v>512</v>
      </c>
      <c r="AH44" s="212" t="s">
        <v>68</v>
      </c>
      <c r="AI44" s="10" t="s">
        <v>896</v>
      </c>
      <c r="AJ44" s="272" t="s">
        <v>1448</v>
      </c>
      <c r="AK44" s="10" t="s">
        <v>165</v>
      </c>
      <c r="AL44" s="22" t="s">
        <v>1052</v>
      </c>
      <c r="AM44" s="22" t="s">
        <v>1318</v>
      </c>
      <c r="AN44" s="22" t="s">
        <v>844</v>
      </c>
      <c r="AO44" s="33" t="s">
        <v>1449</v>
      </c>
      <c r="AP44" s="10" t="s">
        <v>824</v>
      </c>
      <c r="AQ44" s="10" t="s">
        <v>1450</v>
      </c>
      <c r="AR44" s="56" t="s">
        <v>1451</v>
      </c>
      <c r="AS44" s="175"/>
      <c r="AT44" s="66" t="s">
        <v>67</v>
      </c>
      <c r="AU44" s="13" t="s">
        <v>1452</v>
      </c>
      <c r="AV44" s="48"/>
      <c r="AW44" s="43" t="s">
        <v>20</v>
      </c>
      <c r="AX44" s="23" t="s">
        <v>1453</v>
      </c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</row>
    <row r="45">
      <c r="A45" s="153" t="s">
        <v>96</v>
      </c>
      <c r="B45" s="136" t="s">
        <v>330</v>
      </c>
      <c r="C45" s="136" t="s">
        <v>17</v>
      </c>
      <c r="D45" s="136" t="s">
        <v>998</v>
      </c>
      <c r="E45" s="136" t="s">
        <v>607</v>
      </c>
      <c r="F45" s="172"/>
      <c r="G45" s="136" t="s">
        <v>96</v>
      </c>
      <c r="H45" s="136" t="s">
        <v>217</v>
      </c>
      <c r="I45" s="136" t="s">
        <v>596</v>
      </c>
      <c r="J45" s="136" t="s">
        <v>1454</v>
      </c>
      <c r="K45" s="136" t="s">
        <v>237</v>
      </c>
      <c r="L45" s="136" t="s">
        <v>1455</v>
      </c>
      <c r="M45" s="136" t="s">
        <v>289</v>
      </c>
      <c r="N45" s="136" t="s">
        <v>779</v>
      </c>
      <c r="O45" s="136" t="s">
        <v>1434</v>
      </c>
      <c r="P45" s="136" t="s">
        <v>779</v>
      </c>
      <c r="Q45" s="164" t="s">
        <v>1456</v>
      </c>
      <c r="R45" s="206" t="s">
        <v>982</v>
      </c>
      <c r="S45" s="48"/>
      <c r="T45" s="150" t="s">
        <v>164</v>
      </c>
      <c r="U45" s="150" t="s">
        <v>454</v>
      </c>
      <c r="V45" s="48"/>
      <c r="W45" s="49" t="s">
        <v>1003</v>
      </c>
      <c r="X45" s="189" t="s">
        <v>184</v>
      </c>
      <c r="Y45" s="160" t="s">
        <v>1457</v>
      </c>
      <c r="Z45" s="164" t="s">
        <v>1458</v>
      </c>
      <c r="AA45" s="48"/>
      <c r="AB45" s="56" t="s">
        <v>627</v>
      </c>
      <c r="AC45" s="201" t="s">
        <v>936</v>
      </c>
      <c r="AD45" s="189" t="s">
        <v>299</v>
      </c>
      <c r="AE45" s="48"/>
      <c r="AF45" s="175"/>
      <c r="AG45" s="202" t="s">
        <v>78</v>
      </c>
      <c r="AH45" s="203" t="s">
        <v>166</v>
      </c>
      <c r="AI45" s="10" t="s">
        <v>78</v>
      </c>
      <c r="AJ45" s="10" t="s">
        <v>1459</v>
      </c>
      <c r="AK45" s="10" t="s">
        <v>891</v>
      </c>
      <c r="AL45" s="61" t="s">
        <v>843</v>
      </c>
      <c r="AM45" s="10" t="s">
        <v>1164</v>
      </c>
      <c r="AN45" s="22" t="s">
        <v>168</v>
      </c>
      <c r="AO45" s="33" t="s">
        <v>20</v>
      </c>
      <c r="AP45" s="10" t="s">
        <v>1460</v>
      </c>
      <c r="AQ45" s="10" t="s">
        <v>1056</v>
      </c>
      <c r="AR45" s="22" t="s">
        <v>921</v>
      </c>
      <c r="AS45" s="175"/>
      <c r="AT45" s="202" t="s">
        <v>1461</v>
      </c>
      <c r="AU45" s="273" t="s">
        <v>1462</v>
      </c>
      <c r="AV45" s="48"/>
      <c r="AW45" s="43" t="s">
        <v>1110</v>
      </c>
      <c r="AX45" s="28" t="s">
        <v>69</v>
      </c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</row>
    <row r="46">
      <c r="A46" s="153" t="s">
        <v>1384</v>
      </c>
      <c r="B46" s="136" t="s">
        <v>828</v>
      </c>
      <c r="C46" s="136" t="s">
        <v>607</v>
      </c>
      <c r="D46" s="136" t="s">
        <v>1021</v>
      </c>
      <c r="E46" s="136" t="s">
        <v>907</v>
      </c>
      <c r="F46" s="172"/>
      <c r="G46" s="136" t="s">
        <v>624</v>
      </c>
      <c r="H46" s="136" t="s">
        <v>307</v>
      </c>
      <c r="I46" s="136" t="s">
        <v>232</v>
      </c>
      <c r="J46" s="136" t="s">
        <v>231</v>
      </c>
      <c r="K46" s="136" t="s">
        <v>57</v>
      </c>
      <c r="L46" s="136" t="s">
        <v>947</v>
      </c>
      <c r="M46" s="136" t="s">
        <v>57</v>
      </c>
      <c r="N46" s="136" t="s">
        <v>1045</v>
      </c>
      <c r="O46" s="136" t="s">
        <v>1064</v>
      </c>
      <c r="P46" s="136" t="s">
        <v>758</v>
      </c>
      <c r="Q46" s="135" t="s">
        <v>967</v>
      </c>
      <c r="R46" s="135" t="s">
        <v>783</v>
      </c>
      <c r="S46" s="241"/>
      <c r="T46" s="150" t="s">
        <v>167</v>
      </c>
      <c r="U46" s="150" t="s">
        <v>598</v>
      </c>
      <c r="V46" s="48"/>
      <c r="W46" s="202" t="s">
        <v>1350</v>
      </c>
      <c r="X46" s="214" t="s">
        <v>603</v>
      </c>
      <c r="Y46" s="150" t="s">
        <v>302</v>
      </c>
      <c r="Z46" s="224" t="s">
        <v>266</v>
      </c>
      <c r="AA46" s="48"/>
      <c r="AB46" s="189" t="s">
        <v>356</v>
      </c>
      <c r="AC46" s="201" t="s">
        <v>1463</v>
      </c>
      <c r="AD46" s="274" t="s">
        <v>268</v>
      </c>
      <c r="AE46" s="48"/>
      <c r="AF46" s="175"/>
      <c r="AG46" s="202" t="s">
        <v>1050</v>
      </c>
      <c r="AH46" s="69" t="s">
        <v>1464</v>
      </c>
      <c r="AI46" s="10" t="s">
        <v>91</v>
      </c>
      <c r="AJ46" s="194" t="s">
        <v>183</v>
      </c>
      <c r="AK46" s="10" t="s">
        <v>1465</v>
      </c>
      <c r="AL46" s="191" t="s">
        <v>869</v>
      </c>
      <c r="AM46" s="48" t="s">
        <v>1466</v>
      </c>
      <c r="AN46" s="10" t="s">
        <v>921</v>
      </c>
      <c r="AO46" s="275" t="s">
        <v>1334</v>
      </c>
      <c r="AP46" s="9" t="s">
        <v>1467</v>
      </c>
      <c r="AQ46" s="10" t="s">
        <v>1106</v>
      </c>
      <c r="AR46" s="10" t="s">
        <v>1468</v>
      </c>
      <c r="AS46" s="175"/>
      <c r="AT46" s="13" t="s">
        <v>823</v>
      </c>
      <c r="AU46" s="61" t="s">
        <v>1469</v>
      </c>
      <c r="AV46" s="48"/>
      <c r="AW46" s="28" t="s">
        <v>875</v>
      </c>
      <c r="AX46" s="28" t="s">
        <v>1470</v>
      </c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N46" s="48"/>
      <c r="CO46" s="48"/>
      <c r="CP46" s="48"/>
      <c r="CQ46" s="48"/>
      <c r="CR46" s="48"/>
      <c r="CS46" s="48"/>
      <c r="CT46" s="48"/>
      <c r="CU46" s="48"/>
      <c r="CV46" s="48"/>
      <c r="CW46" s="48"/>
      <c r="CX46" s="48"/>
      <c r="CY46" s="48"/>
      <c r="CZ46" s="48"/>
      <c r="DA46" s="48"/>
      <c r="DB46" s="48"/>
      <c r="DC46" s="48"/>
      <c r="DD46" s="48"/>
    </row>
    <row r="47">
      <c r="A47" s="153" t="s">
        <v>471</v>
      </c>
      <c r="B47" s="136" t="s">
        <v>132</v>
      </c>
      <c r="C47" s="136" t="s">
        <v>132</v>
      </c>
      <c r="D47" s="136" t="s">
        <v>217</v>
      </c>
      <c r="E47" s="136" t="s">
        <v>1272</v>
      </c>
      <c r="F47" s="172"/>
      <c r="G47" s="136" t="s">
        <v>1471</v>
      </c>
      <c r="H47" s="136" t="s">
        <v>1472</v>
      </c>
      <c r="I47" s="136" t="s">
        <v>1473</v>
      </c>
      <c r="J47" s="136" t="s">
        <v>475</v>
      </c>
      <c r="K47" s="136" t="s">
        <v>268</v>
      </c>
      <c r="L47" s="136" t="s">
        <v>732</v>
      </c>
      <c r="M47" s="136" t="s">
        <v>268</v>
      </c>
      <c r="N47" s="136" t="s">
        <v>1064</v>
      </c>
      <c r="O47" s="136" t="s">
        <v>1297</v>
      </c>
      <c r="P47" s="136" t="s">
        <v>731</v>
      </c>
      <c r="Q47" s="144" t="s">
        <v>58</v>
      </c>
      <c r="R47" s="189" t="s">
        <v>134</v>
      </c>
      <c r="S47" s="48"/>
      <c r="T47" s="189" t="s">
        <v>163</v>
      </c>
      <c r="U47" s="61" t="s">
        <v>495</v>
      </c>
      <c r="V47" s="48"/>
      <c r="W47" s="166" t="s">
        <v>601</v>
      </c>
      <c r="X47" s="150" t="s">
        <v>862</v>
      </c>
      <c r="Y47" s="160" t="s">
        <v>491</v>
      </c>
      <c r="Z47" s="189" t="s">
        <v>1474</v>
      </c>
      <c r="AA47" s="48"/>
      <c r="AB47" s="189" t="s">
        <v>866</v>
      </c>
      <c r="AC47" s="189" t="s">
        <v>91</v>
      </c>
      <c r="AD47" s="249" t="s">
        <v>865</v>
      </c>
      <c r="AE47" s="48"/>
      <c r="AF47" s="175"/>
      <c r="AG47" s="202" t="s">
        <v>1262</v>
      </c>
      <c r="AH47" s="163" t="s">
        <v>16</v>
      </c>
      <c r="AI47" s="10" t="s">
        <v>1475</v>
      </c>
      <c r="AJ47" s="194" t="s">
        <v>58</v>
      </c>
      <c r="AK47" s="16" t="s">
        <v>763</v>
      </c>
      <c r="AL47" s="191" t="s">
        <v>1300</v>
      </c>
      <c r="AM47" s="191" t="s">
        <v>20</v>
      </c>
      <c r="AN47" s="59" t="s">
        <v>1476</v>
      </c>
      <c r="AO47" s="33" t="s">
        <v>1477</v>
      </c>
      <c r="AP47" s="13" t="s">
        <v>1478</v>
      </c>
      <c r="AQ47" s="10" t="s">
        <v>1479</v>
      </c>
      <c r="AR47" s="22" t="s">
        <v>1480</v>
      </c>
      <c r="AS47" s="175"/>
      <c r="AT47" s="13" t="s">
        <v>1308</v>
      </c>
      <c r="AU47" s="16" t="s">
        <v>877</v>
      </c>
      <c r="AV47" s="48"/>
      <c r="AW47" s="16" t="s">
        <v>6</v>
      </c>
      <c r="AX47" s="22" t="s">
        <v>1481</v>
      </c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  <c r="CE47" s="48"/>
      <c r="CF47" s="48"/>
      <c r="CG47" s="48"/>
      <c r="CH47" s="48"/>
      <c r="CI47" s="48"/>
      <c r="CJ47" s="48"/>
      <c r="CK47" s="48"/>
      <c r="CL47" s="48"/>
      <c r="CM47" s="48"/>
      <c r="CN47" s="48"/>
      <c r="CO47" s="48"/>
      <c r="CP47" s="48"/>
      <c r="CQ47" s="48"/>
      <c r="CR47" s="48"/>
      <c r="CS47" s="48"/>
      <c r="CT47" s="48"/>
      <c r="CU47" s="48"/>
      <c r="CV47" s="48"/>
      <c r="CW47" s="48"/>
      <c r="CX47" s="48"/>
      <c r="CY47" s="48"/>
      <c r="CZ47" s="48"/>
      <c r="DA47" s="48"/>
      <c r="DB47" s="48"/>
      <c r="DC47" s="48"/>
      <c r="DD47" s="48"/>
    </row>
    <row r="48">
      <c r="A48" s="153" t="s">
        <v>1216</v>
      </c>
      <c r="B48" s="136" t="s">
        <v>319</v>
      </c>
      <c r="C48" s="136" t="s">
        <v>1482</v>
      </c>
      <c r="D48" s="136" t="s">
        <v>541</v>
      </c>
      <c r="E48" s="136" t="s">
        <v>1044</v>
      </c>
      <c r="F48" s="172"/>
      <c r="G48" s="136" t="s">
        <v>365</v>
      </c>
      <c r="H48" s="136" t="s">
        <v>1483</v>
      </c>
      <c r="I48" s="136" t="s">
        <v>322</v>
      </c>
      <c r="J48" s="136" t="s">
        <v>1083</v>
      </c>
      <c r="K48" s="136" t="s">
        <v>1484</v>
      </c>
      <c r="L48" s="136" t="s">
        <v>237</v>
      </c>
      <c r="M48" s="136" t="s">
        <v>1138</v>
      </c>
      <c r="N48" s="136" t="s">
        <v>1485</v>
      </c>
      <c r="O48" s="136" t="s">
        <v>735</v>
      </c>
      <c r="P48" s="136" t="s">
        <v>1486</v>
      </c>
      <c r="Q48" s="166" t="s">
        <v>598</v>
      </c>
      <c r="R48" s="189" t="s">
        <v>738</v>
      </c>
      <c r="S48" s="48"/>
      <c r="T48" s="189" t="s">
        <v>134</v>
      </c>
      <c r="U48" s="150" t="s">
        <v>134</v>
      </c>
      <c r="V48" s="48"/>
      <c r="W48" s="49" t="s">
        <v>968</v>
      </c>
      <c r="X48" s="160" t="s">
        <v>1125</v>
      </c>
      <c r="Y48" s="153" t="s">
        <v>914</v>
      </c>
      <c r="Z48" s="48"/>
      <c r="AA48" s="48"/>
      <c r="AB48" s="194" t="s">
        <v>191</v>
      </c>
      <c r="AC48" s="164" t="s">
        <v>174</v>
      </c>
      <c r="AD48" s="164" t="s">
        <v>266</v>
      </c>
      <c r="AE48" s="48"/>
      <c r="AF48" s="175"/>
      <c r="AG48" s="202" t="s">
        <v>654</v>
      </c>
      <c r="AH48" s="61" t="s">
        <v>970</v>
      </c>
      <c r="AI48" s="10" t="s">
        <v>1487</v>
      </c>
      <c r="AJ48" s="194" t="s">
        <v>1488</v>
      </c>
      <c r="AK48" s="22" t="s">
        <v>141</v>
      </c>
      <c r="AL48" s="191" t="s">
        <v>768</v>
      </c>
      <c r="AM48" s="191" t="s">
        <v>869</v>
      </c>
      <c r="AN48" s="10" t="s">
        <v>1489</v>
      </c>
      <c r="AO48" s="33" t="s">
        <v>1490</v>
      </c>
      <c r="AP48" s="13" t="s">
        <v>1491</v>
      </c>
      <c r="AQ48" s="10" t="s">
        <v>40</v>
      </c>
      <c r="AR48" s="56" t="s">
        <v>1492</v>
      </c>
      <c r="AS48" s="175"/>
      <c r="AT48" s="202" t="s">
        <v>1305</v>
      </c>
      <c r="AU48" s="16" t="s">
        <v>796</v>
      </c>
      <c r="AV48" s="48"/>
      <c r="AW48" s="16" t="s">
        <v>268</v>
      </c>
      <c r="AX48" s="28" t="s">
        <v>1493</v>
      </c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  <c r="CE48" s="48"/>
      <c r="CF48" s="48"/>
      <c r="CG48" s="48"/>
      <c r="CH48" s="48"/>
      <c r="CI48" s="48"/>
      <c r="CJ48" s="48"/>
      <c r="CK48" s="48"/>
      <c r="CL48" s="48"/>
      <c r="CM48" s="48"/>
      <c r="CN48" s="48"/>
      <c r="CO48" s="48"/>
      <c r="CP48" s="48"/>
      <c r="CQ48" s="48"/>
      <c r="CR48" s="48"/>
      <c r="CS48" s="48"/>
      <c r="CT48" s="48"/>
      <c r="CU48" s="48"/>
      <c r="CV48" s="48"/>
      <c r="CW48" s="48"/>
      <c r="CX48" s="48"/>
      <c r="CY48" s="48"/>
      <c r="CZ48" s="48"/>
      <c r="DA48" s="48"/>
      <c r="DB48" s="48"/>
      <c r="DC48" s="48"/>
      <c r="DD48" s="48"/>
    </row>
    <row r="49">
      <c r="A49" s="153" t="s">
        <v>120</v>
      </c>
      <c r="B49" s="185" t="s">
        <v>955</v>
      </c>
      <c r="C49" s="136" t="s">
        <v>319</v>
      </c>
      <c r="D49" s="136" t="s">
        <v>1494</v>
      </c>
      <c r="E49" s="136" t="s">
        <v>963</v>
      </c>
      <c r="F49" s="172"/>
      <c r="G49" s="136" t="s">
        <v>275</v>
      </c>
      <c r="H49" s="136" t="s">
        <v>623</v>
      </c>
      <c r="I49" s="136" t="s">
        <v>1324</v>
      </c>
      <c r="J49" s="136" t="s">
        <v>947</v>
      </c>
      <c r="K49" s="136" t="s">
        <v>1205</v>
      </c>
      <c r="L49" s="136" t="s">
        <v>1495</v>
      </c>
      <c r="M49" s="136" t="s">
        <v>882</v>
      </c>
      <c r="N49" s="136" t="s">
        <v>858</v>
      </c>
      <c r="O49" s="136" t="s">
        <v>120</v>
      </c>
      <c r="P49" s="136" t="s">
        <v>124</v>
      </c>
      <c r="Q49" s="189" t="s">
        <v>539</v>
      </c>
      <c r="R49" s="206" t="s">
        <v>124</v>
      </c>
      <c r="S49" s="48"/>
      <c r="T49" s="206" t="s">
        <v>1340</v>
      </c>
      <c r="U49" s="150" t="s">
        <v>164</v>
      </c>
      <c r="V49" s="48"/>
      <c r="W49" s="49" t="s">
        <v>349</v>
      </c>
      <c r="X49" s="153" t="s">
        <v>70</v>
      </c>
      <c r="Y49" s="153" t="s">
        <v>782</v>
      </c>
      <c r="Z49" s="48"/>
      <c r="AA49" s="48"/>
      <c r="AB49" s="10" t="s">
        <v>865</v>
      </c>
      <c r="AC49" s="10" t="s">
        <v>40</v>
      </c>
      <c r="AD49" s="189" t="s">
        <v>366</v>
      </c>
      <c r="AE49" s="48"/>
      <c r="AF49" s="175"/>
      <c r="AG49" s="202" t="s">
        <v>1069</v>
      </c>
      <c r="AH49" s="191" t="s">
        <v>677</v>
      </c>
      <c r="AI49" s="10" t="s">
        <v>1496</v>
      </c>
      <c r="AJ49" s="276" t="s">
        <v>1497</v>
      </c>
      <c r="AK49" s="277" t="s">
        <v>1498</v>
      </c>
      <c r="AL49" s="191" t="s">
        <v>1090</v>
      </c>
      <c r="AM49" s="191" t="s">
        <v>1166</v>
      </c>
      <c r="AN49" s="10" t="s">
        <v>1499</v>
      </c>
      <c r="AO49" s="33" t="s">
        <v>1500</v>
      </c>
      <c r="AP49" s="191" t="s">
        <v>1257</v>
      </c>
      <c r="AQ49" s="16" t="s">
        <v>841</v>
      </c>
      <c r="AR49" s="16" t="s">
        <v>1501</v>
      </c>
      <c r="AS49" s="175"/>
      <c r="AT49" s="28" t="s">
        <v>1502</v>
      </c>
      <c r="AU49" s="56" t="s">
        <v>14</v>
      </c>
      <c r="AV49" s="48"/>
      <c r="AW49" s="16" t="s">
        <v>1461</v>
      </c>
      <c r="AX49" s="22" t="s">
        <v>22</v>
      </c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</row>
    <row r="50">
      <c r="A50" s="153" t="s">
        <v>607</v>
      </c>
      <c r="B50" s="136" t="s">
        <v>229</v>
      </c>
      <c r="C50" s="196" t="s">
        <v>1324</v>
      </c>
      <c r="D50" s="136" t="s">
        <v>924</v>
      </c>
      <c r="E50" s="136" t="s">
        <v>980</v>
      </c>
      <c r="F50" s="172"/>
      <c r="G50" s="136" t="s">
        <v>804</v>
      </c>
      <c r="H50" s="136" t="s">
        <v>525</v>
      </c>
      <c r="I50" s="136" t="s">
        <v>804</v>
      </c>
      <c r="J50" s="136" t="s">
        <v>734</v>
      </c>
      <c r="K50" s="136" t="s">
        <v>980</v>
      </c>
      <c r="L50" s="136" t="s">
        <v>57</v>
      </c>
      <c r="M50" s="136" t="s">
        <v>1115</v>
      </c>
      <c r="N50" s="136" t="s">
        <v>1503</v>
      </c>
      <c r="O50" s="136" t="s">
        <v>754</v>
      </c>
      <c r="P50" s="136" t="s">
        <v>1206</v>
      </c>
      <c r="Q50" s="164" t="s">
        <v>452</v>
      </c>
      <c r="R50" s="189" t="s">
        <v>967</v>
      </c>
      <c r="S50" s="48"/>
      <c r="T50" s="208" t="s">
        <v>1160</v>
      </c>
      <c r="U50" s="150" t="s">
        <v>525</v>
      </c>
      <c r="V50" s="48"/>
      <c r="W50" s="201" t="s">
        <v>1504</v>
      </c>
      <c r="X50" s="150" t="s">
        <v>1162</v>
      </c>
      <c r="Y50" s="278" t="s">
        <v>953</v>
      </c>
      <c r="Z50" s="48"/>
      <c r="AA50" s="48"/>
      <c r="AB50" s="10" t="s">
        <v>266</v>
      </c>
      <c r="AC50" s="164" t="s">
        <v>840</v>
      </c>
      <c r="AD50" s="224" t="s">
        <v>890</v>
      </c>
      <c r="AE50" s="48"/>
      <c r="AF50" s="175"/>
      <c r="AG50" s="61" t="s">
        <v>891</v>
      </c>
      <c r="AH50" s="163" t="s">
        <v>1071</v>
      </c>
      <c r="AI50" s="10" t="s">
        <v>90</v>
      </c>
      <c r="AJ50" s="194" t="s">
        <v>1051</v>
      </c>
      <c r="AK50" s="10" t="s">
        <v>176</v>
      </c>
      <c r="AL50" s="191" t="s">
        <v>791</v>
      </c>
      <c r="AM50" s="191" t="s">
        <v>1505</v>
      </c>
      <c r="AN50" s="28" t="s">
        <v>1506</v>
      </c>
      <c r="AO50" s="33" t="s">
        <v>1507</v>
      </c>
      <c r="AP50" s="13" t="s">
        <v>1091</v>
      </c>
      <c r="AQ50" s="192" t="s">
        <v>896</v>
      </c>
      <c r="AR50" s="16" t="s">
        <v>1508</v>
      </c>
      <c r="AS50" s="175"/>
      <c r="AT50" s="202" t="s">
        <v>1077</v>
      </c>
      <c r="AU50" s="28" t="s">
        <v>51</v>
      </c>
      <c r="AV50" s="48"/>
      <c r="AW50" s="56" t="s">
        <v>7</v>
      </c>
      <c r="AX50" s="28" t="s">
        <v>7</v>
      </c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</row>
    <row r="51">
      <c r="A51" s="150" t="s">
        <v>598</v>
      </c>
      <c r="B51" s="136" t="s">
        <v>294</v>
      </c>
      <c r="C51" s="136" t="s">
        <v>229</v>
      </c>
      <c r="D51" s="136" t="s">
        <v>331</v>
      </c>
      <c r="E51" s="136" t="s">
        <v>998</v>
      </c>
      <c r="F51" s="172"/>
      <c r="G51" s="136" t="s">
        <v>623</v>
      </c>
      <c r="H51" s="136" t="s">
        <v>887</v>
      </c>
      <c r="I51" s="136" t="s">
        <v>330</v>
      </c>
      <c r="J51" s="136" t="s">
        <v>904</v>
      </c>
      <c r="K51" s="136" t="s">
        <v>1495</v>
      </c>
      <c r="L51" s="136" t="s">
        <v>268</v>
      </c>
      <c r="M51" s="136" t="s">
        <v>782</v>
      </c>
      <c r="N51" s="136" t="s">
        <v>1025</v>
      </c>
      <c r="O51" s="136" t="s">
        <v>758</v>
      </c>
      <c r="P51" s="136" t="s">
        <v>1101</v>
      </c>
      <c r="Q51" s="164" t="s">
        <v>623</v>
      </c>
      <c r="R51" s="189" t="s">
        <v>349</v>
      </c>
      <c r="S51" s="48"/>
      <c r="T51" s="208" t="s">
        <v>454</v>
      </c>
      <c r="U51" s="150" t="s">
        <v>454</v>
      </c>
      <c r="V51" s="48"/>
      <c r="W51" s="217" t="s">
        <v>495</v>
      </c>
      <c r="X51" s="244" t="s">
        <v>1509</v>
      </c>
      <c r="Y51" s="219" t="s">
        <v>169</v>
      </c>
      <c r="Z51" s="48"/>
      <c r="AA51" s="48"/>
      <c r="AB51" s="10" t="s">
        <v>812</v>
      </c>
      <c r="AC51" s="166" t="s">
        <v>866</v>
      </c>
      <c r="AD51" s="218" t="s">
        <v>69</v>
      </c>
      <c r="AE51" s="48"/>
      <c r="AF51" s="175"/>
      <c r="AG51" s="61" t="s">
        <v>988</v>
      </c>
      <c r="AH51" s="191" t="s">
        <v>1510</v>
      </c>
      <c r="AI51" s="10" t="s">
        <v>174</v>
      </c>
      <c r="AJ51" s="194" t="s">
        <v>361</v>
      </c>
      <c r="AK51" s="16" t="s">
        <v>740</v>
      </c>
      <c r="AL51" s="61" t="s">
        <v>1236</v>
      </c>
      <c r="AM51" s="191" t="s">
        <v>1511</v>
      </c>
      <c r="AN51" s="10" t="s">
        <v>1476</v>
      </c>
      <c r="AO51" s="10" t="s">
        <v>1512</v>
      </c>
      <c r="AP51" s="191" t="s">
        <v>1500</v>
      </c>
      <c r="AQ51" s="16" t="s">
        <v>1513</v>
      </c>
      <c r="AR51" s="279" t="s">
        <v>1514</v>
      </c>
      <c r="AS51" s="175"/>
      <c r="AT51" s="13" t="s">
        <v>1038</v>
      </c>
      <c r="AU51" s="56" t="s">
        <v>62</v>
      </c>
      <c r="AV51" s="48"/>
      <c r="AW51" s="16" t="s">
        <v>2</v>
      </c>
      <c r="AX51" s="56" t="s">
        <v>67</v>
      </c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</row>
    <row r="52">
      <c r="A52" s="150" t="s">
        <v>801</v>
      </c>
      <c r="B52" s="136" t="s">
        <v>773</v>
      </c>
      <c r="C52" s="136" t="s">
        <v>294</v>
      </c>
      <c r="D52" s="185" t="s">
        <v>345</v>
      </c>
      <c r="E52" s="136" t="s">
        <v>1021</v>
      </c>
      <c r="F52" s="172"/>
      <c r="G52" s="136" t="s">
        <v>730</v>
      </c>
      <c r="H52" s="185" t="s">
        <v>1098</v>
      </c>
      <c r="I52" s="136" t="s">
        <v>878</v>
      </c>
      <c r="J52" s="136" t="s">
        <v>777</v>
      </c>
      <c r="K52" s="136" t="s">
        <v>730</v>
      </c>
      <c r="L52" s="136" t="s">
        <v>1515</v>
      </c>
      <c r="M52" s="136" t="s">
        <v>733</v>
      </c>
      <c r="N52" s="136" t="s">
        <v>607</v>
      </c>
      <c r="O52" s="136" t="s">
        <v>124</v>
      </c>
      <c r="P52" s="136" t="s">
        <v>499</v>
      </c>
      <c r="Q52" s="164" t="s">
        <v>124</v>
      </c>
      <c r="R52" s="189" t="s">
        <v>548</v>
      </c>
      <c r="S52" s="241"/>
      <c r="T52" s="135" t="s">
        <v>201</v>
      </c>
      <c r="U52" s="150" t="s">
        <v>598</v>
      </c>
      <c r="V52" s="48"/>
      <c r="W52" s="150" t="s">
        <v>1102</v>
      </c>
      <c r="X52" s="153" t="s">
        <v>120</v>
      </c>
      <c r="Y52" s="150" t="s">
        <v>201</v>
      </c>
      <c r="Z52" s="48"/>
      <c r="AA52" s="48"/>
      <c r="AB52" s="10" t="s">
        <v>140</v>
      </c>
      <c r="AC52" s="164" t="s">
        <v>140</v>
      </c>
      <c r="AD52" s="149" t="s">
        <v>96</v>
      </c>
      <c r="AE52" s="48"/>
      <c r="AF52" s="175"/>
      <c r="AG52" s="202" t="s">
        <v>191</v>
      </c>
      <c r="AH52" s="191" t="s">
        <v>1087</v>
      </c>
      <c r="AI52" s="10" t="s">
        <v>1516</v>
      </c>
      <c r="AJ52" s="280" t="s">
        <v>96</v>
      </c>
      <c r="AK52" s="10" t="s">
        <v>1300</v>
      </c>
      <c r="AL52" s="13" t="s">
        <v>174</v>
      </c>
      <c r="AM52" s="202" t="s">
        <v>1517</v>
      </c>
      <c r="AN52" s="22" t="s">
        <v>991</v>
      </c>
      <c r="AO52" s="10" t="s">
        <v>1088</v>
      </c>
      <c r="AP52" s="13" t="s">
        <v>1518</v>
      </c>
      <c r="AQ52" s="16" t="s">
        <v>20</v>
      </c>
      <c r="AR52" s="28" t="s">
        <v>1519</v>
      </c>
      <c r="AS52" s="175"/>
      <c r="AT52" s="13" t="s">
        <v>1520</v>
      </c>
      <c r="AU52" s="281" t="s">
        <v>57</v>
      </c>
      <c r="AV52" s="48"/>
      <c r="AW52" s="28" t="s">
        <v>15</v>
      </c>
      <c r="AX52" s="56" t="s">
        <v>1521</v>
      </c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  <c r="CE52" s="48"/>
      <c r="CF52" s="48"/>
      <c r="CG52" s="48"/>
      <c r="CH52" s="48"/>
      <c r="CI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CT52" s="48"/>
      <c r="CU52" s="48"/>
      <c r="CV52" s="48"/>
      <c r="CW52" s="48"/>
      <c r="CX52" s="48"/>
      <c r="CY52" s="48"/>
      <c r="CZ52" s="48"/>
      <c r="DA52" s="48"/>
      <c r="DB52" s="48"/>
      <c r="DC52" s="48"/>
      <c r="DD52" s="48"/>
    </row>
    <row r="53">
      <c r="A53" s="153" t="s">
        <v>303</v>
      </c>
      <c r="B53" s="48"/>
      <c r="C53" s="136" t="s">
        <v>902</v>
      </c>
      <c r="D53" s="136" t="s">
        <v>1522</v>
      </c>
      <c r="E53" s="136" t="s">
        <v>776</v>
      </c>
      <c r="F53" s="172"/>
      <c r="G53" s="136" t="s">
        <v>1523</v>
      </c>
      <c r="H53" s="185" t="s">
        <v>322</v>
      </c>
      <c r="I53" s="136" t="s">
        <v>928</v>
      </c>
      <c r="J53" s="136" t="s">
        <v>1524</v>
      </c>
      <c r="K53" s="136" t="s">
        <v>1157</v>
      </c>
      <c r="L53" s="136" t="s">
        <v>882</v>
      </c>
      <c r="M53" s="136" t="s">
        <v>758</v>
      </c>
      <c r="N53" s="136" t="s">
        <v>1115</v>
      </c>
      <c r="O53" s="136" t="s">
        <v>734</v>
      </c>
      <c r="P53" s="136" t="s">
        <v>1525</v>
      </c>
      <c r="Q53" s="142" t="s">
        <v>347</v>
      </c>
      <c r="R53" s="143" t="s">
        <v>268</v>
      </c>
      <c r="S53" s="48"/>
      <c r="T53" s="260" t="s">
        <v>933</v>
      </c>
      <c r="U53" s="208" t="s">
        <v>761</v>
      </c>
      <c r="V53" s="48"/>
      <c r="W53" s="150" t="s">
        <v>448</v>
      </c>
      <c r="X53" s="150" t="s">
        <v>1526</v>
      </c>
      <c r="Y53" s="160" t="s">
        <v>587</v>
      </c>
      <c r="Z53" s="48"/>
      <c r="AA53" s="48"/>
      <c r="AB53" s="202" t="s">
        <v>268</v>
      </c>
      <c r="AC53" s="61" t="s">
        <v>763</v>
      </c>
      <c r="AD53" s="245" t="s">
        <v>1142</v>
      </c>
      <c r="AE53" s="48"/>
      <c r="AF53" s="175"/>
      <c r="AG53" s="202" t="s">
        <v>299</v>
      </c>
      <c r="AH53" s="163" t="s">
        <v>90</v>
      </c>
      <c r="AI53" s="10" t="s">
        <v>68</v>
      </c>
      <c r="AJ53" s="10" t="s">
        <v>1181</v>
      </c>
      <c r="AK53" s="16" t="s">
        <v>174</v>
      </c>
      <c r="AL53" s="191" t="s">
        <v>1527</v>
      </c>
      <c r="AM53" s="282" t="s">
        <v>1528</v>
      </c>
      <c r="AN53" s="22" t="s">
        <v>1529</v>
      </c>
      <c r="AO53" s="10" t="s">
        <v>1010</v>
      </c>
      <c r="AP53" s="191" t="s">
        <v>896</v>
      </c>
      <c r="AQ53" s="10" t="s">
        <v>744</v>
      </c>
      <c r="AR53" s="10" t="s">
        <v>1530</v>
      </c>
      <c r="AS53" s="175"/>
      <c r="AT53" s="61" t="s">
        <v>1531</v>
      </c>
      <c r="AU53" s="13" t="s">
        <v>350</v>
      </c>
      <c r="AV53" s="48"/>
      <c r="AW53" s="195" t="s">
        <v>51</v>
      </c>
      <c r="AX53" s="22" t="s">
        <v>57</v>
      </c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/>
      <c r="CB53" s="48"/>
      <c r="CC53" s="48"/>
      <c r="CD53" s="48"/>
      <c r="CE53" s="48"/>
      <c r="CF53" s="48"/>
      <c r="CG53" s="48"/>
      <c r="CH53" s="48"/>
      <c r="CI53" s="48"/>
      <c r="CJ53" s="48"/>
      <c r="CK53" s="48"/>
      <c r="CL53" s="48"/>
      <c r="CM53" s="48"/>
      <c r="CN53" s="48"/>
      <c r="CO53" s="48"/>
      <c r="CP53" s="48"/>
      <c r="CQ53" s="48"/>
      <c r="CR53" s="48"/>
      <c r="CS53" s="48"/>
      <c r="CT53" s="48"/>
      <c r="CU53" s="48"/>
      <c r="CV53" s="48"/>
      <c r="CW53" s="48"/>
      <c r="CX53" s="48"/>
      <c r="CY53" s="48"/>
      <c r="CZ53" s="48"/>
      <c r="DA53" s="48"/>
      <c r="DB53" s="48"/>
      <c r="DC53" s="48"/>
      <c r="DD53" s="48"/>
    </row>
    <row r="54">
      <c r="A54" s="48"/>
      <c r="B54" s="172"/>
      <c r="C54" s="136" t="s">
        <v>773</v>
      </c>
      <c r="D54" s="136" t="s">
        <v>285</v>
      </c>
      <c r="E54" s="136" t="s">
        <v>96</v>
      </c>
      <c r="F54" s="172"/>
      <c r="G54" s="136" t="s">
        <v>1532</v>
      </c>
      <c r="H54" s="136" t="s">
        <v>754</v>
      </c>
      <c r="I54" s="136" t="s">
        <v>1296</v>
      </c>
      <c r="J54" s="136" t="s">
        <v>464</v>
      </c>
      <c r="K54" s="136" t="s">
        <v>1533</v>
      </c>
      <c r="L54" s="136" t="s">
        <v>1115</v>
      </c>
      <c r="M54" s="136" t="s">
        <v>1534</v>
      </c>
      <c r="N54" s="136" t="s">
        <v>1047</v>
      </c>
      <c r="O54" s="136" t="s">
        <v>340</v>
      </c>
      <c r="P54" s="136" t="s">
        <v>1026</v>
      </c>
      <c r="Q54" s="135" t="s">
        <v>887</v>
      </c>
      <c r="R54" s="135" t="s">
        <v>1535</v>
      </c>
      <c r="S54" s="48"/>
      <c r="T54" s="150" t="s">
        <v>134</v>
      </c>
      <c r="U54" s="208" t="s">
        <v>70</v>
      </c>
      <c r="V54" s="48"/>
      <c r="W54" s="160" t="s">
        <v>837</v>
      </c>
      <c r="X54" s="164" t="s">
        <v>248</v>
      </c>
      <c r="Y54" s="160" t="s">
        <v>587</v>
      </c>
      <c r="Z54" s="48"/>
      <c r="AA54" s="48"/>
      <c r="AB54" s="191" t="s">
        <v>1536</v>
      </c>
      <c r="AC54" s="191" t="s">
        <v>192</v>
      </c>
      <c r="AD54" s="245" t="s">
        <v>1002</v>
      </c>
      <c r="AE54" s="48"/>
      <c r="AF54" s="175"/>
      <c r="AG54" s="202" t="s">
        <v>78</v>
      </c>
      <c r="AH54" s="191" t="s">
        <v>335</v>
      </c>
      <c r="AI54" s="283" t="s">
        <v>69</v>
      </c>
      <c r="AJ54" s="10" t="s">
        <v>896</v>
      </c>
      <c r="AK54" s="16" t="s">
        <v>782</v>
      </c>
      <c r="AL54" s="191" t="s">
        <v>16</v>
      </c>
      <c r="AM54" s="13" t="s">
        <v>896</v>
      </c>
      <c r="AN54" s="254" t="s">
        <v>1537</v>
      </c>
      <c r="AO54" s="10" t="s">
        <v>1481</v>
      </c>
      <c r="AP54" s="191" t="s">
        <v>16</v>
      </c>
      <c r="AQ54" s="16" t="s">
        <v>1091</v>
      </c>
      <c r="AR54" s="10" t="s">
        <v>1538</v>
      </c>
      <c r="AS54" s="175"/>
      <c r="AT54" s="273" t="s">
        <v>1539</v>
      </c>
      <c r="AU54" s="66" t="s">
        <v>1540</v>
      </c>
      <c r="AV54" s="48"/>
      <c r="AW54" s="16" t="s">
        <v>82</v>
      </c>
      <c r="AX54" s="22" t="s">
        <v>1541</v>
      </c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</row>
    <row r="55">
      <c r="A55" s="48"/>
      <c r="B55" s="172"/>
      <c r="C55" s="136" t="s">
        <v>96</v>
      </c>
      <c r="D55" s="136" t="s">
        <v>904</v>
      </c>
      <c r="E55" s="136" t="s">
        <v>1542</v>
      </c>
      <c r="F55" s="172"/>
      <c r="G55" s="136" t="s">
        <v>1136</v>
      </c>
      <c r="H55" s="136" t="s">
        <v>238</v>
      </c>
      <c r="I55" s="136" t="s">
        <v>472</v>
      </c>
      <c r="J55" s="136" t="s">
        <v>1443</v>
      </c>
      <c r="K55" s="136" t="s">
        <v>928</v>
      </c>
      <c r="L55" s="136" t="s">
        <v>624</v>
      </c>
      <c r="M55" s="136" t="s">
        <v>1543</v>
      </c>
      <c r="N55" s="136" t="s">
        <v>1328</v>
      </c>
      <c r="O55" s="136" t="s">
        <v>498</v>
      </c>
      <c r="P55" s="136" t="s">
        <v>966</v>
      </c>
      <c r="Q55" s="259" t="s">
        <v>865</v>
      </c>
      <c r="R55" s="206" t="s">
        <v>982</v>
      </c>
      <c r="S55" s="48"/>
      <c r="T55" s="266" t="s">
        <v>738</v>
      </c>
      <c r="U55" s="208" t="s">
        <v>810</v>
      </c>
      <c r="V55" s="277"/>
      <c r="W55" s="160" t="s">
        <v>1030</v>
      </c>
      <c r="X55" s="164" t="s">
        <v>130</v>
      </c>
      <c r="Y55" s="160" t="s">
        <v>96</v>
      </c>
      <c r="Z55" s="48"/>
      <c r="AA55" s="48"/>
      <c r="AB55" s="191" t="s">
        <v>890</v>
      </c>
      <c r="AC55" s="160" t="s">
        <v>268</v>
      </c>
      <c r="AD55" s="218" t="s">
        <v>917</v>
      </c>
      <c r="AE55" s="48"/>
      <c r="AF55" s="175"/>
      <c r="AG55" s="202" t="s">
        <v>868</v>
      </c>
      <c r="AH55" s="61" t="s">
        <v>891</v>
      </c>
      <c r="AI55" s="10" t="s">
        <v>1342</v>
      </c>
      <c r="AJ55" s="194" t="s">
        <v>90</v>
      </c>
      <c r="AK55" s="10" t="s">
        <v>1164</v>
      </c>
      <c r="AL55" s="61" t="s">
        <v>1544</v>
      </c>
      <c r="AM55" s="13" t="s">
        <v>1545</v>
      </c>
      <c r="AN55" s="10" t="s">
        <v>1546</v>
      </c>
      <c r="AO55" s="22" t="s">
        <v>1034</v>
      </c>
      <c r="AP55" s="191" t="s">
        <v>959</v>
      </c>
      <c r="AQ55" s="191" t="s">
        <v>1547</v>
      </c>
      <c r="AR55" s="16" t="s">
        <v>1548</v>
      </c>
      <c r="AS55" s="175"/>
      <c r="AT55" s="194" t="s">
        <v>1187</v>
      </c>
      <c r="AU55" s="66" t="s">
        <v>1549</v>
      </c>
      <c r="AV55" s="48"/>
      <c r="AW55" s="28" t="s">
        <v>1078</v>
      </c>
      <c r="AX55" s="16" t="s">
        <v>3</v>
      </c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</row>
    <row r="56">
      <c r="A56" s="48"/>
      <c r="B56" s="172"/>
      <c r="C56" s="136" t="s">
        <v>756</v>
      </c>
      <c r="D56" s="136" t="s">
        <v>464</v>
      </c>
      <c r="E56" s="136" t="s">
        <v>311</v>
      </c>
      <c r="F56" s="172"/>
      <c r="G56" s="136" t="s">
        <v>1294</v>
      </c>
      <c r="H56" s="136" t="s">
        <v>251</v>
      </c>
      <c r="I56" s="136" t="s">
        <v>805</v>
      </c>
      <c r="J56" s="136" t="s">
        <v>1550</v>
      </c>
      <c r="K56" s="136" t="s">
        <v>541</v>
      </c>
      <c r="L56" s="136" t="s">
        <v>982</v>
      </c>
      <c r="M56" s="136" t="s">
        <v>1445</v>
      </c>
      <c r="N56" s="136" t="s">
        <v>1328</v>
      </c>
      <c r="O56" s="136" t="s">
        <v>345</v>
      </c>
      <c r="P56" s="136" t="s">
        <v>831</v>
      </c>
      <c r="Q56" s="189" t="s">
        <v>734</v>
      </c>
      <c r="R56" s="135" t="s">
        <v>201</v>
      </c>
      <c r="S56" s="48"/>
      <c r="T56" s="150" t="s">
        <v>164</v>
      </c>
      <c r="U56" s="189" t="s">
        <v>167</v>
      </c>
      <c r="V56" s="48"/>
      <c r="W56" s="284" t="s">
        <v>1551</v>
      </c>
      <c r="X56" s="164" t="s">
        <v>591</v>
      </c>
      <c r="Y56" s="150" t="s">
        <v>1162</v>
      </c>
      <c r="Z56" s="48"/>
      <c r="AA56" s="48"/>
      <c r="AB56" s="61" t="s">
        <v>299</v>
      </c>
      <c r="AC56" s="232" t="s">
        <v>865</v>
      </c>
      <c r="AD56" s="218" t="s">
        <v>1250</v>
      </c>
      <c r="AE56" s="48"/>
      <c r="AF56" s="175"/>
      <c r="AG56" s="202" t="s">
        <v>182</v>
      </c>
      <c r="AH56" s="285" t="s">
        <v>188</v>
      </c>
      <c r="AI56" s="10" t="s">
        <v>751</v>
      </c>
      <c r="AJ56" s="22" t="s">
        <v>892</v>
      </c>
      <c r="AK56" s="16" t="s">
        <v>58</v>
      </c>
      <c r="AL56" s="191" t="s">
        <v>91</v>
      </c>
      <c r="AM56" s="191" t="s">
        <v>921</v>
      </c>
      <c r="AN56" s="22" t="s">
        <v>1552</v>
      </c>
      <c r="AO56" s="55" t="s">
        <v>21</v>
      </c>
      <c r="AP56" s="13" t="s">
        <v>991</v>
      </c>
      <c r="AQ56" s="61" t="s">
        <v>1553</v>
      </c>
      <c r="AS56" s="175"/>
      <c r="AT56" s="194" t="s">
        <v>69</v>
      </c>
      <c r="AU56" s="61" t="s">
        <v>1307</v>
      </c>
      <c r="AV56" s="48"/>
      <c r="AW56" s="22" t="s">
        <v>1110</v>
      </c>
      <c r="AX56" s="286" t="s">
        <v>1403</v>
      </c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  <c r="CE56" s="48"/>
      <c r="CF56" s="48"/>
      <c r="CG56" s="48"/>
      <c r="CH56" s="48"/>
      <c r="CI56" s="48"/>
      <c r="CJ56" s="48"/>
      <c r="CK56" s="48"/>
      <c r="CL56" s="48"/>
      <c r="CM56" s="48"/>
      <c r="CN56" s="48"/>
      <c r="CO56" s="48"/>
      <c r="CP56" s="48"/>
      <c r="CQ56" s="48"/>
      <c r="CR56" s="48"/>
      <c r="CS56" s="48"/>
      <c r="CT56" s="48"/>
      <c r="CU56" s="48"/>
      <c r="CV56" s="48"/>
      <c r="CW56" s="48"/>
      <c r="CX56" s="48"/>
      <c r="CY56" s="48"/>
      <c r="CZ56" s="48"/>
      <c r="DA56" s="48"/>
      <c r="DB56" s="48"/>
      <c r="DC56" s="48"/>
      <c r="DD56" s="48"/>
    </row>
    <row r="57">
      <c r="A57" s="48"/>
      <c r="B57" s="172"/>
      <c r="C57" s="136" t="s">
        <v>1094</v>
      </c>
      <c r="D57" s="136" t="s">
        <v>1154</v>
      </c>
      <c r="E57" s="136" t="s">
        <v>120</v>
      </c>
      <c r="F57" s="172"/>
      <c r="G57" s="136" t="s">
        <v>944</v>
      </c>
      <c r="H57" s="136" t="s">
        <v>907</v>
      </c>
      <c r="I57" s="136" t="s">
        <v>296</v>
      </c>
      <c r="J57" s="136" t="s">
        <v>732</v>
      </c>
      <c r="K57" s="136" t="s">
        <v>1495</v>
      </c>
      <c r="L57" s="136" t="s">
        <v>289</v>
      </c>
      <c r="M57" s="136" t="s">
        <v>1554</v>
      </c>
      <c r="N57" s="136" t="s">
        <v>1328</v>
      </c>
      <c r="O57" s="136" t="s">
        <v>982</v>
      </c>
      <c r="P57" s="136" t="s">
        <v>58</v>
      </c>
      <c r="Q57" s="189" t="s">
        <v>760</v>
      </c>
      <c r="R57" s="206" t="s">
        <v>840</v>
      </c>
      <c r="S57" s="48"/>
      <c r="T57" s="150" t="s">
        <v>1555</v>
      </c>
      <c r="U57" s="188" t="s">
        <v>268</v>
      </c>
      <c r="V57" s="48"/>
      <c r="W57" s="248" t="s">
        <v>1556</v>
      </c>
      <c r="X57" s="209" t="s">
        <v>323</v>
      </c>
      <c r="Y57" s="150" t="s">
        <v>487</v>
      </c>
      <c r="Z57" s="48"/>
      <c r="AA57" s="48"/>
      <c r="AB57" s="191" t="s">
        <v>487</v>
      </c>
      <c r="AC57" s="61" t="s">
        <v>356</v>
      </c>
      <c r="AD57" s="166" t="s">
        <v>1557</v>
      </c>
      <c r="AE57" s="48"/>
      <c r="AF57" s="175"/>
      <c r="AG57" s="202" t="s">
        <v>90</v>
      </c>
      <c r="AH57" s="203" t="s">
        <v>168</v>
      </c>
      <c r="AI57" s="10" t="s">
        <v>1235</v>
      </c>
      <c r="AJ57" s="22" t="s">
        <v>1558</v>
      </c>
      <c r="AK57" s="10" t="s">
        <v>37</v>
      </c>
      <c r="AL57" s="191" t="s">
        <v>37</v>
      </c>
      <c r="AM57" s="191" t="s">
        <v>742</v>
      </c>
      <c r="AN57" s="43" t="s">
        <v>1559</v>
      </c>
      <c r="AO57" s="10" t="s">
        <v>1560</v>
      </c>
      <c r="AP57" s="191" t="s">
        <v>1052</v>
      </c>
      <c r="AQ57" s="13" t="s">
        <v>1561</v>
      </c>
      <c r="AR57" s="10" t="s">
        <v>137</v>
      </c>
      <c r="AS57" s="175"/>
      <c r="AT57" s="56" t="s">
        <v>824</v>
      </c>
      <c r="AU57" s="66" t="s">
        <v>893</v>
      </c>
      <c r="AV57" s="48"/>
      <c r="AW57" s="28" t="s">
        <v>1257</v>
      </c>
      <c r="AX57" s="28" t="s">
        <v>15</v>
      </c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</row>
    <row r="58">
      <c r="A58" s="48"/>
      <c r="B58" s="172"/>
      <c r="C58" s="136" t="s">
        <v>1245</v>
      </c>
      <c r="D58" s="136" t="s">
        <v>17</v>
      </c>
      <c r="E58" s="136" t="s">
        <v>281</v>
      </c>
      <c r="F58" s="172"/>
      <c r="G58" s="136" t="s">
        <v>17</v>
      </c>
      <c r="H58" s="136" t="s">
        <v>294</v>
      </c>
      <c r="I58" s="136" t="s">
        <v>231</v>
      </c>
      <c r="J58" s="136" t="s">
        <v>1117</v>
      </c>
      <c r="K58" s="136" t="s">
        <v>623</v>
      </c>
      <c r="L58" s="136" t="s">
        <v>1083</v>
      </c>
      <c r="M58" s="136" t="s">
        <v>199</v>
      </c>
      <c r="N58" s="136" t="s">
        <v>735</v>
      </c>
      <c r="O58" s="136" t="s">
        <v>327</v>
      </c>
      <c r="P58" s="136" t="s">
        <v>1065</v>
      </c>
      <c r="Q58" s="164" t="s">
        <v>268</v>
      </c>
      <c r="R58" s="135" t="s">
        <v>167</v>
      </c>
      <c r="S58" s="48"/>
      <c r="T58" s="150" t="s">
        <v>349</v>
      </c>
      <c r="U58" s="188" t="s">
        <v>303</v>
      </c>
      <c r="V58" s="48"/>
      <c r="W58" s="189" t="s">
        <v>130</v>
      </c>
      <c r="X58" s="164" t="s">
        <v>201</v>
      </c>
      <c r="Y58" s="150" t="s">
        <v>335</v>
      </c>
      <c r="Z58" s="48"/>
      <c r="AA58" s="48"/>
      <c r="AB58" s="191" t="s">
        <v>335</v>
      </c>
      <c r="AC58" s="185" t="s">
        <v>890</v>
      </c>
      <c r="AD58" s="166" t="s">
        <v>512</v>
      </c>
      <c r="AE58" s="48"/>
      <c r="AF58" s="175"/>
      <c r="AG58" s="202" t="s">
        <v>166</v>
      </c>
      <c r="AH58" s="192" t="s">
        <v>815</v>
      </c>
      <c r="AI58" s="10" t="s">
        <v>51</v>
      </c>
      <c r="AJ58" s="10" t="s">
        <v>68</v>
      </c>
      <c r="AK58" s="16" t="s">
        <v>1562</v>
      </c>
      <c r="AL58" s="215" t="s">
        <v>893</v>
      </c>
      <c r="AM58" s="191" t="s">
        <v>893</v>
      </c>
      <c r="AN58" s="280" t="s">
        <v>58</v>
      </c>
      <c r="AO58" s="10" t="s">
        <v>591</v>
      </c>
      <c r="AP58" s="13" t="s">
        <v>1563</v>
      </c>
      <c r="AQ58" s="61" t="s">
        <v>1564</v>
      </c>
      <c r="AR58" s="10" t="s">
        <v>1565</v>
      </c>
      <c r="AS58" s="175"/>
      <c r="AT58" s="22" t="s">
        <v>1521</v>
      </c>
      <c r="AU58" s="13" t="s">
        <v>825</v>
      </c>
      <c r="AV58" s="48"/>
      <c r="AW58" s="28" t="s">
        <v>1566</v>
      </c>
      <c r="AX58" s="22" t="s">
        <v>20</v>
      </c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/>
      <c r="DA58" s="48"/>
      <c r="DB58" s="48"/>
      <c r="DC58" s="48"/>
      <c r="DD58" s="48"/>
    </row>
    <row r="59">
      <c r="A59" s="48"/>
      <c r="B59" s="172"/>
      <c r="C59" s="185" t="s">
        <v>345</v>
      </c>
      <c r="D59" s="136" t="s">
        <v>607</v>
      </c>
      <c r="E59" s="48"/>
      <c r="F59" s="172"/>
      <c r="G59" s="136" t="s">
        <v>607</v>
      </c>
      <c r="H59" s="185" t="s">
        <v>1567</v>
      </c>
      <c r="I59" s="136" t="s">
        <v>237</v>
      </c>
      <c r="J59" s="136" t="s">
        <v>642</v>
      </c>
      <c r="K59" s="136" t="s">
        <v>733</v>
      </c>
      <c r="L59" s="136" t="s">
        <v>1543</v>
      </c>
      <c r="M59" s="136" t="s">
        <v>1119</v>
      </c>
      <c r="N59" s="136" t="s">
        <v>733</v>
      </c>
      <c r="O59" s="136" t="s">
        <v>896</v>
      </c>
      <c r="P59" s="136" t="s">
        <v>981</v>
      </c>
      <c r="Q59" s="188" t="s">
        <v>754</v>
      </c>
      <c r="R59" s="143" t="s">
        <v>322</v>
      </c>
      <c r="S59" s="48"/>
      <c r="T59" s="150" t="s">
        <v>1313</v>
      </c>
      <c r="U59" s="165" t="s">
        <v>912</v>
      </c>
      <c r="V59" s="48"/>
      <c r="W59" s="222" t="s">
        <v>454</v>
      </c>
      <c r="X59" s="189" t="s">
        <v>788</v>
      </c>
      <c r="Y59" s="150" t="s">
        <v>1474</v>
      </c>
      <c r="Z59" s="48"/>
      <c r="AA59" s="48"/>
      <c r="AB59" s="191" t="s">
        <v>866</v>
      </c>
      <c r="AC59" s="189" t="s">
        <v>182</v>
      </c>
      <c r="AD59" s="149" t="s">
        <v>129</v>
      </c>
      <c r="AE59" s="48"/>
      <c r="AF59" s="175"/>
      <c r="AG59" s="226" t="s">
        <v>654</v>
      </c>
      <c r="AH59" s="212" t="s">
        <v>78</v>
      </c>
      <c r="AI59" s="16" t="s">
        <v>20</v>
      </c>
      <c r="AJ59" s="10" t="s">
        <v>69</v>
      </c>
      <c r="AK59" s="16" t="s">
        <v>1367</v>
      </c>
      <c r="AL59" s="13" t="s">
        <v>98</v>
      </c>
      <c r="AM59" s="22" t="s">
        <v>40</v>
      </c>
      <c r="AN59" s="91" t="s">
        <v>1287</v>
      </c>
      <c r="AO59" s="10" t="s">
        <v>1568</v>
      </c>
      <c r="AP59" s="16" t="s">
        <v>1569</v>
      </c>
      <c r="AQ59" s="61" t="s">
        <v>915</v>
      </c>
      <c r="AR59" s="56" t="s">
        <v>1570</v>
      </c>
      <c r="AS59" s="175"/>
      <c r="AT59" s="15" t="s">
        <v>51</v>
      </c>
      <c r="AU59" s="13" t="s">
        <v>1043</v>
      </c>
      <c r="AV59" s="48"/>
      <c r="AW59" s="16" t="s">
        <v>28</v>
      </c>
      <c r="AX59" s="22" t="s">
        <v>1043</v>
      </c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</row>
    <row r="60">
      <c r="A60" s="48"/>
      <c r="B60" s="172"/>
      <c r="C60" s="136" t="s">
        <v>327</v>
      </c>
      <c r="D60" s="136" t="s">
        <v>996</v>
      </c>
      <c r="E60" s="48"/>
      <c r="F60" s="172"/>
      <c r="G60" s="136" t="s">
        <v>251</v>
      </c>
      <c r="H60" s="185" t="s">
        <v>464</v>
      </c>
      <c r="I60" s="136" t="s">
        <v>882</v>
      </c>
      <c r="J60" s="136" t="s">
        <v>1297</v>
      </c>
      <c r="K60" s="136" t="s">
        <v>1083</v>
      </c>
      <c r="L60" s="136" t="s">
        <v>756</v>
      </c>
      <c r="M60" s="136" t="s">
        <v>781</v>
      </c>
      <c r="N60" s="136" t="s">
        <v>231</v>
      </c>
      <c r="O60" s="136" t="s">
        <v>1571</v>
      </c>
      <c r="P60" s="136" t="s">
        <v>946</v>
      </c>
      <c r="Q60" s="189" t="s">
        <v>1572</v>
      </c>
      <c r="R60" s="135" t="s">
        <v>933</v>
      </c>
      <c r="S60" s="48"/>
      <c r="T60" s="266" t="s">
        <v>840</v>
      </c>
      <c r="U60" s="189" t="s">
        <v>469</v>
      </c>
      <c r="V60" s="48"/>
      <c r="W60" s="189" t="s">
        <v>618</v>
      </c>
      <c r="X60" s="209" t="s">
        <v>1126</v>
      </c>
      <c r="Y60" s="260" t="s">
        <v>1067</v>
      </c>
      <c r="Z60" s="48"/>
      <c r="AA60" s="48"/>
      <c r="AB60" s="191" t="s">
        <v>134</v>
      </c>
      <c r="AC60" s="238" t="s">
        <v>1069</v>
      </c>
      <c r="AD60" s="218" t="s">
        <v>201</v>
      </c>
      <c r="AE60" s="48"/>
      <c r="AF60" s="175"/>
      <c r="AG60" s="226" t="s">
        <v>1069</v>
      </c>
      <c r="AH60" s="212" t="s">
        <v>868</v>
      </c>
      <c r="AI60" s="10" t="s">
        <v>193</v>
      </c>
      <c r="AJ60" s="16" t="s">
        <v>1573</v>
      </c>
      <c r="AK60" s="194" t="s">
        <v>1104</v>
      </c>
      <c r="AL60" s="191" t="s">
        <v>891</v>
      </c>
      <c r="AM60" s="10" t="s">
        <v>791</v>
      </c>
      <c r="AN60" s="10" t="s">
        <v>791</v>
      </c>
      <c r="AO60" s="10" t="s">
        <v>539</v>
      </c>
      <c r="AP60" s="16" t="s">
        <v>1574</v>
      </c>
      <c r="AQ60" s="191" t="s">
        <v>1353</v>
      </c>
      <c r="AR60" s="28" t="s">
        <v>1575</v>
      </c>
      <c r="AS60" s="175"/>
      <c r="AT60" s="48"/>
      <c r="AU60" s="13" t="s">
        <v>1576</v>
      </c>
      <c r="AV60" s="48"/>
      <c r="AW60" s="13" t="s">
        <v>1577</v>
      </c>
      <c r="AX60" s="56" t="s">
        <v>1578</v>
      </c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</row>
    <row r="61">
      <c r="A61" s="48"/>
      <c r="B61" s="172"/>
      <c r="C61" s="136" t="s">
        <v>322</v>
      </c>
      <c r="D61" s="136" t="s">
        <v>907</v>
      </c>
      <c r="E61" s="48"/>
      <c r="F61" s="172"/>
      <c r="G61" s="136" t="s">
        <v>1579</v>
      </c>
      <c r="H61" s="185" t="s">
        <v>1295</v>
      </c>
      <c r="I61" s="136" t="s">
        <v>780</v>
      </c>
      <c r="J61" s="136" t="s">
        <v>268</v>
      </c>
      <c r="K61" s="136" t="s">
        <v>947</v>
      </c>
      <c r="L61" s="136" t="s">
        <v>733</v>
      </c>
      <c r="M61" s="136" t="s">
        <v>1065</v>
      </c>
      <c r="N61" s="136" t="s">
        <v>731</v>
      </c>
      <c r="O61" s="136" t="s">
        <v>1408</v>
      </c>
      <c r="P61" s="136" t="s">
        <v>1138</v>
      </c>
      <c r="Q61" s="189" t="s">
        <v>982</v>
      </c>
      <c r="R61" s="191" t="s">
        <v>124</v>
      </c>
      <c r="S61" s="48"/>
      <c r="T61" s="150" t="s">
        <v>96</v>
      </c>
      <c r="U61" s="206" t="s">
        <v>789</v>
      </c>
      <c r="V61" s="48"/>
      <c r="W61" s="198" t="s">
        <v>1580</v>
      </c>
      <c r="X61" s="189" t="s">
        <v>520</v>
      </c>
      <c r="Y61" s="150" t="s">
        <v>130</v>
      </c>
      <c r="Z61" s="48"/>
      <c r="AA61" s="48"/>
      <c r="AB61" s="258" t="s">
        <v>169</v>
      </c>
      <c r="AC61" s="189" t="s">
        <v>870</v>
      </c>
      <c r="AD61" s="10" t="s">
        <v>173</v>
      </c>
      <c r="AE61" s="48"/>
      <c r="AF61" s="175"/>
      <c r="AG61" s="202" t="s">
        <v>188</v>
      </c>
      <c r="AH61" s="212" t="s">
        <v>68</v>
      </c>
      <c r="AI61" s="287" t="s">
        <v>78</v>
      </c>
      <c r="AJ61" s="223" t="s">
        <v>193</v>
      </c>
      <c r="AK61" s="10" t="s">
        <v>1581</v>
      </c>
      <c r="AL61" s="191" t="s">
        <v>1582</v>
      </c>
      <c r="AM61" s="16" t="s">
        <v>77</v>
      </c>
      <c r="AN61" s="10" t="s">
        <v>819</v>
      </c>
      <c r="AO61" s="59" t="s">
        <v>1583</v>
      </c>
      <c r="AP61" s="16" t="s">
        <v>171</v>
      </c>
      <c r="AQ61" s="288" t="s">
        <v>1584</v>
      </c>
      <c r="AR61" s="15" t="s">
        <v>1585</v>
      </c>
      <c r="AS61" s="175"/>
      <c r="AT61" s="48"/>
      <c r="AU61" s="66" t="s">
        <v>1586</v>
      </c>
      <c r="AV61" s="48"/>
      <c r="AW61" s="66" t="s">
        <v>20</v>
      </c>
      <c r="AX61" s="28" t="s">
        <v>82</v>
      </c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</row>
    <row r="62">
      <c r="A62" s="48"/>
      <c r="B62" s="172"/>
      <c r="C62" s="185" t="s">
        <v>1190</v>
      </c>
      <c r="D62" s="136" t="s">
        <v>1272</v>
      </c>
      <c r="E62" s="48"/>
      <c r="F62" s="172"/>
      <c r="G62" s="136" t="s">
        <v>328</v>
      </c>
      <c r="H62" s="136" t="s">
        <v>598</v>
      </c>
      <c r="I62" s="136" t="s">
        <v>731</v>
      </c>
      <c r="J62" s="136" t="s">
        <v>1261</v>
      </c>
      <c r="K62" s="136" t="s">
        <v>199</v>
      </c>
      <c r="L62" s="136" t="s">
        <v>1065</v>
      </c>
      <c r="M62" s="136" t="s">
        <v>182</v>
      </c>
      <c r="N62" s="136" t="s">
        <v>1587</v>
      </c>
      <c r="O62" s="136" t="s">
        <v>1588</v>
      </c>
      <c r="P62" s="136" t="s">
        <v>953</v>
      </c>
      <c r="Q62" s="164" t="s">
        <v>1206</v>
      </c>
      <c r="R62" s="153" t="s">
        <v>623</v>
      </c>
      <c r="S62" s="48"/>
      <c r="T62" s="191" t="s">
        <v>70</v>
      </c>
      <c r="U62" s="189" t="s">
        <v>1589</v>
      </c>
      <c r="V62" s="48"/>
      <c r="W62" s="190" t="s">
        <v>1282</v>
      </c>
      <c r="X62" s="209" t="s">
        <v>491</v>
      </c>
      <c r="Y62" s="150" t="s">
        <v>591</v>
      </c>
      <c r="Z62" s="48"/>
      <c r="AA62" s="48"/>
      <c r="AB62" s="191" t="s">
        <v>512</v>
      </c>
      <c r="AC62" s="164" t="s">
        <v>1590</v>
      </c>
      <c r="AD62" s="218" t="s">
        <v>1422</v>
      </c>
      <c r="AE62" s="48"/>
      <c r="AF62" s="175"/>
      <c r="AG62" s="202" t="s">
        <v>1262</v>
      </c>
      <c r="AH62" s="212" t="s">
        <v>1261</v>
      </c>
      <c r="AI62" s="10" t="s">
        <v>1487</v>
      </c>
      <c r="AJ62" s="10" t="s">
        <v>1087</v>
      </c>
      <c r="AK62" s="289" t="s">
        <v>137</v>
      </c>
      <c r="AL62" s="61" t="s">
        <v>58</v>
      </c>
      <c r="AM62" s="10" t="s">
        <v>1591</v>
      </c>
      <c r="AN62" s="10" t="s">
        <v>217</v>
      </c>
      <c r="AO62" s="10" t="s">
        <v>1592</v>
      </c>
      <c r="AP62" s="16" t="s">
        <v>1055</v>
      </c>
      <c r="AQ62" s="290" t="s">
        <v>1593</v>
      </c>
      <c r="AR62" s="286" t="s">
        <v>791</v>
      </c>
      <c r="AS62" s="175"/>
      <c r="AT62" s="48"/>
      <c r="AU62" s="66" t="s">
        <v>1594</v>
      </c>
      <c r="AV62" s="48"/>
      <c r="AW62" s="16" t="s">
        <v>23</v>
      </c>
      <c r="AX62" s="56" t="s">
        <v>23</v>
      </c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  <c r="CE62" s="48"/>
      <c r="CF62" s="48"/>
      <c r="CG62" s="48"/>
      <c r="CH62" s="48"/>
      <c r="CI62" s="48"/>
      <c r="CJ62" s="48"/>
      <c r="CK62" s="48"/>
      <c r="CL62" s="48"/>
      <c r="CM62" s="48"/>
      <c r="CN62" s="48"/>
      <c r="CO62" s="48"/>
      <c r="CP62" s="48"/>
      <c r="CQ62" s="48"/>
      <c r="CR62" s="48"/>
      <c r="CS62" s="48"/>
      <c r="CT62" s="48"/>
      <c r="CU62" s="48"/>
      <c r="CV62" s="48"/>
      <c r="CW62" s="48"/>
      <c r="CX62" s="48"/>
      <c r="CY62" s="48"/>
      <c r="CZ62" s="48"/>
      <c r="DA62" s="48"/>
      <c r="DB62" s="48"/>
      <c r="DC62" s="48"/>
      <c r="DD62" s="48"/>
    </row>
    <row r="63">
      <c r="A63" s="48"/>
      <c r="B63" s="172"/>
      <c r="C63" s="136" t="s">
        <v>775</v>
      </c>
      <c r="D63" s="136" t="s">
        <v>1216</v>
      </c>
      <c r="E63" s="48"/>
      <c r="F63" s="172"/>
      <c r="G63" s="136" t="s">
        <v>1595</v>
      </c>
      <c r="H63" s="136" t="s">
        <v>882</v>
      </c>
      <c r="I63" s="136" t="s">
        <v>831</v>
      </c>
      <c r="J63" s="136" t="s">
        <v>1205</v>
      </c>
      <c r="K63" s="136" t="s">
        <v>1596</v>
      </c>
      <c r="L63" s="136" t="s">
        <v>1597</v>
      </c>
      <c r="M63" s="136" t="s">
        <v>1598</v>
      </c>
      <c r="N63" s="136" t="s">
        <v>150</v>
      </c>
      <c r="O63" s="136" t="s">
        <v>126</v>
      </c>
      <c r="P63" s="136" t="s">
        <v>779</v>
      </c>
      <c r="Q63" s="135" t="s">
        <v>737</v>
      </c>
      <c r="R63" s="189" t="s">
        <v>1599</v>
      </c>
      <c r="S63" s="48"/>
      <c r="T63" s="150" t="s">
        <v>345</v>
      </c>
      <c r="U63" s="135" t="s">
        <v>1600</v>
      </c>
      <c r="V63" s="48"/>
      <c r="W63" s="164" t="s">
        <v>1030</v>
      </c>
      <c r="X63" s="49" t="s">
        <v>546</v>
      </c>
      <c r="Y63" s="153" t="s">
        <v>140</v>
      </c>
      <c r="Z63" s="48"/>
      <c r="AA63" s="48"/>
      <c r="AB63" s="191" t="s">
        <v>201</v>
      </c>
      <c r="AC63" s="258" t="s">
        <v>169</v>
      </c>
      <c r="AD63" s="10" t="s">
        <v>1601</v>
      </c>
      <c r="AE63" s="48"/>
      <c r="AF63" s="175"/>
      <c r="AG63" s="226" t="s">
        <v>68</v>
      </c>
      <c r="AH63" s="212" t="s">
        <v>166</v>
      </c>
      <c r="AI63" s="10" t="s">
        <v>143</v>
      </c>
      <c r="AJ63" s="22" t="s">
        <v>1602</v>
      </c>
      <c r="AK63" s="10" t="s">
        <v>165</v>
      </c>
      <c r="AL63" s="10" t="s">
        <v>1603</v>
      </c>
      <c r="AM63" s="10" t="s">
        <v>174</v>
      </c>
      <c r="AN63" s="10" t="s">
        <v>20</v>
      </c>
      <c r="AO63" s="10" t="s">
        <v>847</v>
      </c>
      <c r="AP63" s="10" t="s">
        <v>117</v>
      </c>
      <c r="AQ63" s="61" t="s">
        <v>1319</v>
      </c>
      <c r="AR63" s="56" t="s">
        <v>69</v>
      </c>
      <c r="AS63" s="175"/>
      <c r="AT63" s="48"/>
      <c r="AU63" s="61" t="s">
        <v>1604</v>
      </c>
      <c r="AV63" s="48"/>
      <c r="AW63" s="291" t="s">
        <v>57</v>
      </c>
      <c r="AX63" s="56" t="s">
        <v>161</v>
      </c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</row>
    <row r="64">
      <c r="A64" s="48"/>
      <c r="B64" s="172"/>
      <c r="C64" s="136" t="s">
        <v>330</v>
      </c>
      <c r="D64" s="136" t="s">
        <v>1605</v>
      </c>
      <c r="E64" s="48"/>
      <c r="F64" s="172"/>
      <c r="G64" s="136" t="s">
        <v>998</v>
      </c>
      <c r="H64" s="185" t="s">
        <v>624</v>
      </c>
      <c r="I64" s="136" t="s">
        <v>525</v>
      </c>
      <c r="J64" s="136" t="s">
        <v>245</v>
      </c>
      <c r="K64" s="136" t="s">
        <v>232</v>
      </c>
      <c r="L64" s="136" t="s">
        <v>199</v>
      </c>
      <c r="M64" s="136" t="s">
        <v>498</v>
      </c>
      <c r="N64" s="136" t="s">
        <v>1606</v>
      </c>
      <c r="O64" s="136" t="s">
        <v>1120</v>
      </c>
      <c r="P64" s="136" t="s">
        <v>834</v>
      </c>
      <c r="Q64" s="135" t="s">
        <v>1607</v>
      </c>
      <c r="R64" s="135" t="s">
        <v>1221</v>
      </c>
      <c r="S64" s="48"/>
      <c r="T64" s="150" t="s">
        <v>982</v>
      </c>
      <c r="U64" s="135" t="s">
        <v>134</v>
      </c>
      <c r="V64" s="48"/>
      <c r="W64" s="166" t="s">
        <v>1608</v>
      </c>
      <c r="X64" s="49" t="s">
        <v>1251</v>
      </c>
      <c r="Y64" s="150" t="s">
        <v>789</v>
      </c>
      <c r="Z64" s="48"/>
      <c r="AA64" s="48"/>
      <c r="AB64" s="191" t="s">
        <v>654</v>
      </c>
      <c r="AC64" s="61" t="s">
        <v>29</v>
      </c>
      <c r="AD64" s="191" t="s">
        <v>1609</v>
      </c>
      <c r="AE64" s="48"/>
      <c r="AF64" s="175"/>
      <c r="AG64" s="226" t="s">
        <v>16</v>
      </c>
      <c r="AH64" s="220" t="s">
        <v>841</v>
      </c>
      <c r="AI64" s="138" t="s">
        <v>1399</v>
      </c>
      <c r="AJ64" s="22" t="s">
        <v>1603</v>
      </c>
      <c r="AK64" s="10" t="s">
        <v>1610</v>
      </c>
      <c r="AL64" s="16" t="s">
        <v>77</v>
      </c>
      <c r="AM64" s="10" t="s">
        <v>973</v>
      </c>
      <c r="AN64" s="36" t="s">
        <v>1368</v>
      </c>
      <c r="AO64" s="95" t="s">
        <v>1305</v>
      </c>
      <c r="AP64" s="16" t="s">
        <v>1611</v>
      </c>
      <c r="AQ64" s="22" t="s">
        <v>1612</v>
      </c>
      <c r="AR64" s="10" t="s">
        <v>1613</v>
      </c>
      <c r="AS64" s="175"/>
      <c r="AT64" s="48"/>
      <c r="AU64" s="235" t="s">
        <v>1520</v>
      </c>
      <c r="AV64" s="48"/>
      <c r="AW64" s="16" t="s">
        <v>1614</v>
      </c>
      <c r="AX64" s="22" t="s">
        <v>99</v>
      </c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</row>
    <row r="65">
      <c r="A65" s="48"/>
      <c r="B65" s="172"/>
      <c r="C65" s="136" t="s">
        <v>132</v>
      </c>
      <c r="D65" s="136" t="s">
        <v>1615</v>
      </c>
      <c r="E65" s="48"/>
      <c r="F65" s="172"/>
      <c r="G65" s="136" t="s">
        <v>1021</v>
      </c>
      <c r="H65" s="136" t="s">
        <v>982</v>
      </c>
      <c r="I65" s="136" t="s">
        <v>596</v>
      </c>
      <c r="J65" s="136" t="s">
        <v>624</v>
      </c>
      <c r="K65" s="136" t="s">
        <v>807</v>
      </c>
      <c r="L65" s="136" t="s">
        <v>322</v>
      </c>
      <c r="M65" s="136" t="s">
        <v>1616</v>
      </c>
      <c r="N65" s="136" t="s">
        <v>624</v>
      </c>
      <c r="O65" s="136" t="s">
        <v>1617</v>
      </c>
      <c r="P65" s="136" t="s">
        <v>1486</v>
      </c>
      <c r="Q65" s="143" t="s">
        <v>677</v>
      </c>
      <c r="R65" s="135" t="s">
        <v>738</v>
      </c>
      <c r="S65" s="48"/>
      <c r="T65" s="61" t="s">
        <v>199</v>
      </c>
      <c r="U65" s="135" t="s">
        <v>454</v>
      </c>
      <c r="V65" s="48"/>
      <c r="W65" s="190" t="s">
        <v>1618</v>
      </c>
      <c r="X65" s="61" t="s">
        <v>134</v>
      </c>
      <c r="Y65" s="153" t="s">
        <v>140</v>
      </c>
      <c r="Z65" s="48"/>
      <c r="AA65" s="48"/>
      <c r="AB65" s="214" t="s">
        <v>301</v>
      </c>
      <c r="AC65" s="191" t="s">
        <v>363</v>
      </c>
      <c r="AD65" s="191" t="s">
        <v>91</v>
      </c>
      <c r="AE65" s="48"/>
      <c r="AF65" s="175"/>
      <c r="AG65" s="226" t="s">
        <v>70</v>
      </c>
      <c r="AI65" s="10" t="s">
        <v>96</v>
      </c>
      <c r="AJ65" s="16" t="s">
        <v>20</v>
      </c>
      <c r="AK65" s="22" t="s">
        <v>20</v>
      </c>
      <c r="AL65" s="10" t="s">
        <v>1619</v>
      </c>
      <c r="AM65" s="265" t="s">
        <v>1620</v>
      </c>
      <c r="AN65" s="10" t="s">
        <v>896</v>
      </c>
      <c r="AO65" s="22" t="s">
        <v>128</v>
      </c>
      <c r="AP65" s="61" t="s">
        <v>58</v>
      </c>
      <c r="AQ65" s="10" t="s">
        <v>68</v>
      </c>
      <c r="AR65" s="10" t="s">
        <v>1621</v>
      </c>
      <c r="AS65" s="175"/>
      <c r="AT65" s="48"/>
      <c r="AU65" s="28" t="s">
        <v>268</v>
      </c>
      <c r="AV65" s="48"/>
      <c r="AW65" s="279" t="s">
        <v>841</v>
      </c>
      <c r="AX65" s="16" t="s">
        <v>1461</v>
      </c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  <c r="CE65" s="48"/>
      <c r="CF65" s="48"/>
      <c r="CG65" s="48"/>
      <c r="CH65" s="48"/>
      <c r="CI65" s="48"/>
      <c r="CJ65" s="48"/>
      <c r="CK65" s="48"/>
      <c r="CL65" s="48"/>
      <c r="CM65" s="48"/>
      <c r="CN65" s="48"/>
      <c r="CO65" s="48"/>
      <c r="CP65" s="48"/>
      <c r="CQ65" s="48"/>
      <c r="CR65" s="48"/>
      <c r="CS65" s="48"/>
      <c r="CT65" s="48"/>
      <c r="CU65" s="48"/>
      <c r="CV65" s="48"/>
      <c r="CW65" s="48"/>
      <c r="CX65" s="48"/>
      <c r="CY65" s="48"/>
      <c r="CZ65" s="48"/>
      <c r="DA65" s="48"/>
      <c r="DB65" s="48"/>
      <c r="DC65" s="48"/>
      <c r="DD65" s="48"/>
    </row>
    <row r="66">
      <c r="A66" s="48"/>
      <c r="B66" s="172"/>
      <c r="C66" s="136" t="s">
        <v>1622</v>
      </c>
      <c r="D66" s="136" t="s">
        <v>1623</v>
      </c>
      <c r="E66" s="48"/>
      <c r="F66" s="172"/>
      <c r="G66" s="136" t="s">
        <v>776</v>
      </c>
      <c r="H66" s="136" t="s">
        <v>929</v>
      </c>
      <c r="I66" s="185" t="s">
        <v>1434</v>
      </c>
      <c r="J66" s="185" t="s">
        <v>1624</v>
      </c>
      <c r="K66" s="136" t="s">
        <v>231</v>
      </c>
      <c r="L66" s="136" t="s">
        <v>1625</v>
      </c>
      <c r="M66" s="136" t="s">
        <v>58</v>
      </c>
      <c r="N66" s="136" t="s">
        <v>779</v>
      </c>
      <c r="O66" s="136" t="s">
        <v>735</v>
      </c>
      <c r="P66" s="136" t="s">
        <v>1626</v>
      </c>
      <c r="Q66" s="259" t="s">
        <v>967</v>
      </c>
      <c r="R66" s="135" t="s">
        <v>199</v>
      </c>
      <c r="S66" s="48"/>
      <c r="T66" s="150" t="s">
        <v>933</v>
      </c>
      <c r="U66" s="208" t="s">
        <v>164</v>
      </c>
      <c r="V66" s="48"/>
      <c r="W66" s="48"/>
      <c r="X66" s="248" t="s">
        <v>603</v>
      </c>
      <c r="Y66" s="214" t="s">
        <v>1627</v>
      </c>
      <c r="Z66" s="48"/>
      <c r="AA66" s="48"/>
      <c r="AB66" s="48"/>
      <c r="AC66" s="202" t="s">
        <v>313</v>
      </c>
      <c r="AD66" s="191" t="s">
        <v>40</v>
      </c>
      <c r="AE66" s="48"/>
      <c r="AF66" s="175"/>
      <c r="AG66" s="226" t="s">
        <v>1628</v>
      </c>
      <c r="AI66" s="292" t="s">
        <v>988</v>
      </c>
      <c r="AJ66" s="293" t="s">
        <v>183</v>
      </c>
      <c r="AK66" s="10" t="s">
        <v>1465</v>
      </c>
      <c r="AL66" s="22" t="s">
        <v>846</v>
      </c>
      <c r="AM66" s="22" t="s">
        <v>1200</v>
      </c>
      <c r="AN66" s="69" t="s">
        <v>942</v>
      </c>
      <c r="AP66" s="61" t="s">
        <v>1629</v>
      </c>
      <c r="AQ66" s="22" t="s">
        <v>1548</v>
      </c>
      <c r="AR66" s="56" t="s">
        <v>791</v>
      </c>
      <c r="AS66" s="175"/>
      <c r="AT66" s="48"/>
      <c r="AU66" s="22" t="s">
        <v>1038</v>
      </c>
      <c r="AV66" s="48"/>
      <c r="AW66" s="28" t="s">
        <v>1630</v>
      </c>
      <c r="AX66" s="279" t="s">
        <v>875</v>
      </c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</row>
    <row r="67">
      <c r="A67" s="48"/>
      <c r="B67" s="172"/>
      <c r="C67" s="136" t="s">
        <v>319</v>
      </c>
      <c r="D67" s="136" t="s">
        <v>998</v>
      </c>
      <c r="E67" s="48"/>
      <c r="F67" s="172"/>
      <c r="G67" s="136" t="s">
        <v>296</v>
      </c>
      <c r="H67" s="172"/>
      <c r="I67" s="185" t="s">
        <v>1098</v>
      </c>
      <c r="J67" s="136" t="s">
        <v>365</v>
      </c>
      <c r="K67" s="136" t="s">
        <v>857</v>
      </c>
      <c r="L67" s="136" t="s">
        <v>1261</v>
      </c>
      <c r="M67" s="136" t="s">
        <v>624</v>
      </c>
      <c r="N67" s="136" t="s">
        <v>1119</v>
      </c>
      <c r="O67" s="136" t="s">
        <v>345</v>
      </c>
      <c r="P67" s="136" t="s">
        <v>1631</v>
      </c>
      <c r="Q67" s="158" t="s">
        <v>57</v>
      </c>
      <c r="R67" s="135" t="s">
        <v>967</v>
      </c>
      <c r="S67" s="48"/>
      <c r="T67" s="150" t="s">
        <v>268</v>
      </c>
      <c r="U67" s="197" t="s">
        <v>525</v>
      </c>
      <c r="V67" s="48"/>
      <c r="W67" s="48"/>
      <c r="X67" s="160" t="s">
        <v>96</v>
      </c>
      <c r="Y67" s="150" t="s">
        <v>248</v>
      </c>
      <c r="Z67" s="48"/>
      <c r="AA67" s="48"/>
      <c r="AB67" s="48"/>
      <c r="AC67" s="61" t="s">
        <v>167</v>
      </c>
      <c r="AD67" s="191" t="s">
        <v>782</v>
      </c>
      <c r="AE67" s="48"/>
      <c r="AF67" s="175"/>
      <c r="AG67" s="48"/>
      <c r="AI67" s="294" t="s">
        <v>17</v>
      </c>
      <c r="AJ67" s="194" t="s">
        <v>971</v>
      </c>
      <c r="AK67" s="10" t="s">
        <v>1632</v>
      </c>
      <c r="AL67" s="16" t="s">
        <v>1236</v>
      </c>
      <c r="AM67" s="69" t="s">
        <v>942</v>
      </c>
      <c r="AN67" s="22" t="s">
        <v>168</v>
      </c>
      <c r="AO67" s="48"/>
      <c r="AP67" s="13" t="s">
        <v>1344</v>
      </c>
      <c r="AQ67" s="22" t="s">
        <v>793</v>
      </c>
      <c r="AR67" s="10" t="s">
        <v>1633</v>
      </c>
      <c r="AS67" s="175"/>
      <c r="AT67" s="48"/>
      <c r="AU67" s="286" t="s">
        <v>1634</v>
      </c>
      <c r="AV67" s="48"/>
      <c r="AW67" s="16" t="s">
        <v>770</v>
      </c>
      <c r="AX67" s="22" t="s">
        <v>1092</v>
      </c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  <c r="CE67" s="48"/>
      <c r="CF67" s="48"/>
      <c r="CG67" s="48"/>
      <c r="CH67" s="48"/>
      <c r="CI67" s="48"/>
      <c r="CJ67" s="48"/>
      <c r="CK67" s="48"/>
      <c r="CL67" s="48"/>
      <c r="CM67" s="48"/>
      <c r="CN67" s="48"/>
      <c r="CO67" s="48"/>
      <c r="CP67" s="48"/>
      <c r="CQ67" s="48"/>
      <c r="CR67" s="48"/>
      <c r="CS67" s="48"/>
      <c r="CT67" s="48"/>
      <c r="CU67" s="48"/>
      <c r="CV67" s="48"/>
      <c r="CW67" s="48"/>
      <c r="CX67" s="48"/>
      <c r="CY67" s="48"/>
      <c r="CZ67" s="48"/>
      <c r="DA67" s="48"/>
      <c r="DB67" s="48"/>
      <c r="DC67" s="48"/>
      <c r="DD67" s="48"/>
    </row>
    <row r="68">
      <c r="A68" s="48"/>
      <c r="B68" s="172"/>
      <c r="C68" s="136" t="s">
        <v>1324</v>
      </c>
      <c r="D68" s="136" t="s">
        <v>1021</v>
      </c>
      <c r="E68" s="48"/>
      <c r="F68" s="172"/>
      <c r="G68" s="136" t="s">
        <v>753</v>
      </c>
      <c r="H68" s="172"/>
      <c r="I68" s="185" t="s">
        <v>1635</v>
      </c>
      <c r="J68" s="136" t="s">
        <v>294</v>
      </c>
      <c r="K68" s="136" t="s">
        <v>464</v>
      </c>
      <c r="L68" s="136" t="s">
        <v>757</v>
      </c>
      <c r="M68" s="136" t="s">
        <v>982</v>
      </c>
      <c r="N68" s="136" t="s">
        <v>345</v>
      </c>
      <c r="O68" s="136" t="s">
        <v>733</v>
      </c>
      <c r="P68" s="136" t="s">
        <v>1206</v>
      </c>
      <c r="Q68" s="259" t="s">
        <v>349</v>
      </c>
      <c r="R68" s="135" t="s">
        <v>57</v>
      </c>
      <c r="S68" s="48"/>
      <c r="T68" s="150" t="s">
        <v>754</v>
      </c>
      <c r="U68" s="295" t="s">
        <v>1636</v>
      </c>
      <c r="V68" s="48"/>
      <c r="W68" s="48"/>
      <c r="X68" s="160" t="s">
        <v>70</v>
      </c>
      <c r="Y68" s="160" t="s">
        <v>587</v>
      </c>
      <c r="Z68" s="48"/>
      <c r="AA68" s="48"/>
      <c r="AB68" s="48"/>
      <c r="AC68" s="191" t="s">
        <v>173</v>
      </c>
      <c r="AD68" s="191" t="s">
        <v>866</v>
      </c>
      <c r="AE68" s="48"/>
      <c r="AF68" s="175"/>
      <c r="AG68" s="48"/>
      <c r="AH68" s="48"/>
      <c r="AI68" s="296" t="s">
        <v>1181</v>
      </c>
      <c r="AJ68" s="10" t="s">
        <v>1198</v>
      </c>
      <c r="AK68" s="10" t="s">
        <v>1637</v>
      </c>
      <c r="AL68" s="10" t="s">
        <v>1602</v>
      </c>
      <c r="AM68" s="22" t="s">
        <v>1638</v>
      </c>
      <c r="AN68" s="16" t="s">
        <v>1056</v>
      </c>
      <c r="AO68" s="48"/>
      <c r="AP68" s="191" t="s">
        <v>744</v>
      </c>
      <c r="AQ68" s="192" t="s">
        <v>1257</v>
      </c>
      <c r="AR68" s="56" t="s">
        <v>1492</v>
      </c>
      <c r="AS68" s="175"/>
      <c r="AT68" s="48"/>
      <c r="AU68" s="22" t="s">
        <v>898</v>
      </c>
      <c r="AV68" s="48"/>
      <c r="AW68" s="28" t="s">
        <v>1639</v>
      </c>
      <c r="AX68" s="28" t="s">
        <v>40</v>
      </c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  <c r="CE68" s="48"/>
      <c r="CF68" s="48"/>
      <c r="CG68" s="48"/>
      <c r="CH68" s="48"/>
      <c r="CI68" s="48"/>
      <c r="CJ68" s="48"/>
      <c r="CK68" s="48"/>
      <c r="CL68" s="48"/>
      <c r="CM68" s="48"/>
      <c r="CN68" s="48"/>
      <c r="CO68" s="48"/>
      <c r="CP68" s="48"/>
      <c r="CQ68" s="48"/>
      <c r="CR68" s="48"/>
      <c r="CS68" s="48"/>
      <c r="CT68" s="48"/>
      <c r="CU68" s="48"/>
      <c r="CV68" s="48"/>
      <c r="CW68" s="48"/>
      <c r="CX68" s="48"/>
      <c r="CY68" s="48"/>
      <c r="CZ68" s="48"/>
      <c r="DA68" s="48"/>
      <c r="DB68" s="48"/>
      <c r="DC68" s="48"/>
      <c r="DD68" s="48"/>
    </row>
    <row r="69">
      <c r="A69" s="48"/>
      <c r="B69" s="172"/>
      <c r="C69" s="196" t="s">
        <v>509</v>
      </c>
      <c r="D69" s="136" t="s">
        <v>776</v>
      </c>
      <c r="E69" s="48"/>
      <c r="F69" s="172"/>
      <c r="G69" s="136" t="s">
        <v>633</v>
      </c>
      <c r="H69" s="172"/>
      <c r="I69" s="185" t="s">
        <v>904</v>
      </c>
      <c r="J69" s="136" t="s">
        <v>1640</v>
      </c>
      <c r="K69" s="136" t="s">
        <v>1641</v>
      </c>
      <c r="L69" s="136" t="s">
        <v>1193</v>
      </c>
      <c r="M69" s="136" t="s">
        <v>289</v>
      </c>
      <c r="N69" s="136" t="s">
        <v>1642</v>
      </c>
      <c r="O69" s="136" t="s">
        <v>167</v>
      </c>
      <c r="P69" s="136" t="s">
        <v>760</v>
      </c>
      <c r="Q69" s="135" t="s">
        <v>1313</v>
      </c>
      <c r="R69" s="135" t="s">
        <v>267</v>
      </c>
      <c r="S69" s="48"/>
      <c r="T69" s="150" t="s">
        <v>912</v>
      </c>
      <c r="U69" s="135" t="s">
        <v>1313</v>
      </c>
      <c r="V69" s="48"/>
      <c r="W69" s="48"/>
      <c r="X69" s="160" t="s">
        <v>955</v>
      </c>
      <c r="Y69" s="150" t="s">
        <v>520</v>
      </c>
      <c r="Z69" s="48"/>
      <c r="AA69" s="48"/>
      <c r="AB69" s="48"/>
      <c r="AC69" s="61" t="s">
        <v>624</v>
      </c>
      <c r="AD69" s="191" t="s">
        <v>867</v>
      </c>
      <c r="AE69" s="48"/>
      <c r="AF69" s="175"/>
      <c r="AG69" s="48"/>
      <c r="AH69" s="48"/>
      <c r="AJ69" s="10" t="s">
        <v>68</v>
      </c>
      <c r="AK69" s="16" t="s">
        <v>1317</v>
      </c>
      <c r="AL69" s="13" t="s">
        <v>896</v>
      </c>
      <c r="AM69" s="10" t="s">
        <v>43</v>
      </c>
      <c r="AN69" s="10" t="s">
        <v>991</v>
      </c>
      <c r="AO69" s="48"/>
      <c r="AP69" s="191" t="s">
        <v>1643</v>
      </c>
      <c r="AQ69" s="10" t="s">
        <v>1169</v>
      </c>
      <c r="AR69" s="22" t="s">
        <v>1480</v>
      </c>
      <c r="AS69" s="175"/>
      <c r="AT69" s="48"/>
      <c r="AU69" s="16" t="s">
        <v>126</v>
      </c>
      <c r="AV69" s="48"/>
      <c r="AW69" s="28" t="s">
        <v>1403</v>
      </c>
      <c r="AX69" s="22" t="s">
        <v>1644</v>
      </c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</row>
    <row r="70">
      <c r="A70" s="48"/>
      <c r="B70" s="172"/>
      <c r="C70" s="136" t="s">
        <v>1645</v>
      </c>
      <c r="D70" s="185" t="s">
        <v>1646</v>
      </c>
      <c r="E70" s="48"/>
      <c r="F70" s="172"/>
      <c r="G70" s="136" t="s">
        <v>882</v>
      </c>
      <c r="H70" s="172"/>
      <c r="I70" s="136" t="s">
        <v>754</v>
      </c>
      <c r="J70" s="136" t="s">
        <v>623</v>
      </c>
      <c r="K70" s="136" t="s">
        <v>754</v>
      </c>
      <c r="L70" s="136" t="s">
        <v>281</v>
      </c>
      <c r="M70" s="136" t="s">
        <v>345</v>
      </c>
      <c r="N70" s="136" t="s">
        <v>1647</v>
      </c>
      <c r="O70" s="136" t="s">
        <v>754</v>
      </c>
      <c r="P70" s="136" t="s">
        <v>1572</v>
      </c>
      <c r="Q70" s="259" t="s">
        <v>1206</v>
      </c>
      <c r="R70" s="135" t="s">
        <v>598</v>
      </c>
      <c r="S70" s="48"/>
      <c r="T70" s="150" t="s">
        <v>469</v>
      </c>
      <c r="U70" s="135" t="s">
        <v>1207</v>
      </c>
      <c r="V70" s="48"/>
      <c r="W70" s="48"/>
      <c r="X70" s="150" t="s">
        <v>184</v>
      </c>
      <c r="Y70" s="160" t="s">
        <v>301</v>
      </c>
      <c r="Z70" s="48"/>
      <c r="AA70" s="48"/>
      <c r="AB70" s="48"/>
      <c r="AC70" s="61" t="s">
        <v>366</v>
      </c>
      <c r="AD70" s="191" t="s">
        <v>363</v>
      </c>
      <c r="AE70" s="48"/>
      <c r="AF70" s="175"/>
      <c r="AG70" s="48"/>
      <c r="AH70" s="48"/>
      <c r="AI70" s="48"/>
      <c r="AJ70" s="10" t="s">
        <v>69</v>
      </c>
      <c r="AK70" s="10" t="s">
        <v>1648</v>
      </c>
      <c r="AL70" s="282" t="s">
        <v>1649</v>
      </c>
      <c r="AM70" s="10" t="s">
        <v>869</v>
      </c>
      <c r="AN70" s="10" t="s">
        <v>868</v>
      </c>
      <c r="AO70" s="48"/>
      <c r="AP70" s="61" t="s">
        <v>1650</v>
      </c>
      <c r="AQ70" s="10" t="s">
        <v>140</v>
      </c>
      <c r="AR70" s="22" t="s">
        <v>1651</v>
      </c>
      <c r="AS70" s="175"/>
      <c r="AT70" s="48"/>
      <c r="AU70" s="195" t="s">
        <v>62</v>
      </c>
      <c r="AV70" s="48"/>
      <c r="AW70" s="56" t="s">
        <v>877</v>
      </c>
      <c r="AX70" s="16" t="s">
        <v>824</v>
      </c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</row>
    <row r="71">
      <c r="A71" s="48"/>
      <c r="B71" s="172"/>
      <c r="C71" s="136" t="s">
        <v>229</v>
      </c>
      <c r="D71" s="136" t="s">
        <v>1652</v>
      </c>
      <c r="E71" s="48"/>
      <c r="F71" s="172"/>
      <c r="G71" s="136" t="s">
        <v>303</v>
      </c>
      <c r="H71" s="172"/>
      <c r="I71" s="136" t="s">
        <v>1653</v>
      </c>
      <c r="J71" s="136" t="s">
        <v>1060</v>
      </c>
      <c r="K71" s="136" t="s">
        <v>596</v>
      </c>
      <c r="L71" s="136" t="s">
        <v>624</v>
      </c>
      <c r="M71" s="136" t="s">
        <v>541</v>
      </c>
      <c r="N71" s="136" t="s">
        <v>57</v>
      </c>
      <c r="O71" s="136" t="s">
        <v>1571</v>
      </c>
      <c r="P71" s="136" t="s">
        <v>1654</v>
      </c>
      <c r="Q71" s="189" t="s">
        <v>783</v>
      </c>
      <c r="R71" s="189" t="s">
        <v>1164</v>
      </c>
      <c r="S71" s="48"/>
      <c r="T71" s="150" t="s">
        <v>1222</v>
      </c>
      <c r="U71" s="61" t="s">
        <v>738</v>
      </c>
      <c r="V71" s="48"/>
      <c r="W71" s="48"/>
      <c r="X71" s="150" t="s">
        <v>242</v>
      </c>
      <c r="Y71" s="160" t="s">
        <v>491</v>
      </c>
      <c r="Z71" s="48"/>
      <c r="AA71" s="48"/>
      <c r="AB71" s="48"/>
      <c r="AC71" s="191" t="s">
        <v>362</v>
      </c>
      <c r="AD71" s="61" t="s">
        <v>1049</v>
      </c>
      <c r="AE71" s="48"/>
      <c r="AF71" s="175"/>
      <c r="AG71" s="48"/>
      <c r="AH71" s="48"/>
      <c r="AI71" s="48"/>
      <c r="AJ71" s="15" t="s">
        <v>939</v>
      </c>
      <c r="AK71" s="16" t="s">
        <v>669</v>
      </c>
      <c r="AL71" s="61" t="s">
        <v>942</v>
      </c>
      <c r="AM71" s="10" t="s">
        <v>1655</v>
      </c>
      <c r="AN71" s="280" t="s">
        <v>37</v>
      </c>
      <c r="AO71" s="48"/>
      <c r="AP71" s="36" t="s">
        <v>893</v>
      </c>
      <c r="AQ71" s="22" t="s">
        <v>1656</v>
      </c>
      <c r="AR71" s="22"/>
      <c r="AS71" s="175"/>
      <c r="AT71" s="48"/>
      <c r="AU71" s="22" t="s">
        <v>796</v>
      </c>
      <c r="AV71" s="48"/>
      <c r="AW71" s="28" t="s">
        <v>1657</v>
      </c>
      <c r="AX71" s="11" t="s">
        <v>962</v>
      </c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  <c r="CE71" s="48"/>
      <c r="CF71" s="48"/>
      <c r="CG71" s="48"/>
      <c r="CH71" s="48"/>
      <c r="CI71" s="48"/>
      <c r="CJ71" s="48"/>
      <c r="CK71" s="48"/>
      <c r="CL71" s="48"/>
      <c r="CM71" s="48"/>
      <c r="CN71" s="48"/>
      <c r="CO71" s="48"/>
      <c r="CP71" s="48"/>
      <c r="CQ71" s="48"/>
      <c r="CR71" s="48"/>
      <c r="CS71" s="48"/>
      <c r="CT71" s="48"/>
      <c r="CU71" s="48"/>
      <c r="CV71" s="48"/>
      <c r="CW71" s="48"/>
      <c r="CX71" s="48"/>
      <c r="CY71" s="48"/>
      <c r="CZ71" s="48"/>
      <c r="DA71" s="48"/>
      <c r="DB71" s="48"/>
      <c r="DC71" s="48"/>
      <c r="DD71" s="48"/>
    </row>
    <row r="72">
      <c r="A72" s="48"/>
      <c r="B72" s="172"/>
      <c r="C72" s="136" t="s">
        <v>294</v>
      </c>
      <c r="D72" s="136" t="s">
        <v>96</v>
      </c>
      <c r="E72" s="48"/>
      <c r="F72" s="172"/>
      <c r="G72" s="61" t="s">
        <v>311</v>
      </c>
      <c r="H72" s="172"/>
      <c r="I72" s="136" t="s">
        <v>251</v>
      </c>
      <c r="J72" s="136" t="s">
        <v>733</v>
      </c>
      <c r="K72" s="136" t="s">
        <v>642</v>
      </c>
      <c r="L72" s="136" t="s">
        <v>779</v>
      </c>
      <c r="M72" s="136" t="s">
        <v>327</v>
      </c>
      <c r="N72" s="136" t="s">
        <v>1065</v>
      </c>
      <c r="O72" s="136" t="s">
        <v>1658</v>
      </c>
      <c r="P72" s="136" t="s">
        <v>623</v>
      </c>
      <c r="Q72" s="259" t="s">
        <v>1659</v>
      </c>
      <c r="R72" s="48"/>
      <c r="S72" s="48"/>
      <c r="T72" s="277"/>
      <c r="U72" s="150" t="s">
        <v>813</v>
      </c>
      <c r="V72" s="48"/>
      <c r="W72" s="48"/>
      <c r="X72" s="150" t="s">
        <v>302</v>
      </c>
      <c r="Y72" s="150" t="s">
        <v>1660</v>
      </c>
      <c r="Z72" s="48"/>
      <c r="AA72" s="48"/>
      <c r="AB72" s="48"/>
      <c r="AC72" s="189" t="s">
        <v>525</v>
      </c>
      <c r="AD72" s="61" t="s">
        <v>763</v>
      </c>
      <c r="AE72" s="48"/>
      <c r="AF72" s="175"/>
      <c r="AG72" s="48"/>
      <c r="AH72" s="48"/>
      <c r="AI72" s="48"/>
      <c r="AJ72" s="16" t="s">
        <v>31</v>
      </c>
      <c r="AK72" s="48"/>
      <c r="AL72" s="191" t="s">
        <v>1661</v>
      </c>
      <c r="AM72" s="297" t="s">
        <v>1411</v>
      </c>
      <c r="AN72" s="280" t="s">
        <v>1088</v>
      </c>
      <c r="AO72" s="48"/>
      <c r="AP72" s="10" t="s">
        <v>1304</v>
      </c>
      <c r="AQ72" s="10" t="s">
        <v>1056</v>
      </c>
      <c r="AR72" s="48"/>
      <c r="AS72" s="175"/>
      <c r="AT72" s="48"/>
      <c r="AU72" s="16" t="s">
        <v>1662</v>
      </c>
      <c r="AV72" s="48"/>
      <c r="AW72" s="28" t="s">
        <v>62</v>
      </c>
      <c r="AX72" s="22" t="s">
        <v>1663</v>
      </c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/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/>
      <c r="DA72" s="48"/>
      <c r="DB72" s="48"/>
      <c r="DC72" s="48"/>
      <c r="DD72" s="48"/>
    </row>
    <row r="73">
      <c r="A73" s="48"/>
      <c r="B73" s="172"/>
      <c r="C73" s="136" t="s">
        <v>923</v>
      </c>
      <c r="D73" s="48"/>
      <c r="E73" s="48"/>
      <c r="F73" s="172"/>
      <c r="G73" s="61" t="s">
        <v>17</v>
      </c>
      <c r="H73" s="172"/>
      <c r="I73" s="136" t="s">
        <v>807</v>
      </c>
      <c r="J73" s="136" t="s">
        <v>1116</v>
      </c>
      <c r="K73" s="136" t="s">
        <v>1137</v>
      </c>
      <c r="L73" s="136" t="s">
        <v>464</v>
      </c>
      <c r="M73" s="136" t="s">
        <v>231</v>
      </c>
      <c r="N73" s="136" t="s">
        <v>1138</v>
      </c>
      <c r="O73" s="136" t="s">
        <v>1278</v>
      </c>
      <c r="P73" s="136" t="s">
        <v>633</v>
      </c>
      <c r="Q73" s="142" t="s">
        <v>1340</v>
      </c>
      <c r="R73" s="48"/>
      <c r="S73" s="48"/>
      <c r="T73" s="48"/>
      <c r="U73" s="163" t="s">
        <v>268</v>
      </c>
      <c r="V73" s="48"/>
      <c r="W73" s="48"/>
      <c r="X73" s="48"/>
      <c r="Y73" s="202" t="s">
        <v>348</v>
      </c>
      <c r="Z73" s="48"/>
      <c r="AA73" s="48"/>
      <c r="AB73" s="48"/>
      <c r="AC73" s="164" t="s">
        <v>174</v>
      </c>
      <c r="AD73" s="191" t="s">
        <v>192</v>
      </c>
      <c r="AE73" s="48"/>
      <c r="AF73" s="175"/>
      <c r="AG73" s="48"/>
      <c r="AH73" s="48"/>
      <c r="AI73" s="48"/>
      <c r="AJ73" s="194" t="s">
        <v>891</v>
      </c>
      <c r="AK73" s="48"/>
      <c r="AL73" s="191" t="s">
        <v>1664</v>
      </c>
      <c r="AM73" s="191" t="s">
        <v>69</v>
      </c>
      <c r="AN73" s="10" t="s">
        <v>1010</v>
      </c>
      <c r="AO73" s="48"/>
      <c r="AP73" s="15" t="s">
        <v>825</v>
      </c>
      <c r="AQ73" s="10" t="s">
        <v>1665</v>
      </c>
      <c r="AR73" s="48"/>
      <c r="AS73" s="175"/>
      <c r="AT73" s="48"/>
      <c r="AU73" s="56" t="s">
        <v>1547</v>
      </c>
      <c r="AV73" s="48"/>
      <c r="AW73" s="22" t="s">
        <v>22</v>
      </c>
      <c r="AX73" s="22" t="s">
        <v>1666</v>
      </c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  <c r="CE73" s="48"/>
      <c r="CF73" s="48"/>
      <c r="CG73" s="48"/>
      <c r="CH73" s="48"/>
      <c r="CI73" s="48"/>
      <c r="CJ73" s="48"/>
      <c r="CK73" s="48"/>
      <c r="CL73" s="48"/>
      <c r="CM73" s="48"/>
      <c r="CN73" s="48"/>
      <c r="CO73" s="48"/>
      <c r="CP73" s="48"/>
      <c r="CQ73" s="48"/>
      <c r="CR73" s="48"/>
      <c r="CS73" s="48"/>
      <c r="CT73" s="48"/>
      <c r="CU73" s="48"/>
      <c r="CV73" s="48"/>
      <c r="CW73" s="48"/>
      <c r="CX73" s="48"/>
      <c r="CY73" s="48"/>
      <c r="CZ73" s="48"/>
      <c r="DA73" s="48"/>
      <c r="DB73" s="48"/>
      <c r="DC73" s="48"/>
      <c r="DD73" s="48"/>
    </row>
    <row r="74">
      <c r="A74" s="48"/>
      <c r="B74" s="172"/>
      <c r="C74" s="136" t="s">
        <v>978</v>
      </c>
      <c r="D74" s="48"/>
      <c r="E74" s="48"/>
      <c r="F74" s="172"/>
      <c r="G74" s="61" t="s">
        <v>607</v>
      </c>
      <c r="H74" s="172"/>
      <c r="I74" s="185" t="s">
        <v>1115</v>
      </c>
      <c r="J74" s="136" t="s">
        <v>245</v>
      </c>
      <c r="K74" s="136" t="s">
        <v>57</v>
      </c>
      <c r="L74" s="136" t="s">
        <v>289</v>
      </c>
      <c r="M74" s="136" t="s">
        <v>1667</v>
      </c>
      <c r="N74" s="136" t="s">
        <v>907</v>
      </c>
      <c r="O74" s="136" t="s">
        <v>779</v>
      </c>
      <c r="P74" s="136" t="s">
        <v>1101</v>
      </c>
      <c r="Q74" s="164" t="s">
        <v>782</v>
      </c>
      <c r="R74" s="48"/>
      <c r="S74" s="48"/>
      <c r="T74" s="48"/>
      <c r="U74" s="136" t="s">
        <v>231</v>
      </c>
      <c r="V74" s="48"/>
      <c r="W74" s="48"/>
      <c r="X74" s="48"/>
      <c r="Y74" s="160" t="s">
        <v>1408</v>
      </c>
      <c r="Z74" s="48"/>
      <c r="AA74" s="48"/>
      <c r="AB74" s="48"/>
      <c r="AC74" s="187" t="s">
        <v>914</v>
      </c>
      <c r="AD74" s="61" t="s">
        <v>624</v>
      </c>
      <c r="AE74" s="48"/>
      <c r="AF74" s="175"/>
      <c r="AG74" s="48"/>
      <c r="AH74" s="48"/>
      <c r="AI74" s="48"/>
      <c r="AJ74" s="22" t="s">
        <v>1668</v>
      </c>
      <c r="AK74" s="48"/>
      <c r="AL74" s="61" t="s">
        <v>1669</v>
      </c>
      <c r="AM74" s="13" t="s">
        <v>1529</v>
      </c>
      <c r="AN74" s="298" t="s">
        <v>1670</v>
      </c>
      <c r="AO74" s="48"/>
      <c r="AP74" s="257" t="s">
        <v>1199</v>
      </c>
      <c r="AQ74" s="22" t="s">
        <v>1671</v>
      </c>
      <c r="AR74" s="48"/>
      <c r="AS74" s="175"/>
      <c r="AT74" s="48"/>
      <c r="AU74" s="195" t="s">
        <v>51</v>
      </c>
      <c r="AV74" s="48"/>
      <c r="AW74" s="22" t="s">
        <v>1672</v>
      </c>
      <c r="AX74" s="56" t="s">
        <v>1563</v>
      </c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  <c r="CE74" s="48"/>
      <c r="CF74" s="48"/>
      <c r="CG74" s="48"/>
      <c r="CH74" s="48"/>
      <c r="CI74" s="48"/>
      <c r="CJ74" s="48"/>
      <c r="CK74" s="48"/>
      <c r="CL74" s="48"/>
      <c r="CM74" s="48"/>
      <c r="CN74" s="48"/>
      <c r="CO74" s="48"/>
      <c r="CP74" s="48"/>
      <c r="CQ74" s="48"/>
      <c r="CR74" s="48"/>
      <c r="CS74" s="48"/>
      <c r="CT74" s="48"/>
      <c r="CU74" s="48"/>
      <c r="CV74" s="48"/>
      <c r="CW74" s="48"/>
      <c r="CX74" s="48"/>
      <c r="CY74" s="48"/>
      <c r="CZ74" s="48"/>
      <c r="DA74" s="48"/>
      <c r="DB74" s="48"/>
      <c r="DC74" s="48"/>
      <c r="DD74" s="48"/>
    </row>
    <row r="75">
      <c r="A75" s="48"/>
      <c r="B75" s="172"/>
      <c r="C75" s="136" t="s">
        <v>96</v>
      </c>
      <c r="D75" s="48"/>
      <c r="E75" s="48"/>
      <c r="F75" s="172"/>
      <c r="G75" s="61" t="s">
        <v>1673</v>
      </c>
      <c r="H75" s="172"/>
      <c r="I75" s="185" t="s">
        <v>237</v>
      </c>
      <c r="J75" s="136" t="s">
        <v>947</v>
      </c>
      <c r="K75" s="136" t="s">
        <v>268</v>
      </c>
      <c r="L75" s="136" t="s">
        <v>754</v>
      </c>
      <c r="M75" s="136" t="s">
        <v>1674</v>
      </c>
      <c r="N75" s="136" t="s">
        <v>750</v>
      </c>
      <c r="O75" s="136" t="s">
        <v>327</v>
      </c>
      <c r="P75" s="136" t="s">
        <v>583</v>
      </c>
      <c r="Q75" s="164" t="s">
        <v>1101</v>
      </c>
      <c r="R75" s="48"/>
      <c r="S75" s="48"/>
      <c r="T75" s="48"/>
      <c r="U75" s="150" t="s">
        <v>982</v>
      </c>
      <c r="V75" s="48"/>
      <c r="W75" s="48"/>
      <c r="X75" s="48"/>
      <c r="Y75" s="153" t="s">
        <v>313</v>
      </c>
      <c r="Z75" s="48"/>
      <c r="AA75" s="48"/>
      <c r="AB75" s="48"/>
      <c r="AC75" s="10" t="s">
        <v>361</v>
      </c>
      <c r="AD75" s="160" t="s">
        <v>268</v>
      </c>
      <c r="AE75" s="48"/>
      <c r="AF75" s="175"/>
      <c r="AG75" s="48"/>
      <c r="AH75" s="48"/>
      <c r="AI75" s="48"/>
      <c r="AJ75" s="194" t="s">
        <v>512</v>
      </c>
      <c r="AK75" s="48"/>
      <c r="AL75" s="191" t="s">
        <v>1581</v>
      </c>
      <c r="AM75" s="191" t="s">
        <v>184</v>
      </c>
      <c r="AN75" s="10" t="s">
        <v>1675</v>
      </c>
      <c r="AO75" s="48"/>
      <c r="AP75" s="10" t="s">
        <v>1676</v>
      </c>
      <c r="AQ75" s="22" t="s">
        <v>1344</v>
      </c>
      <c r="AR75" s="48"/>
      <c r="AS75" s="175"/>
      <c r="AT75" s="48"/>
      <c r="AU75" s="56" t="s">
        <v>1677</v>
      </c>
      <c r="AV75" s="48"/>
      <c r="AW75" s="16" t="s">
        <v>1678</v>
      </c>
      <c r="AX75" s="11" t="s">
        <v>1679</v>
      </c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8"/>
    </row>
    <row r="76">
      <c r="A76" s="48"/>
      <c r="B76" s="48"/>
      <c r="C76" s="48"/>
      <c r="D76" s="48"/>
      <c r="E76" s="48"/>
      <c r="F76" s="48"/>
      <c r="G76" s="61" t="s">
        <v>907</v>
      </c>
      <c r="H76" s="172"/>
      <c r="I76" s="136" t="s">
        <v>1653</v>
      </c>
      <c r="J76" s="136" t="s">
        <v>1680</v>
      </c>
      <c r="K76" s="136" t="s">
        <v>779</v>
      </c>
      <c r="L76" s="136" t="s">
        <v>475</v>
      </c>
      <c r="M76" s="136" t="s">
        <v>268</v>
      </c>
      <c r="N76" s="172"/>
      <c r="O76" s="136" t="s">
        <v>120</v>
      </c>
      <c r="P76" s="136" t="s">
        <v>1221</v>
      </c>
      <c r="Q76" s="164" t="s">
        <v>167</v>
      </c>
      <c r="R76" s="48"/>
      <c r="S76" s="48"/>
      <c r="T76" s="48"/>
      <c r="U76" s="61" t="s">
        <v>199</v>
      </c>
      <c r="V76" s="48"/>
      <c r="W76" s="48"/>
      <c r="X76" s="48"/>
      <c r="Y76" s="160" t="s">
        <v>548</v>
      </c>
      <c r="Z76" s="48"/>
      <c r="AA76" s="48"/>
      <c r="AB76" s="48"/>
      <c r="AC76" s="10" t="s">
        <v>1681</v>
      </c>
      <c r="AD76" s="232" t="s">
        <v>865</v>
      </c>
      <c r="AE76" s="48"/>
      <c r="AF76" s="175"/>
      <c r="AG76" s="48"/>
      <c r="AH76" s="48"/>
      <c r="AI76" s="48"/>
      <c r="AJ76" s="16" t="s">
        <v>20</v>
      </c>
      <c r="AK76" s="48"/>
      <c r="AL76" s="191" t="s">
        <v>1682</v>
      </c>
      <c r="AM76" s="13" t="s">
        <v>275</v>
      </c>
      <c r="AN76" s="22" t="s">
        <v>1683</v>
      </c>
      <c r="AO76" s="48"/>
      <c r="AP76" s="56" t="s">
        <v>1684</v>
      </c>
      <c r="AQ76" s="22" t="s">
        <v>1685</v>
      </c>
      <c r="AR76" s="48"/>
      <c r="AS76" s="175"/>
      <c r="AT76" s="48"/>
      <c r="AU76" s="22" t="s">
        <v>1686</v>
      </c>
      <c r="AV76" s="48"/>
      <c r="AW76" s="28" t="s">
        <v>1687</v>
      </c>
      <c r="AX76" s="22" t="s">
        <v>7</v>
      </c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  <c r="CE76" s="48"/>
      <c r="CF76" s="48"/>
      <c r="CG76" s="48"/>
      <c r="CH76" s="48"/>
      <c r="CI76" s="48"/>
      <c r="CJ76" s="48"/>
      <c r="CK76" s="48"/>
      <c r="CL76" s="48"/>
      <c r="CM76" s="48"/>
      <c r="CN76" s="48"/>
      <c r="CO76" s="48"/>
      <c r="CP76" s="48"/>
      <c r="CQ76" s="48"/>
      <c r="CR76" s="48"/>
      <c r="CS76" s="48"/>
      <c r="CT76" s="48"/>
      <c r="CU76" s="48"/>
      <c r="CV76" s="48"/>
      <c r="CW76" s="48"/>
      <c r="CX76" s="48"/>
      <c r="CY76" s="48"/>
      <c r="CZ76" s="48"/>
      <c r="DA76" s="48"/>
      <c r="DB76" s="48"/>
      <c r="DC76" s="48"/>
      <c r="DD76" s="48"/>
    </row>
    <row r="77">
      <c r="A77" s="48"/>
      <c r="B77" s="48"/>
      <c r="C77" s="48"/>
      <c r="D77" s="48"/>
      <c r="E77" s="48"/>
      <c r="F77" s="48"/>
      <c r="G77" s="61" t="s">
        <v>905</v>
      </c>
      <c r="H77" s="172"/>
      <c r="I77" s="136" t="s">
        <v>251</v>
      </c>
      <c r="J77" s="185" t="s">
        <v>1688</v>
      </c>
      <c r="K77" s="136" t="s">
        <v>1689</v>
      </c>
      <c r="L77" s="136" t="s">
        <v>887</v>
      </c>
      <c r="M77" s="136" t="s">
        <v>882</v>
      </c>
      <c r="N77" s="172"/>
      <c r="O77" s="136" t="s">
        <v>1419</v>
      </c>
      <c r="P77" s="136" t="s">
        <v>322</v>
      </c>
      <c r="Q77" s="143" t="s">
        <v>322</v>
      </c>
      <c r="R77" s="48"/>
      <c r="S77" s="48"/>
      <c r="T77" s="48"/>
      <c r="U77" s="248" t="s">
        <v>664</v>
      </c>
      <c r="V77" s="48"/>
      <c r="W77" s="48"/>
      <c r="X77" s="48"/>
      <c r="Y77" s="48"/>
      <c r="Z77" s="48"/>
      <c r="AA77" s="48"/>
      <c r="AB77" s="48"/>
      <c r="AC77" s="164" t="s">
        <v>140</v>
      </c>
      <c r="AD77" s="191" t="s">
        <v>1069</v>
      </c>
      <c r="AE77" s="48"/>
      <c r="AF77" s="175"/>
      <c r="AG77" s="48"/>
      <c r="AH77" s="48"/>
      <c r="AI77" s="48"/>
      <c r="AJ77" s="10" t="s">
        <v>78</v>
      </c>
      <c r="AK77" s="48"/>
      <c r="AL77" s="16" t="s">
        <v>43</v>
      </c>
      <c r="AM77" s="22" t="s">
        <v>921</v>
      </c>
      <c r="AN77" s="10" t="s">
        <v>1200</v>
      </c>
      <c r="AP77" s="48"/>
      <c r="AQ77" s="22" t="s">
        <v>20</v>
      </c>
      <c r="AR77" s="48"/>
      <c r="AS77" s="175"/>
      <c r="AT77" s="48"/>
      <c r="AU77" s="22" t="s">
        <v>1690</v>
      </c>
      <c r="AV77" s="48"/>
      <c r="AW77" s="28"/>
      <c r="AX77" s="56" t="s">
        <v>893</v>
      </c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  <c r="CE77" s="48"/>
      <c r="CF77" s="48"/>
      <c r="CG77" s="48"/>
      <c r="CH77" s="48"/>
      <c r="CI77" s="48"/>
      <c r="CJ77" s="48"/>
      <c r="CK77" s="48"/>
      <c r="CL77" s="48"/>
      <c r="CM77" s="48"/>
      <c r="CN77" s="48"/>
      <c r="CO77" s="48"/>
      <c r="CP77" s="48"/>
      <c r="CQ77" s="48"/>
      <c r="CR77" s="48"/>
      <c r="CS77" s="48"/>
      <c r="CT77" s="48"/>
      <c r="CU77" s="48"/>
      <c r="CV77" s="48"/>
      <c r="CW77" s="48"/>
      <c r="CX77" s="48"/>
      <c r="CY77" s="48"/>
      <c r="CZ77" s="48"/>
      <c r="DA77" s="48"/>
      <c r="DB77" s="48"/>
      <c r="DC77" s="48"/>
      <c r="DD77" s="48"/>
    </row>
    <row r="78">
      <c r="A78" s="48"/>
      <c r="B78" s="48"/>
      <c r="C78" s="48"/>
      <c r="D78" s="48"/>
      <c r="E78" s="48"/>
      <c r="F78" s="48"/>
      <c r="G78" s="48"/>
      <c r="H78" s="172"/>
      <c r="I78" s="136" t="s">
        <v>807</v>
      </c>
      <c r="J78" s="136" t="s">
        <v>232</v>
      </c>
      <c r="K78" s="136" t="s">
        <v>780</v>
      </c>
      <c r="L78" s="136" t="s">
        <v>268</v>
      </c>
      <c r="M78" s="136" t="s">
        <v>1606</v>
      </c>
      <c r="N78" s="172"/>
      <c r="O78" s="136" t="s">
        <v>504</v>
      </c>
      <c r="P78" s="136" t="s">
        <v>199</v>
      </c>
      <c r="Q78" s="164" t="s">
        <v>1027</v>
      </c>
      <c r="R78" s="48"/>
      <c r="S78" s="48"/>
      <c r="T78" s="48"/>
      <c r="U78" s="248" t="s">
        <v>525</v>
      </c>
      <c r="V78" s="48"/>
      <c r="W78" s="48"/>
      <c r="X78" s="48"/>
      <c r="Y78" s="48"/>
      <c r="Z78" s="48"/>
      <c r="AA78" s="48"/>
      <c r="AB78" s="48"/>
      <c r="AC78" s="61" t="s">
        <v>936</v>
      </c>
      <c r="AD78" s="61" t="s">
        <v>890</v>
      </c>
      <c r="AE78" s="48"/>
      <c r="AF78" s="175"/>
      <c r="AG78" s="48"/>
      <c r="AH78" s="48"/>
      <c r="AI78" s="48"/>
      <c r="AJ78" s="194" t="s">
        <v>971</v>
      </c>
      <c r="AK78" s="48"/>
      <c r="AL78" s="16" t="s">
        <v>843</v>
      </c>
      <c r="AM78" s="15" t="s">
        <v>844</v>
      </c>
      <c r="AN78" s="299" t="s">
        <v>844</v>
      </c>
      <c r="AO78" s="98"/>
      <c r="AP78" s="48"/>
      <c r="AQ78" s="56" t="s">
        <v>791</v>
      </c>
      <c r="AR78" s="48"/>
      <c r="AS78" s="175"/>
      <c r="AT78" s="48"/>
      <c r="AU78" s="22" t="s">
        <v>1691</v>
      </c>
      <c r="AV78" s="48"/>
      <c r="AX78" s="300" t="s">
        <v>1692</v>
      </c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  <c r="CE78" s="48"/>
      <c r="CF78" s="48"/>
      <c r="CG78" s="48"/>
      <c r="CH78" s="48"/>
      <c r="CI78" s="48"/>
      <c r="CJ78" s="48"/>
      <c r="CK78" s="48"/>
      <c r="CL78" s="48"/>
      <c r="CM78" s="48"/>
      <c r="CN78" s="48"/>
      <c r="CO78" s="48"/>
      <c r="CP78" s="48"/>
      <c r="CQ78" s="48"/>
      <c r="CR78" s="48"/>
      <c r="CS78" s="48"/>
      <c r="CT78" s="48"/>
      <c r="CU78" s="48"/>
      <c r="CV78" s="48"/>
      <c r="CW78" s="48"/>
      <c r="CX78" s="48"/>
      <c r="CY78" s="48"/>
      <c r="CZ78" s="48"/>
      <c r="DA78" s="48"/>
      <c r="DB78" s="48"/>
      <c r="DC78" s="48"/>
      <c r="DD78" s="48"/>
    </row>
    <row r="79">
      <c r="A79" s="48"/>
      <c r="B79" s="48"/>
      <c r="C79" s="48"/>
      <c r="D79" s="48"/>
      <c r="E79" s="48"/>
      <c r="F79" s="48"/>
      <c r="G79" s="48"/>
      <c r="H79" s="172"/>
      <c r="I79" s="185" t="s">
        <v>1115</v>
      </c>
      <c r="J79" s="136" t="s">
        <v>289</v>
      </c>
      <c r="K79" s="136" t="s">
        <v>1139</v>
      </c>
      <c r="L79" s="136" t="s">
        <v>947</v>
      </c>
      <c r="M79" s="136" t="s">
        <v>1693</v>
      </c>
      <c r="N79" s="172"/>
      <c r="O79" s="136" t="s">
        <v>231</v>
      </c>
      <c r="P79" s="136" t="s">
        <v>268</v>
      </c>
      <c r="Q79" s="189" t="s">
        <v>760</v>
      </c>
      <c r="R79" s="48"/>
      <c r="S79" s="48"/>
      <c r="T79" s="48"/>
      <c r="U79" s="150" t="s">
        <v>912</v>
      </c>
      <c r="V79" s="48"/>
      <c r="W79" s="48"/>
      <c r="X79" s="48"/>
      <c r="Y79" s="48"/>
      <c r="Z79" s="48"/>
      <c r="AA79" s="48"/>
      <c r="AB79" s="48"/>
      <c r="AC79" s="191" t="s">
        <v>363</v>
      </c>
      <c r="AD79" s="189" t="s">
        <v>1284</v>
      </c>
      <c r="AE79" s="48"/>
      <c r="AF79" s="175"/>
      <c r="AG79" s="48"/>
      <c r="AH79" s="48"/>
      <c r="AI79" s="48"/>
      <c r="AJ79" s="298" t="s">
        <v>939</v>
      </c>
      <c r="AK79" s="48"/>
      <c r="AL79" s="10" t="s">
        <v>69</v>
      </c>
      <c r="AM79" s="22" t="s">
        <v>1694</v>
      </c>
      <c r="AN79" s="299" t="s">
        <v>1518</v>
      </c>
      <c r="AP79" s="48"/>
      <c r="AQ79" s="56" t="s">
        <v>1088</v>
      </c>
      <c r="AR79" s="48"/>
      <c r="AS79" s="175"/>
      <c r="AT79" s="48"/>
      <c r="AU79" s="22" t="s">
        <v>1695</v>
      </c>
      <c r="AV79" s="48"/>
      <c r="AW79" s="48"/>
      <c r="AX79" s="56" t="s">
        <v>20</v>
      </c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48"/>
      <c r="CL79" s="48"/>
      <c r="CM79" s="48"/>
      <c r="CN79" s="48"/>
      <c r="CO79" s="48"/>
      <c r="CP79" s="48"/>
      <c r="CQ79" s="48"/>
      <c r="CR79" s="48"/>
      <c r="CS79" s="48"/>
      <c r="CT79" s="48"/>
      <c r="CU79" s="48"/>
      <c r="CV79" s="48"/>
      <c r="CW79" s="48"/>
      <c r="CX79" s="48"/>
      <c r="CY79" s="48"/>
      <c r="CZ79" s="48"/>
      <c r="DA79" s="48"/>
      <c r="DB79" s="48"/>
      <c r="DC79" s="48"/>
      <c r="DD79" s="48"/>
    </row>
    <row r="80">
      <c r="A80" s="48"/>
      <c r="B80" s="48"/>
      <c r="C80" s="48"/>
      <c r="D80" s="48"/>
      <c r="E80" s="48"/>
      <c r="F80" s="48"/>
      <c r="G80" s="48"/>
      <c r="H80" s="172"/>
      <c r="I80" s="185" t="s">
        <v>237</v>
      </c>
      <c r="J80" s="136" t="s">
        <v>1696</v>
      </c>
      <c r="K80" s="136" t="s">
        <v>832</v>
      </c>
      <c r="L80" s="136" t="s">
        <v>882</v>
      </c>
      <c r="M80" s="136" t="s">
        <v>677</v>
      </c>
      <c r="N80" s="172"/>
      <c r="O80" s="136" t="s">
        <v>1138</v>
      </c>
      <c r="P80" s="136" t="s">
        <v>96</v>
      </c>
      <c r="Q80" s="164" t="s">
        <v>268</v>
      </c>
      <c r="R80" s="48"/>
      <c r="S80" s="48"/>
      <c r="T80" s="48"/>
      <c r="U80" s="150" t="s">
        <v>469</v>
      </c>
      <c r="V80" s="48"/>
      <c r="W80" s="48"/>
      <c r="X80" s="48"/>
      <c r="Y80" s="48"/>
      <c r="Z80" s="48"/>
      <c r="AA80" s="48"/>
      <c r="AB80" s="48"/>
      <c r="AC80" s="202" t="s">
        <v>1045</v>
      </c>
      <c r="AD80" s="218" t="s">
        <v>487</v>
      </c>
      <c r="AE80" s="48"/>
      <c r="AF80" s="175"/>
      <c r="AG80" s="48"/>
      <c r="AH80" s="48"/>
      <c r="AI80" s="48"/>
      <c r="AJ80" s="194" t="s">
        <v>183</v>
      </c>
      <c r="AK80" s="48"/>
      <c r="AL80" s="48"/>
      <c r="AM80" s="10" t="s">
        <v>16</v>
      </c>
      <c r="AN80" s="280" t="s">
        <v>16</v>
      </c>
      <c r="AP80" s="48"/>
      <c r="AQ80" s="10" t="s">
        <v>1561</v>
      </c>
      <c r="AR80" s="48"/>
      <c r="AS80" s="175"/>
      <c r="AT80" s="48"/>
      <c r="AU80" s="28" t="s">
        <v>40</v>
      </c>
      <c r="AV80" s="48"/>
      <c r="AW80" s="48"/>
      <c r="AX80" s="236" t="s">
        <v>901</v>
      </c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  <c r="CE80" s="48"/>
      <c r="CF80" s="48"/>
      <c r="CG80" s="48"/>
      <c r="CH80" s="48"/>
      <c r="CI80" s="48"/>
      <c r="CJ80" s="48"/>
      <c r="CK80" s="48"/>
      <c r="CL80" s="48"/>
      <c r="CM80" s="48"/>
      <c r="CN80" s="48"/>
      <c r="CO80" s="48"/>
      <c r="CP80" s="48"/>
      <c r="CQ80" s="48"/>
      <c r="CR80" s="48"/>
      <c r="CS80" s="48"/>
      <c r="CT80" s="48"/>
      <c r="CU80" s="48"/>
      <c r="CV80" s="48"/>
      <c r="CW80" s="48"/>
      <c r="CX80" s="48"/>
      <c r="CY80" s="48"/>
      <c r="CZ80" s="48"/>
      <c r="DA80" s="48"/>
      <c r="DB80" s="48"/>
      <c r="DC80" s="48"/>
      <c r="DD80" s="48"/>
    </row>
    <row r="81">
      <c r="A81" s="48"/>
      <c r="B81" s="48"/>
      <c r="C81" s="48"/>
      <c r="D81" s="48"/>
      <c r="E81" s="48"/>
      <c r="F81" s="48"/>
      <c r="G81" s="48"/>
      <c r="H81" s="172"/>
      <c r="I81" s="185" t="s">
        <v>1697</v>
      </c>
      <c r="J81" s="136" t="s">
        <v>330</v>
      </c>
      <c r="K81" s="136" t="s">
        <v>624</v>
      </c>
      <c r="L81" s="136" t="s">
        <v>928</v>
      </c>
      <c r="M81" s="136" t="s">
        <v>756</v>
      </c>
      <c r="N81" s="172"/>
      <c r="O81" s="136" t="s">
        <v>58</v>
      </c>
      <c r="P81" s="136" t="s">
        <v>1698</v>
      </c>
      <c r="Q81" s="164" t="s">
        <v>754</v>
      </c>
      <c r="R81" s="48"/>
      <c r="S81" s="48"/>
      <c r="T81" s="48"/>
      <c r="U81" s="61" t="s">
        <v>163</v>
      </c>
      <c r="V81" s="48"/>
      <c r="W81" s="48"/>
      <c r="X81" s="48"/>
      <c r="Y81" s="48"/>
      <c r="Z81" s="48"/>
      <c r="AA81" s="48"/>
      <c r="AB81" s="48"/>
      <c r="AC81" s="61" t="s">
        <v>299</v>
      </c>
      <c r="AD81" s="218" t="s">
        <v>335</v>
      </c>
      <c r="AE81" s="48"/>
      <c r="AF81" s="175"/>
      <c r="AG81" s="48"/>
      <c r="AH81" s="48"/>
      <c r="AI81" s="48"/>
      <c r="AJ81" s="191" t="s">
        <v>193</v>
      </c>
      <c r="AK81" s="48"/>
      <c r="AL81" s="48"/>
      <c r="AM81" s="10" t="s">
        <v>1699</v>
      </c>
      <c r="AN81" s="16" t="s">
        <v>1700</v>
      </c>
      <c r="AP81" s="48"/>
      <c r="AQ81" s="10" t="s">
        <v>1701</v>
      </c>
      <c r="AR81" s="48"/>
      <c r="AS81" s="175"/>
      <c r="AT81" s="48"/>
      <c r="AU81" s="56" t="s">
        <v>143</v>
      </c>
      <c r="AV81" s="48"/>
      <c r="AW81" s="48"/>
      <c r="AX81" s="16" t="s">
        <v>15</v>
      </c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  <c r="CE81" s="48"/>
      <c r="CF81" s="48"/>
      <c r="CG81" s="48"/>
      <c r="CH81" s="48"/>
      <c r="CI81" s="48"/>
      <c r="CJ81" s="48"/>
      <c r="CK81" s="48"/>
      <c r="CL81" s="48"/>
      <c r="CM81" s="48"/>
      <c r="CN81" s="48"/>
      <c r="CO81" s="48"/>
      <c r="CP81" s="48"/>
      <c r="CQ81" s="48"/>
      <c r="CR81" s="48"/>
      <c r="CS81" s="48"/>
      <c r="CT81" s="48"/>
      <c r="CU81" s="48"/>
      <c r="CV81" s="48"/>
      <c r="CW81" s="48"/>
      <c r="CX81" s="48"/>
      <c r="CY81" s="48"/>
      <c r="CZ81" s="48"/>
      <c r="DA81" s="48"/>
      <c r="DB81" s="48"/>
      <c r="DC81" s="48"/>
      <c r="DD81" s="48"/>
    </row>
    <row r="82">
      <c r="A82" s="48"/>
      <c r="B82" s="48"/>
      <c r="C82" s="48"/>
      <c r="D82" s="48"/>
      <c r="E82" s="48"/>
      <c r="F82" s="48"/>
      <c r="G82" s="48"/>
      <c r="H82" s="172"/>
      <c r="I82" s="185" t="s">
        <v>232</v>
      </c>
      <c r="J82" s="136" t="s">
        <v>464</v>
      </c>
      <c r="K82" s="136" t="s">
        <v>1702</v>
      </c>
      <c r="L82" s="136" t="s">
        <v>1703</v>
      </c>
      <c r="M82" s="136" t="s">
        <v>1195</v>
      </c>
      <c r="N82" s="172"/>
      <c r="O82" s="136" t="s">
        <v>1704</v>
      </c>
      <c r="P82" s="136" t="s">
        <v>1206</v>
      </c>
      <c r="Q82" s="189" t="s">
        <v>779</v>
      </c>
      <c r="R82" s="48"/>
      <c r="S82" s="48"/>
      <c r="T82" s="48"/>
      <c r="U82" s="150" t="s">
        <v>164</v>
      </c>
      <c r="V82" s="48"/>
      <c r="W82" s="48"/>
      <c r="X82" s="48"/>
      <c r="Y82" s="48"/>
      <c r="Z82" s="48"/>
      <c r="AA82" s="48"/>
      <c r="AB82" s="48"/>
      <c r="AC82" s="160" t="s">
        <v>268</v>
      </c>
      <c r="AD82" s="245" t="s">
        <v>1705</v>
      </c>
      <c r="AE82" s="48"/>
      <c r="AF82" s="175"/>
      <c r="AG82" s="48"/>
      <c r="AH82" s="48"/>
      <c r="AI82" s="48"/>
      <c r="AJ82" s="13" t="s">
        <v>1706</v>
      </c>
      <c r="AK82" s="48"/>
      <c r="AL82" s="48"/>
      <c r="AM82" s="191" t="s">
        <v>677</v>
      </c>
      <c r="AN82" s="10" t="s">
        <v>893</v>
      </c>
      <c r="AP82" s="48"/>
      <c r="AQ82" s="10" t="s">
        <v>1707</v>
      </c>
      <c r="AR82" s="48"/>
      <c r="AS82" s="175"/>
      <c r="AT82" s="48"/>
      <c r="AU82" s="22" t="s">
        <v>268</v>
      </c>
      <c r="AV82" s="48"/>
      <c r="AW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48"/>
      <c r="CR82" s="48"/>
      <c r="CS82" s="48"/>
      <c r="CT82" s="48"/>
      <c r="CU82" s="48"/>
      <c r="CV82" s="48"/>
      <c r="CW82" s="48"/>
      <c r="CX82" s="48"/>
      <c r="CY82" s="48"/>
      <c r="CZ82" s="48"/>
      <c r="DA82" s="48"/>
      <c r="DB82" s="48"/>
      <c r="DC82" s="48"/>
      <c r="DD82" s="48"/>
    </row>
    <row r="83">
      <c r="A83" s="48"/>
      <c r="B83" s="48"/>
      <c r="C83" s="48"/>
      <c r="D83" s="48"/>
      <c r="E83" s="48"/>
      <c r="F83" s="48"/>
      <c r="G83" s="48"/>
      <c r="H83" s="48"/>
      <c r="I83" s="270" t="s">
        <v>1708</v>
      </c>
      <c r="J83" s="136" t="s">
        <v>1709</v>
      </c>
      <c r="K83" s="136" t="s">
        <v>1432</v>
      </c>
      <c r="L83" s="136" t="s">
        <v>623</v>
      </c>
      <c r="M83" s="136" t="s">
        <v>199</v>
      </c>
      <c r="N83" s="172"/>
      <c r="O83" s="61" t="s">
        <v>981</v>
      </c>
      <c r="P83" s="136" t="s">
        <v>750</v>
      </c>
      <c r="Q83" s="189" t="s">
        <v>550</v>
      </c>
      <c r="R83" s="48"/>
      <c r="S83" s="48"/>
      <c r="T83" s="48"/>
      <c r="U83" s="219" t="s">
        <v>1361</v>
      </c>
      <c r="V83" s="48"/>
      <c r="W83" s="48"/>
      <c r="X83" s="48"/>
      <c r="Y83" s="48"/>
      <c r="Z83" s="48"/>
      <c r="AA83" s="48"/>
      <c r="AB83" s="48"/>
      <c r="AC83" s="61" t="s">
        <v>266</v>
      </c>
      <c r="AD83" s="213" t="s">
        <v>169</v>
      </c>
      <c r="AE83" s="48"/>
      <c r="AF83" s="175"/>
      <c r="AG83" s="48"/>
      <c r="AH83" s="48"/>
      <c r="AI83" s="48"/>
      <c r="AJ83" s="301" t="s">
        <v>1710</v>
      </c>
      <c r="AK83" s="48"/>
      <c r="AL83" s="48"/>
      <c r="AM83" s="13" t="s">
        <v>1711</v>
      </c>
      <c r="AN83" s="302" t="s">
        <v>865</v>
      </c>
      <c r="AO83" s="48"/>
      <c r="AP83" s="48"/>
      <c r="AQ83" s="61" t="s">
        <v>1712</v>
      </c>
      <c r="AR83" s="48"/>
      <c r="AS83" s="175"/>
      <c r="AT83" s="48"/>
      <c r="AU83" s="22" t="s">
        <v>1713</v>
      </c>
      <c r="AV83" s="48"/>
      <c r="AW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  <c r="CE83" s="48"/>
      <c r="CF83" s="48"/>
      <c r="CG83" s="48"/>
      <c r="CH83" s="48"/>
      <c r="CI83" s="48"/>
      <c r="CJ83" s="48"/>
      <c r="CK83" s="48"/>
      <c r="CL83" s="48"/>
      <c r="CM83" s="48"/>
      <c r="CN83" s="48"/>
      <c r="CO83" s="48"/>
      <c r="CP83" s="48"/>
      <c r="CQ83" s="48"/>
      <c r="CR83" s="48"/>
      <c r="CS83" s="48"/>
      <c r="CT83" s="48"/>
      <c r="CU83" s="48"/>
      <c r="CV83" s="48"/>
      <c r="CW83" s="48"/>
      <c r="CX83" s="48"/>
      <c r="CY83" s="48"/>
      <c r="CZ83" s="48"/>
      <c r="DA83" s="48"/>
      <c r="DB83" s="48"/>
      <c r="DC83" s="48"/>
      <c r="DD83" s="48"/>
    </row>
    <row r="84">
      <c r="A84" s="48"/>
      <c r="B84" s="48"/>
      <c r="C84" s="48"/>
      <c r="D84" s="48"/>
      <c r="E84" s="48"/>
      <c r="F84" s="48"/>
      <c r="G84" s="48"/>
      <c r="H84" s="172"/>
      <c r="I84" s="136" t="s">
        <v>1714</v>
      </c>
      <c r="J84" s="136" t="s">
        <v>1715</v>
      </c>
      <c r="K84" s="136" t="s">
        <v>623</v>
      </c>
      <c r="L84" s="136" t="s">
        <v>1195</v>
      </c>
      <c r="M84" s="136" t="s">
        <v>1716</v>
      </c>
      <c r="N84" s="48"/>
      <c r="O84" s="48"/>
      <c r="P84" s="277"/>
      <c r="Q84" s="164" t="s">
        <v>327</v>
      </c>
      <c r="R84" s="241"/>
      <c r="S84" s="48"/>
      <c r="T84" s="48"/>
      <c r="U84" s="248" t="s">
        <v>1636</v>
      </c>
      <c r="V84" s="48"/>
      <c r="W84" s="48"/>
      <c r="X84" s="48"/>
      <c r="Y84" s="48"/>
      <c r="Z84" s="48"/>
      <c r="AA84" s="48"/>
      <c r="AB84" s="48"/>
      <c r="AC84" s="61" t="s">
        <v>1717</v>
      </c>
      <c r="AD84" s="166" t="s">
        <v>134</v>
      </c>
      <c r="AE84" s="48"/>
      <c r="AF84" s="175"/>
      <c r="AG84" s="48"/>
      <c r="AH84" s="48"/>
      <c r="AI84" s="48"/>
      <c r="AJ84" s="191" t="s">
        <v>1718</v>
      </c>
      <c r="AK84" s="48"/>
      <c r="AL84" s="48"/>
      <c r="AM84" s="191" t="s">
        <v>1719</v>
      </c>
      <c r="AN84" s="43" t="s">
        <v>1720</v>
      </c>
      <c r="AO84" s="48"/>
      <c r="AP84" s="48"/>
      <c r="AQ84" s="191" t="s">
        <v>1451</v>
      </c>
      <c r="AR84" s="48"/>
      <c r="AS84" s="175"/>
      <c r="AT84" s="48"/>
      <c r="AU84" s="28" t="s">
        <v>850</v>
      </c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  <c r="CE84" s="48"/>
      <c r="CF84" s="48"/>
      <c r="CG84" s="48"/>
      <c r="CH84" s="48"/>
      <c r="CI84" s="48"/>
      <c r="CJ84" s="48"/>
      <c r="CK84" s="48"/>
      <c r="CL84" s="48"/>
      <c r="CM84" s="48"/>
      <c r="CN84" s="48"/>
      <c r="CO84" s="48"/>
      <c r="CP84" s="48"/>
      <c r="CQ84" s="48"/>
      <c r="CR84" s="48"/>
      <c r="CS84" s="48"/>
      <c r="CT84" s="48"/>
      <c r="CU84" s="48"/>
      <c r="CV84" s="48"/>
      <c r="CW84" s="48"/>
      <c r="CX84" s="48"/>
      <c r="CY84" s="48"/>
      <c r="CZ84" s="48"/>
      <c r="DA84" s="48"/>
      <c r="DB84" s="48"/>
      <c r="DC84" s="48"/>
      <c r="DD84" s="48"/>
    </row>
    <row r="85">
      <c r="A85" s="48"/>
      <c r="B85" s="48"/>
      <c r="C85" s="48"/>
      <c r="D85" s="48"/>
      <c r="E85" s="48"/>
      <c r="F85" s="48"/>
      <c r="G85" s="48"/>
      <c r="H85" s="172"/>
      <c r="I85" s="136" t="s">
        <v>1721</v>
      </c>
      <c r="J85" s="136" t="s">
        <v>1722</v>
      </c>
      <c r="K85" s="136" t="s">
        <v>756</v>
      </c>
      <c r="L85" s="136" t="s">
        <v>1219</v>
      </c>
      <c r="M85" s="136" t="s">
        <v>781</v>
      </c>
      <c r="N85" s="48"/>
      <c r="O85" s="48"/>
      <c r="P85" s="48"/>
      <c r="Q85" s="164" t="s">
        <v>1221</v>
      </c>
      <c r="R85" s="48"/>
      <c r="S85" s="48"/>
      <c r="T85" s="48"/>
      <c r="U85" s="277"/>
      <c r="V85" s="48"/>
      <c r="W85" s="48"/>
      <c r="X85" s="48"/>
      <c r="Y85" s="48"/>
      <c r="Z85" s="48"/>
      <c r="AA85" s="48"/>
      <c r="AB85" s="48"/>
      <c r="AC85" s="185" t="s">
        <v>890</v>
      </c>
      <c r="AD85" s="245" t="s">
        <v>814</v>
      </c>
      <c r="AE85" s="48"/>
      <c r="AF85" s="175"/>
      <c r="AG85" s="48"/>
      <c r="AH85" s="48"/>
      <c r="AI85" s="48"/>
      <c r="AJ85" s="13" t="s">
        <v>1517</v>
      </c>
      <c r="AK85" s="48"/>
      <c r="AL85" s="48"/>
      <c r="AM85" s="61" t="s">
        <v>58</v>
      </c>
      <c r="AN85" s="16" t="s">
        <v>1723</v>
      </c>
      <c r="AQ85" s="13" t="s">
        <v>921</v>
      </c>
      <c r="AS85" s="175"/>
      <c r="AT85" s="48"/>
      <c r="AU85" s="195" t="s">
        <v>51</v>
      </c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  <c r="CE85" s="48"/>
      <c r="CF85" s="48"/>
      <c r="CG85" s="48"/>
      <c r="CH85" s="48"/>
      <c r="CI85" s="48"/>
      <c r="CJ85" s="48"/>
      <c r="CK85" s="48"/>
      <c r="CL85" s="48"/>
      <c r="CM85" s="48"/>
      <c r="CN85" s="48"/>
      <c r="CO85" s="48"/>
      <c r="CP85" s="48"/>
      <c r="CQ85" s="48"/>
      <c r="CR85" s="48"/>
      <c r="CS85" s="48"/>
      <c r="CT85" s="48"/>
      <c r="CU85" s="48"/>
      <c r="CV85" s="48"/>
      <c r="CW85" s="48"/>
      <c r="CX85" s="48"/>
      <c r="CY85" s="48"/>
      <c r="CZ85" s="48"/>
      <c r="DA85" s="48"/>
      <c r="DB85" s="48"/>
      <c r="DC85" s="48"/>
      <c r="DD85" s="48"/>
    </row>
    <row r="86">
      <c r="A86" s="48"/>
      <c r="B86" s="48"/>
      <c r="C86" s="48"/>
      <c r="D86" s="48"/>
      <c r="E86" s="48"/>
      <c r="F86" s="48"/>
      <c r="G86" s="48"/>
      <c r="H86" s="172"/>
      <c r="I86" s="136" t="s">
        <v>804</v>
      </c>
      <c r="J86" s="136" t="s">
        <v>1248</v>
      </c>
      <c r="K86" s="136" t="s">
        <v>750</v>
      </c>
      <c r="L86" s="136" t="s">
        <v>1083</v>
      </c>
      <c r="M86" s="136" t="s">
        <v>57</v>
      </c>
      <c r="N86" s="48"/>
      <c r="O86" s="48"/>
      <c r="P86" s="277"/>
      <c r="Q86" s="143" t="s">
        <v>677</v>
      </c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166" t="s">
        <v>512</v>
      </c>
      <c r="AD86" s="202" t="s">
        <v>191</v>
      </c>
      <c r="AE86" s="48"/>
      <c r="AF86" s="175"/>
      <c r="AG86" s="48"/>
      <c r="AH86" s="48"/>
      <c r="AI86" s="48"/>
      <c r="AJ86" s="61" t="s">
        <v>1724</v>
      </c>
      <c r="AK86" s="48"/>
      <c r="AL86" s="48"/>
      <c r="AM86" s="13" t="s">
        <v>78</v>
      </c>
      <c r="AN86" s="16" t="s">
        <v>1263</v>
      </c>
      <c r="AQ86" s="110" t="s">
        <v>1412</v>
      </c>
      <c r="AS86" s="175"/>
      <c r="AT86" s="48"/>
      <c r="AU86" s="56" t="s">
        <v>1725</v>
      </c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/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/>
      <c r="DA86" s="48"/>
      <c r="DB86" s="48"/>
      <c r="DC86" s="48"/>
      <c r="DD86" s="48"/>
    </row>
    <row r="87">
      <c r="A87" s="48"/>
      <c r="B87" s="48"/>
      <c r="C87" s="48"/>
      <c r="D87" s="48"/>
      <c r="E87" s="48"/>
      <c r="F87" s="48"/>
      <c r="G87" s="48"/>
      <c r="H87" s="172"/>
      <c r="I87" s="136" t="s">
        <v>624</v>
      </c>
      <c r="J87" s="136" t="s">
        <v>1325</v>
      </c>
      <c r="K87" s="136" t="s">
        <v>1116</v>
      </c>
      <c r="L87" s="136" t="s">
        <v>322</v>
      </c>
      <c r="M87" s="136" t="s">
        <v>1598</v>
      </c>
      <c r="N87" s="48"/>
      <c r="O87" s="48"/>
      <c r="P87" s="48"/>
      <c r="Q87" s="189" t="s">
        <v>783</v>
      </c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166" t="s">
        <v>134</v>
      </c>
      <c r="AD87" s="163" t="s">
        <v>151</v>
      </c>
      <c r="AE87" s="48"/>
      <c r="AF87" s="175"/>
      <c r="AG87" s="48"/>
      <c r="AH87" s="48"/>
      <c r="AI87" s="48"/>
      <c r="AJ87" s="282" t="s">
        <v>1726</v>
      </c>
      <c r="AK87" s="48"/>
      <c r="AL87" s="48"/>
      <c r="AM87" s="191" t="s">
        <v>907</v>
      </c>
      <c r="AN87" s="16" t="s">
        <v>77</v>
      </c>
      <c r="AS87" s="175"/>
      <c r="AT87" s="48"/>
      <c r="AU87" s="28" t="s">
        <v>1727</v>
      </c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  <c r="CE87" s="48"/>
      <c r="CF87" s="48"/>
      <c r="CG87" s="48"/>
      <c r="CH87" s="48"/>
      <c r="CI87" s="48"/>
      <c r="CJ87" s="48"/>
      <c r="CK87" s="48"/>
      <c r="CL87" s="48"/>
      <c r="CM87" s="48"/>
      <c r="CN87" s="48"/>
      <c r="CO87" s="48"/>
      <c r="CP87" s="48"/>
      <c r="CQ87" s="48"/>
      <c r="CR87" s="48"/>
      <c r="CS87" s="48"/>
      <c r="CT87" s="48"/>
      <c r="CU87" s="48"/>
      <c r="CV87" s="48"/>
      <c r="CW87" s="48"/>
      <c r="CX87" s="48"/>
      <c r="CY87" s="48"/>
      <c r="CZ87" s="48"/>
      <c r="DA87" s="48"/>
      <c r="DB87" s="48"/>
      <c r="DC87" s="48"/>
      <c r="DD87" s="48"/>
    </row>
    <row r="88">
      <c r="A88" s="48"/>
      <c r="B88" s="48"/>
      <c r="C88" s="48"/>
      <c r="D88" s="48"/>
      <c r="E88" s="48"/>
      <c r="F88" s="48"/>
      <c r="G88" s="48"/>
      <c r="H88" s="172"/>
      <c r="I88" s="185" t="s">
        <v>472</v>
      </c>
      <c r="J88" s="136" t="s">
        <v>57</v>
      </c>
      <c r="K88" s="136" t="s">
        <v>1728</v>
      </c>
      <c r="L88" s="136" t="s">
        <v>199</v>
      </c>
      <c r="M88" s="136" t="s">
        <v>642</v>
      </c>
      <c r="N88" s="48"/>
      <c r="O88" s="48"/>
      <c r="P88" s="48"/>
      <c r="Q88" s="135" t="s">
        <v>967</v>
      </c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218" t="s">
        <v>201</v>
      </c>
      <c r="AD88" s="191" t="s">
        <v>917</v>
      </c>
      <c r="AE88" s="48"/>
      <c r="AF88" s="175"/>
      <c r="AG88" s="48"/>
      <c r="AH88" s="48"/>
      <c r="AI88" s="48"/>
      <c r="AJ88" s="10" t="s">
        <v>182</v>
      </c>
      <c r="AK88" s="48"/>
      <c r="AL88" s="48"/>
      <c r="AM88" s="191" t="s">
        <v>1729</v>
      </c>
      <c r="AN88" s="10" t="s">
        <v>1105</v>
      </c>
      <c r="AS88" s="175"/>
      <c r="AT88" s="48"/>
      <c r="AU88" s="28" t="s">
        <v>825</v>
      </c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  <c r="CE88" s="48"/>
      <c r="CF88" s="48"/>
      <c r="CG88" s="48"/>
      <c r="CH88" s="48"/>
      <c r="CI88" s="48"/>
      <c r="CJ88" s="48"/>
      <c r="CK88" s="48"/>
      <c r="CL88" s="48"/>
      <c r="CM88" s="48"/>
      <c r="CN88" s="48"/>
      <c r="CO88" s="48"/>
      <c r="CP88" s="48"/>
      <c r="CQ88" s="48"/>
      <c r="CR88" s="48"/>
      <c r="CS88" s="48"/>
      <c r="CT88" s="48"/>
      <c r="CU88" s="48"/>
      <c r="CV88" s="48"/>
      <c r="CW88" s="48"/>
      <c r="CX88" s="48"/>
      <c r="CY88" s="48"/>
      <c r="CZ88" s="48"/>
      <c r="DA88" s="48"/>
      <c r="DB88" s="48"/>
      <c r="DC88" s="48"/>
      <c r="DD88" s="48"/>
    </row>
    <row r="89">
      <c r="A89" s="48"/>
      <c r="B89" s="48"/>
      <c r="C89" s="48"/>
      <c r="D89" s="48"/>
      <c r="E89" s="48"/>
      <c r="F89" s="48"/>
      <c r="G89" s="48"/>
      <c r="H89" s="172"/>
      <c r="I89" s="136" t="s">
        <v>779</v>
      </c>
      <c r="J89" s="136" t="s">
        <v>268</v>
      </c>
      <c r="K89" s="136" t="s">
        <v>947</v>
      </c>
      <c r="L89" s="136" t="s">
        <v>464</v>
      </c>
      <c r="M89" s="136" t="s">
        <v>132</v>
      </c>
      <c r="N89" s="48"/>
      <c r="O89" s="48"/>
      <c r="P89" s="48"/>
      <c r="Q89" s="135" t="s">
        <v>58</v>
      </c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10" t="s">
        <v>173</v>
      </c>
      <c r="AD89" s="191" t="s">
        <v>870</v>
      </c>
      <c r="AE89" s="48"/>
      <c r="AF89" s="175"/>
      <c r="AG89" s="48"/>
      <c r="AH89" s="48"/>
      <c r="AI89" s="48"/>
      <c r="AJ89" s="194" t="s">
        <v>1104</v>
      </c>
      <c r="AK89" s="48"/>
      <c r="AL89" s="48"/>
      <c r="AM89" s="13" t="s">
        <v>1368</v>
      </c>
      <c r="AN89" s="16" t="s">
        <v>1730</v>
      </c>
      <c r="AS89" s="175"/>
      <c r="AT89" s="48"/>
      <c r="AU89" s="28" t="s">
        <v>14</v>
      </c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</row>
    <row r="90">
      <c r="A90" s="48"/>
      <c r="B90" s="48"/>
      <c r="C90" s="48"/>
      <c r="D90" s="48"/>
      <c r="E90" s="48"/>
      <c r="F90" s="48"/>
      <c r="G90" s="48"/>
      <c r="H90" s="172"/>
      <c r="I90" s="136" t="s">
        <v>1230</v>
      </c>
      <c r="J90" s="136" t="s">
        <v>1433</v>
      </c>
      <c r="K90" s="136" t="s">
        <v>199</v>
      </c>
      <c r="L90" s="136" t="s">
        <v>1115</v>
      </c>
      <c r="M90" s="136" t="s">
        <v>58</v>
      </c>
      <c r="N90" s="48"/>
      <c r="O90" s="48"/>
      <c r="P90" s="48"/>
      <c r="Q90" s="135" t="s">
        <v>96</v>
      </c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149" t="s">
        <v>164</v>
      </c>
      <c r="AD90" s="61" t="s">
        <v>838</v>
      </c>
      <c r="AE90" s="48"/>
      <c r="AF90" s="175"/>
      <c r="AG90" s="48"/>
      <c r="AH90" s="48"/>
      <c r="AI90" s="48"/>
      <c r="AJ90" s="22" t="s">
        <v>763</v>
      </c>
      <c r="AK90" s="48"/>
      <c r="AL90" s="48"/>
      <c r="AM90" s="48" t="s">
        <v>1731</v>
      </c>
      <c r="AN90" s="22" t="s">
        <v>1089</v>
      </c>
      <c r="AS90" s="175"/>
      <c r="AT90" s="48"/>
      <c r="AU90" s="56" t="s">
        <v>746</v>
      </c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  <c r="CE90" s="48"/>
      <c r="CF90" s="48"/>
      <c r="CG90" s="48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</row>
    <row r="91">
      <c r="A91" s="48"/>
      <c r="B91" s="48"/>
      <c r="C91" s="48"/>
      <c r="D91" s="48"/>
      <c r="E91" s="48"/>
      <c r="F91" s="48"/>
      <c r="G91" s="48"/>
      <c r="H91" s="172"/>
      <c r="I91" s="136" t="s">
        <v>1732</v>
      </c>
      <c r="J91" s="136" t="s">
        <v>882</v>
      </c>
      <c r="K91" s="136" t="s">
        <v>322</v>
      </c>
      <c r="L91" s="136" t="s">
        <v>132</v>
      </c>
      <c r="M91" s="136" t="s">
        <v>624</v>
      </c>
      <c r="N91" s="48"/>
      <c r="O91" s="48"/>
      <c r="P91" s="48"/>
      <c r="Q91" s="166" t="s">
        <v>598</v>
      </c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164" t="s">
        <v>267</v>
      </c>
      <c r="AD91" s="149" t="s">
        <v>813</v>
      </c>
      <c r="AE91" s="48"/>
      <c r="AF91" s="175"/>
      <c r="AG91" s="48"/>
      <c r="AH91" s="48"/>
      <c r="AI91" s="48"/>
      <c r="AJ91" s="59" t="s">
        <v>1181</v>
      </c>
      <c r="AK91" s="48"/>
      <c r="AL91" s="48"/>
      <c r="AM91" s="13" t="s">
        <v>1733</v>
      </c>
      <c r="AN91" s="228" t="s">
        <v>96</v>
      </c>
      <c r="AS91" s="175"/>
      <c r="AT91" s="48"/>
      <c r="AU91" s="28" t="s">
        <v>1734</v>
      </c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  <c r="DB91" s="48"/>
      <c r="DC91" s="48"/>
      <c r="DD91" s="48"/>
    </row>
    <row r="92">
      <c r="A92" s="48"/>
      <c r="B92" s="48"/>
      <c r="C92" s="48"/>
      <c r="D92" s="48"/>
      <c r="E92" s="48"/>
      <c r="F92" s="48"/>
      <c r="G92" s="48"/>
      <c r="H92" s="172"/>
      <c r="I92" s="136" t="s">
        <v>735</v>
      </c>
      <c r="J92" s="136" t="s">
        <v>1115</v>
      </c>
      <c r="K92" s="136" t="s">
        <v>232</v>
      </c>
      <c r="L92" s="136" t="s">
        <v>1735</v>
      </c>
      <c r="M92" s="136" t="s">
        <v>779</v>
      </c>
      <c r="N92" s="48"/>
      <c r="O92" s="48"/>
      <c r="P92" s="48"/>
      <c r="Q92" s="164" t="s">
        <v>1716</v>
      </c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149" t="s">
        <v>1447</v>
      </c>
      <c r="AD92" s="166" t="s">
        <v>866</v>
      </c>
      <c r="AE92" s="48"/>
      <c r="AF92" s="175"/>
      <c r="AG92" s="48"/>
      <c r="AH92" s="48"/>
      <c r="AI92" s="48"/>
      <c r="AJ92" s="22" t="s">
        <v>765</v>
      </c>
      <c r="AK92" s="48"/>
      <c r="AL92" s="48"/>
      <c r="AM92" s="13" t="s">
        <v>844</v>
      </c>
      <c r="AN92" s="10" t="s">
        <v>677</v>
      </c>
      <c r="AS92" s="175"/>
      <c r="AT92" s="48"/>
      <c r="AU92" s="28" t="s">
        <v>1628</v>
      </c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  <c r="CE92" s="48"/>
      <c r="CF92" s="48"/>
      <c r="CG92" s="48"/>
      <c r="CH92" s="48"/>
      <c r="CI92" s="48"/>
      <c r="CJ92" s="48"/>
      <c r="CK92" s="48"/>
      <c r="CL92" s="48"/>
      <c r="CM92" s="48"/>
      <c r="CN92" s="48"/>
      <c r="CO92" s="48"/>
      <c r="CP92" s="48"/>
      <c r="CQ92" s="48"/>
      <c r="CR92" s="48"/>
      <c r="CS92" s="48"/>
      <c r="CT92" s="48"/>
      <c r="CU92" s="48"/>
      <c r="CV92" s="48"/>
      <c r="CW92" s="48"/>
      <c r="CX92" s="48"/>
      <c r="CY92" s="48"/>
      <c r="CZ92" s="48"/>
      <c r="DA92" s="48"/>
      <c r="DB92" s="48"/>
      <c r="DC92" s="48"/>
      <c r="DD92" s="48"/>
    </row>
    <row r="93">
      <c r="A93" s="48"/>
      <c r="B93" s="48"/>
      <c r="C93" s="48"/>
      <c r="D93" s="48"/>
      <c r="E93" s="48"/>
      <c r="F93" s="48"/>
      <c r="G93" s="48"/>
      <c r="H93" s="172"/>
      <c r="I93" s="136" t="s">
        <v>289</v>
      </c>
      <c r="J93" s="136" t="s">
        <v>1736</v>
      </c>
      <c r="K93" s="136" t="s">
        <v>1176</v>
      </c>
      <c r="L93" s="136" t="s">
        <v>982</v>
      </c>
      <c r="M93" s="136" t="s">
        <v>807</v>
      </c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245" t="s">
        <v>1737</v>
      </c>
      <c r="AD93" s="164" t="s">
        <v>867</v>
      </c>
      <c r="AE93" s="48"/>
      <c r="AF93" s="175"/>
      <c r="AG93" s="48"/>
      <c r="AH93" s="48"/>
      <c r="AI93" s="48"/>
      <c r="AJ93" s="194" t="s">
        <v>1710</v>
      </c>
      <c r="AK93" s="48"/>
      <c r="AL93" s="48"/>
      <c r="AM93" s="191" t="s">
        <v>991</v>
      </c>
      <c r="AN93" s="22" t="s">
        <v>168</v>
      </c>
      <c r="AS93" s="175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  <c r="CE93" s="48"/>
      <c r="CF93" s="48"/>
      <c r="CG93" s="48"/>
      <c r="CH93" s="48"/>
      <c r="CI93" s="48"/>
      <c r="CJ93" s="48"/>
      <c r="CK93" s="48"/>
      <c r="CL93" s="48"/>
      <c r="CM93" s="48"/>
      <c r="CN93" s="48"/>
      <c r="CO93" s="48"/>
      <c r="CP93" s="48"/>
      <c r="CQ93" s="48"/>
      <c r="CR93" s="48"/>
      <c r="CS93" s="48"/>
      <c r="CT93" s="48"/>
      <c r="CU93" s="48"/>
      <c r="CV93" s="48"/>
      <c r="CW93" s="48"/>
      <c r="CX93" s="48"/>
      <c r="CY93" s="48"/>
      <c r="CZ93" s="48"/>
      <c r="DA93" s="48"/>
      <c r="DB93" s="48"/>
      <c r="DC93" s="48"/>
      <c r="DD93" s="48"/>
    </row>
    <row r="94">
      <c r="A94" s="48"/>
      <c r="B94" s="48"/>
      <c r="C94" s="48"/>
      <c r="D94" s="48"/>
      <c r="E94" s="48"/>
      <c r="F94" s="48"/>
      <c r="G94" s="48"/>
      <c r="H94" s="172"/>
      <c r="I94" s="136" t="s">
        <v>1098</v>
      </c>
      <c r="J94" s="136" t="s">
        <v>624</v>
      </c>
      <c r="K94" s="136" t="s">
        <v>182</v>
      </c>
      <c r="L94" s="136" t="s">
        <v>289</v>
      </c>
      <c r="M94" s="136" t="s">
        <v>1045</v>
      </c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166" t="s">
        <v>866</v>
      </c>
      <c r="AD94" s="220" t="s">
        <v>936</v>
      </c>
      <c r="AE94" s="48"/>
      <c r="AF94" s="175"/>
      <c r="AG94" s="48"/>
      <c r="AH94" s="48"/>
      <c r="AI94" s="48"/>
      <c r="AJ94" s="36" t="s">
        <v>20</v>
      </c>
      <c r="AK94" s="48"/>
      <c r="AL94" s="48"/>
      <c r="AM94" s="191" t="s">
        <v>791</v>
      </c>
      <c r="AN94" s="10" t="s">
        <v>38</v>
      </c>
      <c r="AS94" s="175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8"/>
      <c r="CL94" s="48"/>
      <c r="CM94" s="48"/>
      <c r="CN94" s="48"/>
      <c r="CO94" s="48"/>
      <c r="CP94" s="48"/>
      <c r="CQ94" s="48"/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</row>
    <row r="95">
      <c r="A95" s="48"/>
      <c r="B95" s="48"/>
      <c r="C95" s="48"/>
      <c r="D95" s="48"/>
      <c r="E95" s="48"/>
      <c r="F95" s="48"/>
      <c r="G95" s="48"/>
      <c r="H95" s="172"/>
      <c r="I95" s="136" t="s">
        <v>1000</v>
      </c>
      <c r="J95" s="136" t="s">
        <v>1738</v>
      </c>
      <c r="K95" s="136" t="s">
        <v>1120</v>
      </c>
      <c r="L95" s="136" t="s">
        <v>1045</v>
      </c>
      <c r="M95" s="136" t="s">
        <v>834</v>
      </c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164" t="s">
        <v>1339</v>
      </c>
      <c r="AD95" s="189" t="s">
        <v>1049</v>
      </c>
      <c r="AE95" s="48"/>
      <c r="AF95" s="175"/>
      <c r="AG95" s="48"/>
      <c r="AH95" s="48"/>
      <c r="AI95" s="48"/>
      <c r="AJ95" s="298" t="s">
        <v>896</v>
      </c>
      <c r="AK95" s="48"/>
      <c r="AL95" s="48"/>
      <c r="AM95" s="191" t="s">
        <v>1739</v>
      </c>
      <c r="AN95" s="28" t="s">
        <v>1129</v>
      </c>
      <c r="AS95" s="175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  <c r="CE95" s="48"/>
      <c r="CF95" s="48"/>
      <c r="CG95" s="48"/>
      <c r="CH95" s="48"/>
      <c r="CI95" s="48"/>
      <c r="CJ95" s="48"/>
      <c r="CK95" s="48"/>
      <c r="CL95" s="48"/>
      <c r="CM95" s="48"/>
      <c r="CN95" s="48"/>
      <c r="CO95" s="48"/>
      <c r="CP95" s="48"/>
      <c r="CQ95" s="48"/>
      <c r="CR95" s="48"/>
      <c r="CS95" s="48"/>
      <c r="CT95" s="48"/>
      <c r="CU95" s="48"/>
      <c r="CV95" s="48"/>
      <c r="CW95" s="48"/>
      <c r="CX95" s="48"/>
      <c r="CY95" s="48"/>
      <c r="CZ95" s="48"/>
      <c r="DA95" s="48"/>
      <c r="DB95" s="48"/>
      <c r="DC95" s="48"/>
      <c r="DD95" s="48"/>
    </row>
    <row r="96">
      <c r="A96" s="48"/>
      <c r="B96" s="48"/>
      <c r="C96" s="48"/>
      <c r="D96" s="48"/>
      <c r="E96" s="48"/>
      <c r="F96" s="48"/>
      <c r="G96" s="48"/>
      <c r="H96" s="48"/>
      <c r="I96" s="270" t="s">
        <v>1137</v>
      </c>
      <c r="J96" s="136" t="s">
        <v>1740</v>
      </c>
      <c r="K96" s="136" t="s">
        <v>132</v>
      </c>
      <c r="L96" s="136" t="s">
        <v>834</v>
      </c>
      <c r="M96" s="186" t="s">
        <v>1206</v>
      </c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61" t="s">
        <v>624</v>
      </c>
      <c r="AE96" s="48"/>
      <c r="AF96" s="175"/>
      <c r="AG96" s="48"/>
      <c r="AH96" s="48"/>
      <c r="AI96" s="48"/>
      <c r="AJ96" s="202" t="s">
        <v>939</v>
      </c>
      <c r="AK96" s="48"/>
      <c r="AL96" s="48"/>
      <c r="AM96" s="61" t="s">
        <v>843</v>
      </c>
      <c r="AN96" s="10" t="s">
        <v>1378</v>
      </c>
      <c r="AS96" s="175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  <c r="CE96" s="48"/>
      <c r="CF96" s="48"/>
      <c r="CG96" s="48"/>
      <c r="CH96" s="48"/>
      <c r="CI96" s="48"/>
      <c r="CJ96" s="48"/>
      <c r="CK96" s="48"/>
      <c r="CL96" s="48"/>
      <c r="CM96" s="48"/>
      <c r="CN96" s="48"/>
      <c r="CO96" s="48"/>
      <c r="CP96" s="48"/>
      <c r="CQ96" s="48"/>
      <c r="CR96" s="48"/>
      <c r="CS96" s="48"/>
      <c r="CT96" s="48"/>
      <c r="CU96" s="48"/>
      <c r="CV96" s="48"/>
      <c r="CW96" s="48"/>
      <c r="CX96" s="48"/>
      <c r="CY96" s="48"/>
      <c r="CZ96" s="48"/>
      <c r="DA96" s="48"/>
      <c r="DB96" s="48"/>
      <c r="DC96" s="48"/>
      <c r="DD96" s="48"/>
    </row>
    <row r="97">
      <c r="A97" s="48"/>
      <c r="B97" s="48"/>
      <c r="C97" s="48"/>
      <c r="D97" s="48"/>
      <c r="E97" s="48"/>
      <c r="F97" s="48"/>
      <c r="G97" s="48"/>
      <c r="H97" s="48"/>
      <c r="I97" s="270" t="s">
        <v>947</v>
      </c>
      <c r="J97" s="136" t="s">
        <v>541</v>
      </c>
      <c r="K97" s="136" t="s">
        <v>1433</v>
      </c>
      <c r="L97" s="136" t="s">
        <v>1119</v>
      </c>
      <c r="M97" s="136" t="s">
        <v>1119</v>
      </c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232" t="s">
        <v>865</v>
      </c>
      <c r="AE97" s="48"/>
      <c r="AF97" s="175"/>
      <c r="AG97" s="48"/>
      <c r="AH97" s="48"/>
      <c r="AI97" s="48"/>
      <c r="AJ97" s="203" t="s">
        <v>1741</v>
      </c>
      <c r="AK97" s="48"/>
      <c r="AL97" s="48"/>
      <c r="AM97" s="13" t="s">
        <v>1518</v>
      </c>
      <c r="AN97" s="10" t="s">
        <v>20</v>
      </c>
      <c r="AS97" s="175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</row>
    <row r="98">
      <c r="A98" s="48"/>
      <c r="B98" s="48"/>
      <c r="C98" s="48"/>
      <c r="D98" s="48"/>
      <c r="E98" s="48"/>
      <c r="F98" s="48"/>
      <c r="G98" s="48"/>
      <c r="H98" s="48"/>
      <c r="I98" s="270" t="s">
        <v>1742</v>
      </c>
      <c r="J98" s="172"/>
      <c r="K98" s="136" t="s">
        <v>1533</v>
      </c>
      <c r="L98" s="136" t="s">
        <v>1485</v>
      </c>
      <c r="M98" s="136" t="s">
        <v>1138</v>
      </c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202" t="s">
        <v>868</v>
      </c>
      <c r="AE98" s="48"/>
      <c r="AF98" s="175"/>
      <c r="AG98" s="48"/>
      <c r="AH98" s="48"/>
      <c r="AI98" s="48"/>
      <c r="AJ98" s="69" t="s">
        <v>90</v>
      </c>
      <c r="AK98" s="48"/>
      <c r="AL98" s="48"/>
      <c r="AM98" s="61" t="s">
        <v>90</v>
      </c>
      <c r="AN98" s="10" t="s">
        <v>1088</v>
      </c>
      <c r="AO98" s="48"/>
      <c r="AP98" s="48"/>
      <c r="AR98" s="48"/>
      <c r="AS98" s="175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8"/>
      <c r="CU98" s="48"/>
      <c r="CV98" s="48"/>
      <c r="CW98" s="48"/>
      <c r="CX98" s="48"/>
      <c r="CY98" s="48"/>
      <c r="CZ98" s="48"/>
      <c r="DA98" s="48"/>
      <c r="DB98" s="48"/>
      <c r="DC98" s="48"/>
      <c r="DD98" s="48"/>
    </row>
    <row r="99">
      <c r="A99" s="48"/>
      <c r="B99" s="48"/>
      <c r="C99" s="48"/>
      <c r="D99" s="48"/>
      <c r="E99" s="48"/>
      <c r="F99" s="48"/>
      <c r="G99" s="48"/>
      <c r="H99" s="172"/>
      <c r="I99" s="136" t="s">
        <v>322</v>
      </c>
      <c r="J99" s="172"/>
      <c r="K99" s="136" t="s">
        <v>1139</v>
      </c>
      <c r="L99" s="136" t="s">
        <v>237</v>
      </c>
      <c r="M99" s="136" t="s">
        <v>331</v>
      </c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61" t="s">
        <v>1743</v>
      </c>
      <c r="AE99" s="48"/>
      <c r="AF99" s="175"/>
      <c r="AG99" s="48"/>
      <c r="AH99" s="48"/>
      <c r="AI99" s="48"/>
      <c r="AJ99" s="69" t="s">
        <v>892</v>
      </c>
      <c r="AK99" s="48"/>
      <c r="AL99" s="48"/>
      <c r="AM99" s="191" t="s">
        <v>1168</v>
      </c>
      <c r="AN99" s="10" t="s">
        <v>1739</v>
      </c>
      <c r="AO99" s="48"/>
      <c r="AP99" s="48"/>
      <c r="AQ99" s="48"/>
      <c r="AR99" s="48"/>
      <c r="AS99" s="175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  <c r="CE99" s="48"/>
      <c r="CF99" s="48"/>
      <c r="CG99" s="48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</row>
    <row r="100">
      <c r="A100" s="48"/>
      <c r="B100" s="48"/>
      <c r="C100" s="48"/>
      <c r="D100" s="48"/>
      <c r="E100" s="48"/>
      <c r="F100" s="48"/>
      <c r="G100" s="48"/>
      <c r="H100" s="172"/>
      <c r="I100" s="136" t="s">
        <v>1454</v>
      </c>
      <c r="J100" s="172"/>
      <c r="K100" s="136" t="s">
        <v>1083</v>
      </c>
      <c r="L100" s="136" t="s">
        <v>1297</v>
      </c>
      <c r="M100" s="136" t="s">
        <v>268</v>
      </c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153" t="s">
        <v>914</v>
      </c>
      <c r="AE100" s="48"/>
      <c r="AF100" s="175"/>
      <c r="AG100" s="48"/>
      <c r="AH100" s="48"/>
      <c r="AI100" s="48"/>
      <c r="AJ100" s="203" t="s">
        <v>40</v>
      </c>
      <c r="AK100" s="48"/>
      <c r="AL100" s="48"/>
      <c r="AM100" s="48"/>
      <c r="AN100" s="10" t="s">
        <v>1744</v>
      </c>
      <c r="AO100" s="48"/>
      <c r="AP100" s="48"/>
      <c r="AQ100" s="48"/>
      <c r="AR100" s="48"/>
      <c r="AS100" s="175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/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/>
      <c r="DA100" s="48"/>
      <c r="DB100" s="48"/>
      <c r="DC100" s="48"/>
      <c r="DD100" s="48"/>
    </row>
    <row r="101">
      <c r="A101" s="48"/>
      <c r="B101" s="48"/>
      <c r="C101" s="48"/>
      <c r="D101" s="48"/>
      <c r="E101" s="48"/>
      <c r="F101" s="48"/>
      <c r="G101" s="48"/>
      <c r="H101" s="172"/>
      <c r="I101" s="136" t="s">
        <v>731</v>
      </c>
      <c r="J101" s="172"/>
      <c r="K101" s="136" t="s">
        <v>1192</v>
      </c>
      <c r="L101" s="136" t="s">
        <v>268</v>
      </c>
      <c r="M101" s="136" t="s">
        <v>1064</v>
      </c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166" t="s">
        <v>1745</v>
      </c>
      <c r="AE101" s="48"/>
      <c r="AF101" s="175"/>
      <c r="AG101" s="48"/>
      <c r="AH101" s="48"/>
      <c r="AI101" s="48"/>
      <c r="AJ101" s="203" t="s">
        <v>31</v>
      </c>
      <c r="AK101" s="48"/>
      <c r="AL101" s="48"/>
      <c r="AM101" s="48"/>
      <c r="AN101" s="10" t="s">
        <v>973</v>
      </c>
      <c r="AO101" s="48"/>
      <c r="AP101" s="48"/>
      <c r="AQ101" s="48"/>
      <c r="AR101" s="48"/>
      <c r="AS101" s="175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  <c r="CS101" s="48"/>
      <c r="CT101" s="48"/>
      <c r="CU101" s="48"/>
      <c r="CV101" s="48"/>
      <c r="CW101" s="48"/>
      <c r="CX101" s="48"/>
      <c r="CY101" s="48"/>
      <c r="CZ101" s="48"/>
      <c r="DA101" s="48"/>
      <c r="DB101" s="48"/>
      <c r="DC101" s="48"/>
      <c r="DD101" s="48"/>
    </row>
    <row r="102">
      <c r="A102" s="48"/>
      <c r="B102" s="48"/>
      <c r="C102" s="48"/>
      <c r="D102" s="48"/>
      <c r="E102" s="48"/>
      <c r="F102" s="48"/>
      <c r="G102" s="48"/>
      <c r="H102" s="172"/>
      <c r="I102" s="136" t="s">
        <v>878</v>
      </c>
      <c r="J102" s="172"/>
      <c r="K102" s="136" t="s">
        <v>1746</v>
      </c>
      <c r="L102" s="136" t="s">
        <v>1747</v>
      </c>
      <c r="M102" s="136" t="s">
        <v>1115</v>
      </c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218" t="s">
        <v>201</v>
      </c>
      <c r="AE102" s="48"/>
      <c r="AF102" s="175"/>
      <c r="AG102" s="48"/>
      <c r="AH102" s="48"/>
      <c r="AI102" s="48"/>
      <c r="AJ102" s="69" t="s">
        <v>1748</v>
      </c>
      <c r="AK102" s="48"/>
      <c r="AL102" s="48"/>
      <c r="AM102" s="48"/>
      <c r="AN102" s="303" t="s">
        <v>1010</v>
      </c>
      <c r="AO102" s="48"/>
      <c r="AP102" s="48"/>
      <c r="AQ102" s="48"/>
      <c r="AR102" s="48"/>
      <c r="AS102" s="175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  <c r="CS102" s="48"/>
      <c r="CT102" s="48"/>
      <c r="CU102" s="48"/>
      <c r="CV102" s="48"/>
      <c r="CW102" s="48"/>
      <c r="CX102" s="48"/>
      <c r="CY102" s="48"/>
      <c r="CZ102" s="48"/>
      <c r="DA102" s="48"/>
      <c r="DB102" s="48"/>
      <c r="DC102" s="48"/>
      <c r="DD102" s="48"/>
    </row>
    <row r="103">
      <c r="A103" s="48"/>
      <c r="B103" s="48"/>
      <c r="C103" s="48"/>
      <c r="D103" s="48"/>
      <c r="E103" s="48"/>
      <c r="F103" s="48"/>
      <c r="G103" s="48"/>
      <c r="H103" s="172"/>
      <c r="I103" s="136" t="s">
        <v>1083</v>
      </c>
      <c r="J103" s="172"/>
      <c r="K103" s="136" t="s">
        <v>268</v>
      </c>
      <c r="L103" s="136" t="s">
        <v>1205</v>
      </c>
      <c r="M103" s="136" t="s">
        <v>1749</v>
      </c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202" t="s">
        <v>1750</v>
      </c>
      <c r="AE103" s="48"/>
      <c r="AF103" s="175"/>
      <c r="AG103" s="48"/>
      <c r="AH103" s="48"/>
      <c r="AI103" s="48"/>
      <c r="AJ103" s="304" t="s">
        <v>53</v>
      </c>
      <c r="AK103" s="48"/>
      <c r="AL103" s="48"/>
      <c r="AM103" s="48"/>
      <c r="AN103" s="10" t="s">
        <v>1699</v>
      </c>
      <c r="AP103" s="48"/>
      <c r="AQ103" s="48"/>
      <c r="AR103" s="48"/>
      <c r="AS103" s="175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  <c r="CE103" s="48"/>
      <c r="CF103" s="48"/>
      <c r="CG103" s="48"/>
      <c r="CH103" s="48"/>
      <c r="CI103" s="48"/>
      <c r="CJ103" s="48"/>
      <c r="CK103" s="48"/>
      <c r="CL103" s="48"/>
      <c r="CM103" s="48"/>
      <c r="CN103" s="48"/>
      <c r="CO103" s="48"/>
      <c r="CP103" s="48"/>
      <c r="CQ103" s="48"/>
      <c r="CR103" s="48"/>
      <c r="CS103" s="48"/>
      <c r="CT103" s="48"/>
      <c r="CU103" s="48"/>
      <c r="CV103" s="48"/>
      <c r="CW103" s="48"/>
      <c r="CX103" s="48"/>
      <c r="CY103" s="48"/>
      <c r="CZ103" s="48"/>
      <c r="DA103" s="48"/>
      <c r="DB103" s="48"/>
      <c r="DC103" s="48"/>
      <c r="DD103" s="48"/>
    </row>
    <row r="104">
      <c r="A104" s="48"/>
      <c r="B104" s="48"/>
      <c r="C104" s="48"/>
      <c r="D104" s="48"/>
      <c r="E104" s="48"/>
      <c r="F104" s="48"/>
      <c r="G104" s="48"/>
      <c r="H104" s="172"/>
      <c r="I104" s="136" t="s">
        <v>624</v>
      </c>
      <c r="J104" s="172"/>
      <c r="K104" s="136" t="s">
        <v>150</v>
      </c>
      <c r="L104" s="136" t="s">
        <v>642</v>
      </c>
      <c r="M104" s="136" t="s">
        <v>758</v>
      </c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163" t="s">
        <v>151</v>
      </c>
      <c r="AE104" s="48"/>
      <c r="AF104" s="175"/>
      <c r="AG104" s="48"/>
      <c r="AH104" s="48"/>
      <c r="AI104" s="48"/>
      <c r="AJ104" s="202" t="s">
        <v>58</v>
      </c>
      <c r="AK104" s="48"/>
      <c r="AL104" s="48"/>
      <c r="AM104" s="48"/>
      <c r="AN104" s="10" t="s">
        <v>1751</v>
      </c>
      <c r="AP104" s="48"/>
      <c r="AQ104" s="48"/>
      <c r="AR104" s="48"/>
      <c r="AS104" s="175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  <c r="CE104" s="48"/>
      <c r="CF104" s="48"/>
      <c r="CG104" s="48"/>
      <c r="CH104" s="48"/>
      <c r="CI104" s="48"/>
      <c r="CJ104" s="48"/>
      <c r="CK104" s="48"/>
      <c r="CL104" s="48"/>
      <c r="CM104" s="48"/>
      <c r="CN104" s="48"/>
      <c r="CO104" s="48"/>
      <c r="CP104" s="48"/>
      <c r="CQ104" s="48"/>
      <c r="CR104" s="48"/>
      <c r="CS104" s="48"/>
      <c r="CT104" s="48"/>
      <c r="CU104" s="48"/>
      <c r="CV104" s="48"/>
      <c r="CW104" s="48"/>
      <c r="CX104" s="48"/>
      <c r="CY104" s="48"/>
      <c r="CZ104" s="48"/>
      <c r="DA104" s="48"/>
      <c r="DB104" s="48"/>
      <c r="DC104" s="48"/>
      <c r="DD104" s="48"/>
    </row>
    <row r="105">
      <c r="A105" s="48"/>
      <c r="B105" s="48"/>
      <c r="C105" s="48"/>
      <c r="D105" s="48"/>
      <c r="E105" s="48"/>
      <c r="F105" s="48"/>
      <c r="G105" s="48"/>
      <c r="H105" s="172"/>
      <c r="I105" s="136" t="s">
        <v>1060</v>
      </c>
      <c r="J105" s="172"/>
      <c r="K105" s="305" t="s">
        <v>1752</v>
      </c>
      <c r="L105" s="136" t="s">
        <v>1193</v>
      </c>
      <c r="M105" s="136" t="s">
        <v>1753</v>
      </c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191" t="s">
        <v>917</v>
      </c>
      <c r="AE105" s="48"/>
      <c r="AF105" s="175"/>
      <c r="AG105" s="48"/>
      <c r="AH105" s="48"/>
      <c r="AI105" s="48"/>
      <c r="AJ105" s="192" t="s">
        <v>69</v>
      </c>
      <c r="AK105" s="48"/>
      <c r="AL105" s="48"/>
      <c r="AM105" s="48"/>
      <c r="AN105" s="10" t="s">
        <v>1754</v>
      </c>
      <c r="AP105" s="48"/>
      <c r="AQ105" s="48"/>
      <c r="AR105" s="48"/>
      <c r="AS105" s="175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  <c r="CE105" s="48"/>
      <c r="CF105" s="48"/>
      <c r="CG105" s="48"/>
      <c r="CH105" s="48"/>
      <c r="CI105" s="48"/>
      <c r="CJ105" s="48"/>
      <c r="CK105" s="48"/>
      <c r="CL105" s="48"/>
      <c r="CM105" s="48"/>
      <c r="CN105" s="48"/>
      <c r="CO105" s="48"/>
      <c r="CP105" s="48"/>
      <c r="CQ105" s="48"/>
      <c r="CR105" s="48"/>
      <c r="CS105" s="48"/>
      <c r="CT105" s="48"/>
      <c r="CU105" s="48"/>
      <c r="CV105" s="48"/>
      <c r="CW105" s="48"/>
      <c r="CX105" s="48"/>
      <c r="CY105" s="48"/>
      <c r="CZ105" s="48"/>
      <c r="DA105" s="48"/>
      <c r="DB105" s="48"/>
      <c r="DC105" s="48"/>
      <c r="DD105" s="48"/>
    </row>
    <row r="106">
      <c r="A106" s="48"/>
      <c r="B106" s="48"/>
      <c r="C106" s="48"/>
      <c r="D106" s="48"/>
      <c r="E106" s="48"/>
      <c r="F106" s="48"/>
      <c r="G106" s="48"/>
      <c r="H106" s="172"/>
      <c r="I106" s="136" t="s">
        <v>1755</v>
      </c>
      <c r="J106" s="48"/>
      <c r="K106" s="61" t="s">
        <v>1443</v>
      </c>
      <c r="L106" s="48"/>
      <c r="M106" s="136" t="s">
        <v>1753</v>
      </c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175"/>
      <c r="AG106" s="48"/>
      <c r="AH106" s="48"/>
      <c r="AI106" s="48"/>
      <c r="AJ106" s="69" t="s">
        <v>87</v>
      </c>
      <c r="AK106" s="48"/>
      <c r="AL106" s="48"/>
      <c r="AM106" s="48"/>
      <c r="AN106" s="10" t="s">
        <v>1756</v>
      </c>
      <c r="AP106" s="48"/>
      <c r="AQ106" s="48"/>
      <c r="AR106" s="48"/>
      <c r="AS106" s="175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  <c r="CE106" s="48"/>
      <c r="CF106" s="48"/>
      <c r="CG106" s="48"/>
      <c r="CH106" s="48"/>
      <c r="CI106" s="48"/>
      <c r="CJ106" s="48"/>
      <c r="CK106" s="48"/>
      <c r="CL106" s="48"/>
      <c r="CM106" s="48"/>
      <c r="CN106" s="48"/>
      <c r="CO106" s="48"/>
      <c r="CP106" s="48"/>
      <c r="CQ106" s="48"/>
      <c r="CR106" s="48"/>
      <c r="CS106" s="48"/>
      <c r="CT106" s="48"/>
      <c r="CU106" s="48"/>
      <c r="CV106" s="48"/>
      <c r="CW106" s="48"/>
      <c r="CX106" s="48"/>
      <c r="CY106" s="48"/>
      <c r="CZ106" s="48"/>
      <c r="DA106" s="48"/>
      <c r="DB106" s="48"/>
      <c r="DC106" s="48"/>
      <c r="DD106" s="48"/>
    </row>
    <row r="107">
      <c r="A107" s="48"/>
      <c r="B107" s="48"/>
      <c r="C107" s="48"/>
      <c r="D107" s="48"/>
      <c r="E107" s="48"/>
      <c r="F107" s="48"/>
      <c r="G107" s="48"/>
      <c r="H107" s="172"/>
      <c r="I107" s="61" t="s">
        <v>57</v>
      </c>
      <c r="J107" s="48"/>
      <c r="K107" s="61" t="s">
        <v>1061</v>
      </c>
      <c r="L107" s="172"/>
      <c r="M107" s="61" t="s">
        <v>735</v>
      </c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175"/>
      <c r="AG107" s="48"/>
      <c r="AH107" s="48"/>
      <c r="AI107" s="48"/>
      <c r="AJ107" s="61" t="s">
        <v>16</v>
      </c>
      <c r="AK107" s="48"/>
      <c r="AL107" s="48"/>
      <c r="AM107" s="48"/>
      <c r="AN107" s="10" t="s">
        <v>1757</v>
      </c>
      <c r="AP107" s="48"/>
      <c r="AQ107" s="48"/>
      <c r="AR107" s="48"/>
      <c r="AS107" s="175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  <c r="CE107" s="48"/>
      <c r="CF107" s="48"/>
      <c r="CG107" s="48"/>
      <c r="CH107" s="48"/>
      <c r="CI107" s="48"/>
      <c r="CJ107" s="48"/>
      <c r="CK107" s="48"/>
      <c r="CL107" s="48"/>
      <c r="CM107" s="48"/>
      <c r="CN107" s="48"/>
      <c r="CO107" s="48"/>
      <c r="CP107" s="48"/>
      <c r="CQ107" s="48"/>
      <c r="CR107" s="48"/>
      <c r="CS107" s="48"/>
      <c r="CT107" s="48"/>
      <c r="CU107" s="48"/>
      <c r="CV107" s="48"/>
      <c r="CW107" s="48"/>
      <c r="CX107" s="48"/>
      <c r="CY107" s="48"/>
      <c r="CZ107" s="48"/>
      <c r="DA107" s="48"/>
      <c r="DB107" s="48"/>
      <c r="DC107" s="48"/>
      <c r="DD107" s="48"/>
    </row>
    <row r="108">
      <c r="A108" s="48"/>
      <c r="B108" s="48"/>
      <c r="C108" s="48"/>
      <c r="D108" s="48"/>
      <c r="E108" s="48"/>
      <c r="F108" s="48"/>
      <c r="G108" s="48"/>
      <c r="H108" s="172"/>
      <c r="I108" s="61" t="s">
        <v>946</v>
      </c>
      <c r="J108" s="48"/>
      <c r="K108" s="48"/>
      <c r="L108" s="48"/>
      <c r="M108" s="61" t="s">
        <v>733</v>
      </c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175"/>
      <c r="AG108" s="48"/>
      <c r="AH108" s="48"/>
      <c r="AI108" s="48"/>
      <c r="AJ108" s="48"/>
      <c r="AK108" s="48"/>
      <c r="AL108" s="48"/>
      <c r="AM108" s="48"/>
      <c r="AN108" s="28" t="s">
        <v>991</v>
      </c>
      <c r="AP108" s="48"/>
      <c r="AQ108" s="48"/>
      <c r="AR108" s="48"/>
      <c r="AS108" s="175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  <c r="CE108" s="48"/>
      <c r="CF108" s="48"/>
      <c r="CG108" s="48"/>
      <c r="CH108" s="48"/>
      <c r="CI108" s="48"/>
      <c r="CJ108" s="48"/>
      <c r="CK108" s="48"/>
      <c r="CL108" s="48"/>
      <c r="CM108" s="48"/>
      <c r="CN108" s="48"/>
      <c r="CO108" s="48"/>
      <c r="CP108" s="48"/>
      <c r="CQ108" s="48"/>
      <c r="CR108" s="48"/>
      <c r="CS108" s="48"/>
      <c r="CT108" s="48"/>
      <c r="CU108" s="48"/>
      <c r="CV108" s="48"/>
      <c r="CW108" s="48"/>
      <c r="CX108" s="48"/>
      <c r="CY108" s="48"/>
      <c r="CZ108" s="48"/>
      <c r="DA108" s="48"/>
      <c r="DB108" s="48"/>
      <c r="DC108" s="48"/>
      <c r="DD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61" t="s">
        <v>1376</v>
      </c>
      <c r="J109" s="48"/>
      <c r="K109" s="48"/>
      <c r="L109" s="48"/>
      <c r="M109" s="61" t="s">
        <v>782</v>
      </c>
      <c r="N109" s="48"/>
      <c r="O109" s="48"/>
      <c r="P109" s="48"/>
      <c r="Q109" s="48"/>
      <c r="R109" s="48"/>
      <c r="S109" s="48"/>
      <c r="T109" s="306" t="s">
        <v>1758</v>
      </c>
      <c r="U109" s="307"/>
      <c r="V109" s="307"/>
      <c r="W109" s="307"/>
      <c r="X109" s="307"/>
      <c r="Y109" s="307"/>
      <c r="Z109" s="307"/>
      <c r="AA109" s="307"/>
      <c r="AB109" s="307"/>
      <c r="AC109" s="307"/>
      <c r="AD109" s="307"/>
      <c r="AE109" s="308"/>
      <c r="AF109" s="175"/>
      <c r="AG109" s="48"/>
      <c r="AH109" s="48"/>
      <c r="AI109" s="48"/>
      <c r="AJ109" s="48"/>
      <c r="AK109" s="48"/>
      <c r="AL109" s="48"/>
      <c r="AM109" s="48"/>
      <c r="AN109" s="22" t="s">
        <v>1759</v>
      </c>
      <c r="AP109" s="48"/>
      <c r="AQ109" s="48"/>
      <c r="AR109" s="48"/>
      <c r="AS109" s="175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  <c r="CE109" s="48"/>
      <c r="CF109" s="48"/>
      <c r="CG109" s="48"/>
      <c r="CH109" s="48"/>
      <c r="CI109" s="48"/>
      <c r="CJ109" s="48"/>
      <c r="CK109" s="48"/>
      <c r="CL109" s="48"/>
      <c r="CM109" s="48"/>
      <c r="CN109" s="48"/>
      <c r="CO109" s="48"/>
      <c r="CP109" s="48"/>
      <c r="CQ109" s="48"/>
      <c r="CR109" s="48"/>
      <c r="CS109" s="48"/>
      <c r="CT109" s="48"/>
      <c r="CU109" s="48"/>
      <c r="CV109" s="48"/>
      <c r="CW109" s="48"/>
      <c r="CX109" s="48"/>
      <c r="CY109" s="48"/>
      <c r="CZ109" s="48"/>
      <c r="DA109" s="48"/>
      <c r="DB109" s="48"/>
      <c r="DC109" s="48"/>
      <c r="DD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191" t="s">
        <v>780</v>
      </c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179" t="s">
        <v>719</v>
      </c>
      <c r="U110" s="179" t="s">
        <v>720</v>
      </c>
      <c r="V110" s="179" t="s">
        <v>721</v>
      </c>
      <c r="W110" s="179" t="s">
        <v>722</v>
      </c>
      <c r="X110" s="179" t="s">
        <v>723</v>
      </c>
      <c r="Y110" s="179" t="s">
        <v>724</v>
      </c>
      <c r="Z110" s="179" t="s">
        <v>725</v>
      </c>
      <c r="AA110" s="179" t="s">
        <v>714</v>
      </c>
      <c r="AB110" s="179" t="s">
        <v>715</v>
      </c>
      <c r="AC110" s="179" t="s">
        <v>716</v>
      </c>
      <c r="AD110" s="179" t="s">
        <v>717</v>
      </c>
      <c r="AE110" s="179" t="s">
        <v>718</v>
      </c>
      <c r="AF110" s="175"/>
      <c r="AG110" s="48"/>
      <c r="AH110" s="48"/>
      <c r="AI110" s="48"/>
      <c r="AJ110" s="48"/>
      <c r="AK110" s="48"/>
      <c r="AL110" s="48"/>
      <c r="AM110" s="48"/>
      <c r="AN110" s="22" t="s">
        <v>1053</v>
      </c>
      <c r="AO110" s="48"/>
      <c r="AP110" s="48"/>
      <c r="AQ110" s="48"/>
      <c r="AR110" s="48"/>
      <c r="AS110" s="175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  <c r="CE110" s="48"/>
      <c r="CF110" s="48"/>
      <c r="CG110" s="48"/>
      <c r="CH110" s="48"/>
      <c r="CI110" s="48"/>
      <c r="CJ110" s="48"/>
      <c r="CK110" s="48"/>
      <c r="CL110" s="48"/>
      <c r="CM110" s="48"/>
      <c r="CN110" s="48"/>
      <c r="CO110" s="48"/>
      <c r="CP110" s="48"/>
      <c r="CQ110" s="48"/>
      <c r="CR110" s="48"/>
      <c r="CS110" s="48"/>
      <c r="CT110" s="48"/>
      <c r="CU110" s="48"/>
      <c r="CV110" s="48"/>
      <c r="CW110" s="48"/>
      <c r="CX110" s="48"/>
      <c r="CY110" s="48"/>
      <c r="CZ110" s="48"/>
      <c r="DA110" s="48"/>
      <c r="DB110" s="48"/>
      <c r="DC110" s="48"/>
      <c r="DD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309">
        <f>COUNTA(AG3:AG66)</f>
        <v>64</v>
      </c>
      <c r="U111" s="309">
        <f>COUNTA(AH3:AH64)</f>
        <v>61</v>
      </c>
      <c r="V111" s="309">
        <f>COUNTA(AI3:AI78)</f>
        <v>66</v>
      </c>
      <c r="W111" s="309">
        <f>COUNTA(AJ3:AJ115)</f>
        <v>105</v>
      </c>
      <c r="X111" s="309">
        <f>COUNTA(AK3:AK72)</f>
        <v>69</v>
      </c>
      <c r="Y111" s="309">
        <f>COUNTA(AL3:AL79)</f>
        <v>77</v>
      </c>
      <c r="Z111" s="309">
        <f>COUNTA(AM3:AM99)</f>
        <v>97</v>
      </c>
      <c r="AA111" s="309">
        <f>COUNTA(AN3:AN111)</f>
        <v>109</v>
      </c>
      <c r="AB111" s="309">
        <f>COUNTA(AO3:AO65)</f>
        <v>63</v>
      </c>
      <c r="AC111" s="309">
        <f>COUNTA(AP3:AP76)</f>
        <v>74</v>
      </c>
      <c r="AD111" s="309">
        <f t="shared" ref="AD111:AE111" si="1">COUNTA(AQ3:AQ66)</f>
        <v>64</v>
      </c>
      <c r="AE111" s="309">
        <f t="shared" si="1"/>
        <v>63</v>
      </c>
      <c r="AF111" s="175">
        <f>SUM(T111:AE111)/12</f>
        <v>76</v>
      </c>
      <c r="AG111" s="48"/>
      <c r="AH111" s="48"/>
      <c r="AI111" s="48"/>
      <c r="AJ111" s="48"/>
      <c r="AK111" s="48"/>
      <c r="AL111" s="48"/>
      <c r="AM111" s="48"/>
      <c r="AN111" s="43" t="s">
        <v>1760</v>
      </c>
      <c r="AO111" s="48"/>
      <c r="AP111" s="48"/>
      <c r="AQ111" s="48"/>
      <c r="AR111" s="48"/>
      <c r="AS111" s="175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  <c r="CE111" s="48"/>
      <c r="CF111" s="48"/>
      <c r="CG111" s="48"/>
      <c r="CH111" s="48"/>
      <c r="CI111" s="48"/>
      <c r="CJ111" s="48"/>
      <c r="CK111" s="48"/>
      <c r="CL111" s="48"/>
      <c r="CM111" s="48"/>
      <c r="CN111" s="48"/>
      <c r="CO111" s="48"/>
      <c r="CP111" s="48"/>
      <c r="CQ111" s="48"/>
      <c r="CR111" s="48"/>
      <c r="CS111" s="48"/>
      <c r="CT111" s="48"/>
      <c r="CU111" s="48"/>
      <c r="CV111" s="48"/>
      <c r="CW111" s="48"/>
      <c r="CX111" s="48"/>
      <c r="CY111" s="48"/>
      <c r="CZ111" s="48"/>
      <c r="DA111" s="48"/>
      <c r="DB111" s="48"/>
      <c r="DC111" s="48"/>
      <c r="DD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310">
        <f>T111+U111+V111+W111+X111+Y111+Z111+AA111+AB111+AC111+AD111+AE111</f>
        <v>912</v>
      </c>
      <c r="U112" s="307"/>
      <c r="V112" s="307"/>
      <c r="W112" s="307"/>
      <c r="X112" s="307"/>
      <c r="Y112" s="307"/>
      <c r="Z112" s="307"/>
      <c r="AA112" s="307"/>
      <c r="AB112" s="307"/>
      <c r="AC112" s="307"/>
      <c r="AD112" s="307"/>
      <c r="AE112" s="308"/>
      <c r="AF112" s="175"/>
      <c r="AG112" s="48"/>
      <c r="AH112" s="48"/>
      <c r="AI112" s="48"/>
      <c r="AJ112" s="48"/>
      <c r="AK112" s="48"/>
      <c r="AL112" s="48"/>
      <c r="AM112" s="48"/>
      <c r="AO112" s="48"/>
      <c r="AP112" s="48"/>
      <c r="AQ112" s="48"/>
      <c r="AR112" s="48"/>
      <c r="AS112" s="175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  <c r="CE112" s="48"/>
      <c r="CF112" s="48"/>
      <c r="CG112" s="48"/>
      <c r="CH112" s="48"/>
      <c r="CI112" s="48"/>
      <c r="CJ112" s="48"/>
      <c r="CK112" s="48"/>
      <c r="CL112" s="48"/>
      <c r="CM112" s="48"/>
      <c r="CN112" s="48"/>
      <c r="CO112" s="48"/>
      <c r="CP112" s="48"/>
      <c r="CQ112" s="48"/>
      <c r="CR112" s="48"/>
      <c r="CS112" s="48"/>
      <c r="CT112" s="48"/>
      <c r="CU112" s="48"/>
      <c r="CV112" s="48"/>
      <c r="CW112" s="48"/>
      <c r="CX112" s="48"/>
      <c r="CY112" s="48"/>
      <c r="CZ112" s="48"/>
      <c r="DA112" s="48"/>
      <c r="DB112" s="48"/>
      <c r="DC112" s="48"/>
      <c r="DD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175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175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  <c r="CE113" s="48"/>
      <c r="CF113" s="48"/>
      <c r="CG113" s="48"/>
      <c r="CH113" s="48"/>
      <c r="CI113" s="48"/>
      <c r="CJ113" s="48"/>
      <c r="CK113" s="48"/>
      <c r="CL113" s="48"/>
      <c r="CM113" s="48"/>
      <c r="CN113" s="48"/>
      <c r="CO113" s="48"/>
      <c r="CP113" s="48"/>
      <c r="CQ113" s="48"/>
      <c r="CR113" s="48"/>
      <c r="CS113" s="48"/>
      <c r="CT113" s="48"/>
      <c r="CU113" s="48"/>
      <c r="CV113" s="48"/>
      <c r="CW113" s="48"/>
      <c r="CX113" s="48"/>
      <c r="CY113" s="48"/>
      <c r="CZ113" s="48"/>
      <c r="DA113" s="48"/>
      <c r="DB113" s="48"/>
      <c r="DC113" s="48"/>
      <c r="DD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306" t="s">
        <v>1761</v>
      </c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308"/>
      <c r="AF114" s="175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175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/>
      <c r="CG114" s="48"/>
      <c r="CH114" s="48"/>
      <c r="CI114" s="48"/>
      <c r="CJ114" s="48"/>
      <c r="CK114" s="48"/>
      <c r="CL114" s="48"/>
      <c r="CM114" s="48"/>
      <c r="CN114" s="48"/>
      <c r="CO114" s="48"/>
      <c r="CP114" s="48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/>
      <c r="DA114" s="48"/>
      <c r="DB114" s="48"/>
      <c r="DC114" s="48"/>
      <c r="DD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179" t="s">
        <v>719</v>
      </c>
      <c r="U115" s="179" t="s">
        <v>720</v>
      </c>
      <c r="V115" s="179" t="s">
        <v>721</v>
      </c>
      <c r="W115" s="179" t="s">
        <v>722</v>
      </c>
      <c r="X115" s="179" t="s">
        <v>723</v>
      </c>
      <c r="Y115" s="179" t="s">
        <v>724</v>
      </c>
      <c r="Z115" s="179" t="s">
        <v>725</v>
      </c>
      <c r="AA115" s="179" t="s">
        <v>714</v>
      </c>
      <c r="AB115" s="179" t="s">
        <v>715</v>
      </c>
      <c r="AC115" s="179" t="s">
        <v>716</v>
      </c>
      <c r="AD115" s="179" t="s">
        <v>717</v>
      </c>
      <c r="AE115" s="179" t="s">
        <v>718</v>
      </c>
      <c r="AF115" s="175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175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  <c r="CE115" s="48"/>
      <c r="CF115" s="48"/>
      <c r="CG115" s="48"/>
      <c r="CH115" s="48"/>
      <c r="CI115" s="48"/>
      <c r="CJ115" s="48"/>
      <c r="CK115" s="48"/>
      <c r="CL115" s="48"/>
      <c r="CM115" s="48"/>
      <c r="CN115" s="48"/>
      <c r="CO115" s="48"/>
      <c r="CP115" s="48"/>
      <c r="CQ115" s="48"/>
      <c r="CR115" s="48"/>
      <c r="CS115" s="48"/>
      <c r="CT115" s="48"/>
      <c r="CU115" s="48"/>
      <c r="CV115" s="48"/>
      <c r="CW115" s="48"/>
      <c r="CX115" s="48"/>
      <c r="CY115" s="48"/>
      <c r="CZ115" s="48"/>
      <c r="DA115" s="48"/>
      <c r="DB115" s="48"/>
      <c r="DC115" s="48"/>
      <c r="DD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309">
        <f t="shared" ref="T116:U116" si="2">COUNTA(T3:T113)</f>
        <v>73</v>
      </c>
      <c r="U116" s="309">
        <f t="shared" si="2"/>
        <v>84</v>
      </c>
      <c r="V116" s="309">
        <f>COUNTA(V3:V110)</f>
        <v>41</v>
      </c>
      <c r="W116" s="309">
        <f>COUNTA(W3:W97)</f>
        <v>63</v>
      </c>
      <c r="X116" s="309">
        <f>COUNTA(X3:X107)</f>
        <v>70</v>
      </c>
      <c r="Y116" s="309">
        <f>COUNTA(Y3:Y105)</f>
        <v>74</v>
      </c>
      <c r="Z116" s="309">
        <f>COUNTA(Z3:Z109)</f>
        <v>45</v>
      </c>
      <c r="AA116" s="309">
        <f>COUNTA(AA3:AA75)</f>
        <v>35</v>
      </c>
      <c r="AB116" s="309">
        <f>COUNTA(AB3:AB83)</f>
        <v>63</v>
      </c>
      <c r="AC116" s="309">
        <f>COUNTA(AC3:AC113)</f>
        <v>95</v>
      </c>
      <c r="AD116" s="309">
        <f>COUNTA(AD3:AD112)</f>
        <v>105</v>
      </c>
      <c r="AE116" s="309">
        <f>COUNTA(AE3:AE110)</f>
        <v>41</v>
      </c>
      <c r="AF116" s="175">
        <f>SUM(T116:AE116)/12</f>
        <v>65.75</v>
      </c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175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  <c r="CE116" s="48"/>
      <c r="CF116" s="48"/>
      <c r="CG116" s="48"/>
      <c r="CH116" s="48"/>
      <c r="CI116" s="48"/>
      <c r="CJ116" s="48"/>
      <c r="CK116" s="48"/>
      <c r="CL116" s="48"/>
      <c r="CM116" s="48"/>
      <c r="CN116" s="48"/>
      <c r="CO116" s="48"/>
      <c r="CP116" s="48"/>
      <c r="CQ116" s="48"/>
      <c r="CR116" s="48"/>
      <c r="CS116" s="48"/>
      <c r="CT116" s="48"/>
      <c r="CU116" s="48"/>
      <c r="CV116" s="48"/>
      <c r="CW116" s="48"/>
      <c r="CX116" s="48"/>
      <c r="CY116" s="48"/>
      <c r="CZ116" s="48"/>
      <c r="DA116" s="48"/>
      <c r="DB116" s="48"/>
      <c r="DC116" s="48"/>
      <c r="DD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310">
        <f>T116+U116+V116+W116+X116+Y116+Z116+AA116+AB116+AC116+AD116+AE116</f>
        <v>789</v>
      </c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  <c r="AE117" s="308"/>
      <c r="AF117" s="175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175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48"/>
      <c r="DB117" s="48"/>
      <c r="DC117" s="48"/>
      <c r="DD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175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175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  <c r="CE118" s="48"/>
      <c r="CF118" s="48"/>
      <c r="CG118" s="48"/>
      <c r="CH118" s="48"/>
      <c r="CI118" s="48"/>
      <c r="CJ118" s="48"/>
      <c r="CK118" s="48"/>
      <c r="CL118" s="48"/>
      <c r="CM118" s="48"/>
      <c r="CN118" s="48"/>
      <c r="CO118" s="48"/>
      <c r="CP118" s="48"/>
      <c r="CQ118" s="48"/>
      <c r="CR118" s="48"/>
      <c r="CS118" s="48"/>
      <c r="CT118" s="48"/>
      <c r="CU118" s="48"/>
      <c r="CV118" s="48"/>
      <c r="CW118" s="48"/>
      <c r="CX118" s="48"/>
      <c r="CY118" s="48"/>
      <c r="CZ118" s="48"/>
      <c r="DA118" s="48"/>
      <c r="DB118" s="48"/>
      <c r="DC118" s="48"/>
      <c r="DD118" s="48"/>
    </row>
    <row r="119">
      <c r="A119" s="48"/>
      <c r="B119" s="48"/>
      <c r="C119" s="48"/>
      <c r="D119" s="48"/>
      <c r="E119" s="48"/>
      <c r="F119" s="48"/>
      <c r="L119" s="48"/>
      <c r="M119" s="48"/>
      <c r="N119" s="48"/>
      <c r="O119" s="48"/>
      <c r="P119" s="48"/>
      <c r="Q119" s="48"/>
      <c r="R119" s="48"/>
      <c r="S119" s="48"/>
      <c r="T119" s="311" t="s">
        <v>1762</v>
      </c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308"/>
      <c r="AF119" s="175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175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8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48"/>
      <c r="DB119" s="48"/>
      <c r="DC119" s="48"/>
      <c r="DD119" s="48"/>
    </row>
    <row r="120">
      <c r="A120" s="48"/>
      <c r="B120" s="48"/>
      <c r="C120" s="48"/>
      <c r="D120" s="48"/>
      <c r="E120" s="48"/>
      <c r="F120" s="48"/>
      <c r="L120" s="48"/>
      <c r="M120" s="48"/>
      <c r="N120" s="48"/>
      <c r="O120" s="48"/>
      <c r="P120" s="48"/>
      <c r="Q120" s="48"/>
      <c r="R120" s="48"/>
      <c r="S120" s="48"/>
      <c r="T120" s="179" t="s">
        <v>719</v>
      </c>
      <c r="U120" s="179" t="s">
        <v>720</v>
      </c>
      <c r="V120" s="179" t="s">
        <v>721</v>
      </c>
      <c r="W120" s="179" t="s">
        <v>722</v>
      </c>
      <c r="X120" s="179" t="s">
        <v>723</v>
      </c>
      <c r="Y120" s="179" t="s">
        <v>724</v>
      </c>
      <c r="Z120" s="179" t="s">
        <v>725</v>
      </c>
      <c r="AA120" s="179" t="s">
        <v>714</v>
      </c>
      <c r="AB120" s="179" t="s">
        <v>715</v>
      </c>
      <c r="AC120" s="179" t="s">
        <v>716</v>
      </c>
      <c r="AD120" s="179" t="s">
        <v>717</v>
      </c>
      <c r="AE120" s="179" t="s">
        <v>718</v>
      </c>
      <c r="AF120" s="175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175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  <c r="CE120" s="48"/>
      <c r="CF120" s="48"/>
      <c r="CG120" s="48"/>
      <c r="CH120" s="48"/>
      <c r="CI120" s="48"/>
      <c r="CJ120" s="48"/>
      <c r="CK120" s="48"/>
      <c r="CL120" s="48"/>
      <c r="CM120" s="48"/>
      <c r="CN120" s="48"/>
      <c r="CO120" s="48"/>
      <c r="CP120" s="48"/>
      <c r="CQ120" s="48"/>
      <c r="CR120" s="48"/>
      <c r="CS120" s="48"/>
      <c r="CT120" s="48"/>
      <c r="CU120" s="48"/>
      <c r="CV120" s="48"/>
      <c r="CW120" s="48"/>
      <c r="CX120" s="48"/>
      <c r="CY120" s="48"/>
      <c r="CZ120" s="48"/>
      <c r="DA120" s="48"/>
      <c r="DB120" s="48"/>
      <c r="DC120" s="48"/>
      <c r="DD120" s="48"/>
    </row>
    <row r="121">
      <c r="A121" s="48"/>
      <c r="B121" s="48"/>
      <c r="C121" s="48"/>
      <c r="D121" s="48"/>
      <c r="E121" s="48"/>
      <c r="F121" s="48"/>
      <c r="L121" s="48"/>
      <c r="M121" s="48"/>
      <c r="N121" s="48"/>
      <c r="O121" s="48"/>
      <c r="P121" s="48"/>
      <c r="Q121" s="48"/>
      <c r="R121" s="48"/>
      <c r="S121" s="48"/>
      <c r="T121" s="309">
        <f>COUNTA(G3:G77)</f>
        <v>75</v>
      </c>
      <c r="U121" s="309">
        <f>COUNTA(H3:H66)</f>
        <v>64</v>
      </c>
      <c r="V121" s="309">
        <f>COUNTA(I3:I110)</f>
        <v>108</v>
      </c>
      <c r="W121" s="309">
        <f>COUNTA(J3:J97)</f>
        <v>95</v>
      </c>
      <c r="X121" s="309">
        <f>COUNTA(K3:K107)</f>
        <v>105</v>
      </c>
      <c r="Y121" s="309">
        <f>COUNTA(L3:L105)</f>
        <v>103</v>
      </c>
      <c r="Z121" s="309">
        <f>COUNTA(M3:M109)</f>
        <v>107</v>
      </c>
      <c r="AA121" s="309">
        <f>COUNTA(N3:N75)</f>
        <v>73</v>
      </c>
      <c r="AB121" s="309">
        <f>COUNTA(O3:O83)</f>
        <v>81</v>
      </c>
      <c r="AC121" s="309">
        <f>COUNTA(P3:P113)</f>
        <v>81</v>
      </c>
      <c r="AD121" s="309">
        <f>COUNTA(Q3:Q112)</f>
        <v>90</v>
      </c>
      <c r="AE121" s="309">
        <f>COUNTA(R3:R110)</f>
        <v>69</v>
      </c>
      <c r="AF121" s="175">
        <f>SUM(T121:AE121)/12</f>
        <v>87.58333333</v>
      </c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175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CF121" s="48"/>
      <c r="CG121" s="48"/>
      <c r="CH121" s="48"/>
      <c r="CI121" s="48"/>
      <c r="CJ121" s="48"/>
      <c r="CK121" s="48"/>
      <c r="CL121" s="48"/>
      <c r="CM121" s="48"/>
      <c r="CN121" s="48"/>
      <c r="CO121" s="48"/>
      <c r="CP121" s="48"/>
      <c r="CQ121" s="48"/>
      <c r="CR121" s="48"/>
      <c r="CS121" s="48"/>
      <c r="CT121" s="48"/>
      <c r="CU121" s="48"/>
      <c r="CV121" s="48"/>
      <c r="CW121" s="48"/>
      <c r="CX121" s="48"/>
      <c r="CY121" s="48"/>
      <c r="CZ121" s="48"/>
      <c r="DA121" s="48"/>
      <c r="DB121" s="48"/>
      <c r="DC121" s="48"/>
      <c r="DD121" s="48"/>
    </row>
    <row r="122">
      <c r="A122" s="48"/>
      <c r="B122" s="48"/>
      <c r="C122" s="48"/>
      <c r="D122" s="48"/>
      <c r="E122" s="48"/>
      <c r="F122" s="48"/>
      <c r="L122" s="48"/>
      <c r="M122" s="48"/>
      <c r="N122" s="48"/>
      <c r="O122" s="48"/>
      <c r="P122" s="48"/>
      <c r="Q122" s="48"/>
      <c r="R122" s="48"/>
      <c r="S122" s="48"/>
      <c r="T122" s="310">
        <f>T121+U121+V121+W121+X121+Y121+Z121+AA121+AB121+AC121+AD121+AE121</f>
        <v>1051</v>
      </c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308"/>
      <c r="AF122" s="175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175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CF122" s="48"/>
      <c r="CG122" s="48"/>
      <c r="CH122" s="48"/>
      <c r="CI122" s="48"/>
      <c r="CJ122" s="48"/>
      <c r="CK122" s="48"/>
      <c r="CL122" s="48"/>
      <c r="CM122" s="48"/>
      <c r="CN122" s="48"/>
      <c r="CO122" s="48"/>
      <c r="CP122" s="48"/>
      <c r="CQ122" s="48"/>
      <c r="CR122" s="48"/>
      <c r="CS122" s="48"/>
      <c r="CT122" s="48"/>
      <c r="CU122" s="48"/>
      <c r="CV122" s="48"/>
      <c r="CW122" s="48"/>
      <c r="CX122" s="48"/>
      <c r="CY122" s="48"/>
      <c r="CZ122" s="48"/>
      <c r="DA122" s="48"/>
      <c r="DB122" s="48"/>
      <c r="DC122" s="48"/>
      <c r="DD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175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175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  <c r="CE123" s="48"/>
      <c r="CF123" s="48"/>
      <c r="CG123" s="48"/>
      <c r="CH123" s="48"/>
      <c r="CI123" s="48"/>
      <c r="CJ123" s="48"/>
      <c r="CK123" s="48"/>
      <c r="CL123" s="48"/>
      <c r="CM123" s="48"/>
      <c r="CN123" s="48"/>
      <c r="CO123" s="48"/>
      <c r="CP123" s="48"/>
      <c r="CQ123" s="48"/>
      <c r="CR123" s="48"/>
      <c r="CS123" s="48"/>
      <c r="CT123" s="48"/>
      <c r="CU123" s="48"/>
      <c r="CV123" s="48"/>
      <c r="CW123" s="48"/>
      <c r="CX123" s="48"/>
      <c r="CY123" s="48"/>
      <c r="CZ123" s="48"/>
      <c r="DA123" s="48"/>
      <c r="DB123" s="48"/>
      <c r="DC123" s="48"/>
      <c r="DD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312" t="s">
        <v>1763</v>
      </c>
      <c r="AB124" s="307"/>
      <c r="AC124" s="307"/>
      <c r="AD124" s="307"/>
      <c r="AE124" s="308"/>
      <c r="AF124" s="175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175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  <c r="CE124" s="48"/>
      <c r="CF124" s="48"/>
      <c r="CG124" s="48"/>
      <c r="CH124" s="48"/>
      <c r="CI124" s="48"/>
      <c r="CJ124" s="48"/>
      <c r="CK124" s="48"/>
      <c r="CL124" s="48"/>
      <c r="CM124" s="48"/>
      <c r="CN124" s="48"/>
      <c r="CO124" s="48"/>
      <c r="CP124" s="48"/>
      <c r="CQ124" s="48"/>
      <c r="CR124" s="48"/>
      <c r="CS124" s="48"/>
      <c r="CT124" s="48"/>
      <c r="CU124" s="48"/>
      <c r="CV124" s="48"/>
      <c r="CW124" s="48"/>
      <c r="CX124" s="48"/>
      <c r="CY124" s="48"/>
      <c r="CZ124" s="48"/>
      <c r="DA124" s="48"/>
      <c r="DB124" s="48"/>
      <c r="DC124" s="48"/>
      <c r="DD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178" t="s">
        <v>714</v>
      </c>
      <c r="AB125" s="179" t="s">
        <v>715</v>
      </c>
      <c r="AC125" s="179" t="s">
        <v>716</v>
      </c>
      <c r="AD125" s="179" t="s">
        <v>717</v>
      </c>
      <c r="AE125" s="179" t="s">
        <v>718</v>
      </c>
      <c r="AF125" s="175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175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  <c r="CE125" s="48"/>
      <c r="CF125" s="48"/>
      <c r="CG125" s="48"/>
      <c r="CH125" s="48"/>
      <c r="CI125" s="48"/>
      <c r="CJ125" s="48"/>
      <c r="CK125" s="48"/>
      <c r="CL125" s="48"/>
      <c r="CM125" s="48"/>
      <c r="CN125" s="48"/>
      <c r="CO125" s="48"/>
      <c r="CP125" s="48"/>
      <c r="CQ125" s="48"/>
      <c r="CR125" s="48"/>
      <c r="CS125" s="48"/>
      <c r="CT125" s="48"/>
      <c r="CU125" s="48"/>
      <c r="CV125" s="48"/>
      <c r="CW125" s="48"/>
      <c r="CX125" s="48"/>
      <c r="CY125" s="48"/>
      <c r="CZ125" s="48"/>
      <c r="DA125" s="48"/>
      <c r="DB125" s="48"/>
      <c r="DC125" s="48"/>
      <c r="DD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153">
        <f>COUNTA(N8:N58)</f>
        <v>51</v>
      </c>
      <c r="AB126" s="185">
        <f>COUNTA(O8:O57)</f>
        <v>50</v>
      </c>
      <c r="AC126" s="185">
        <f>COUNTA(P8:P80)</f>
        <v>73</v>
      </c>
      <c r="AD126" s="185">
        <f>COUNTA(Q8:Q77)</f>
        <v>70</v>
      </c>
      <c r="AE126" s="185">
        <f>COUNTA(R8:R63)</f>
        <v>56</v>
      </c>
      <c r="AF126" s="175">
        <f>SUM(AA126:AE126)/5</f>
        <v>60</v>
      </c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175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  <c r="CE126" s="48"/>
      <c r="CF126" s="48"/>
      <c r="CG126" s="48"/>
      <c r="CH126" s="48"/>
      <c r="CI126" s="48"/>
      <c r="CJ126" s="48"/>
      <c r="CK126" s="48"/>
      <c r="CL126" s="48"/>
      <c r="CM126" s="48"/>
      <c r="CN126" s="48"/>
      <c r="CO126" s="48"/>
      <c r="CP126" s="48"/>
      <c r="CQ126" s="48"/>
      <c r="CR126" s="48"/>
      <c r="CS126" s="48"/>
      <c r="CT126" s="48"/>
      <c r="CU126" s="48"/>
      <c r="CV126" s="48"/>
      <c r="CW126" s="48"/>
      <c r="CX126" s="48"/>
      <c r="CY126" s="48"/>
      <c r="CZ126" s="48"/>
      <c r="DA126" s="48"/>
      <c r="DB126" s="48"/>
      <c r="DC126" s="48"/>
      <c r="DD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313">
        <f>AA126+AB126+AC126+AD126+AE126</f>
        <v>300</v>
      </c>
      <c r="AB127" s="307"/>
      <c r="AC127" s="307"/>
      <c r="AD127" s="307"/>
      <c r="AE127" s="308"/>
      <c r="AF127" s="175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175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8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48"/>
      <c r="DB127" s="48"/>
      <c r="DC127" s="48"/>
      <c r="DD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175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175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48"/>
      <c r="CK128" s="48"/>
      <c r="CL128" s="48"/>
      <c r="CM128" s="48"/>
      <c r="CN128" s="48"/>
      <c r="CO128" s="48"/>
      <c r="CP128" s="48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/>
      <c r="DA128" s="48"/>
      <c r="DB128" s="48"/>
      <c r="DC128" s="48"/>
      <c r="DD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306" t="s">
        <v>1764</v>
      </c>
      <c r="U129" s="307"/>
      <c r="V129" s="307"/>
      <c r="W129" s="307"/>
      <c r="X129" s="307"/>
      <c r="Y129" s="307"/>
      <c r="Z129" s="307"/>
      <c r="AA129" s="307"/>
      <c r="AB129" s="307"/>
      <c r="AC129" s="307"/>
      <c r="AD129" s="307"/>
      <c r="AE129" s="308"/>
      <c r="AF129" s="175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175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8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48"/>
      <c r="DB129" s="48"/>
      <c r="DC129" s="48"/>
      <c r="DD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179" t="s">
        <v>719</v>
      </c>
      <c r="U130" s="179" t="s">
        <v>720</v>
      </c>
      <c r="V130" s="179" t="s">
        <v>721</v>
      </c>
      <c r="W130" s="179" t="s">
        <v>722</v>
      </c>
      <c r="X130" s="179" t="s">
        <v>723</v>
      </c>
      <c r="Y130" s="179" t="s">
        <v>724</v>
      </c>
      <c r="Z130" s="179" t="s">
        <v>725</v>
      </c>
      <c r="AA130" s="179" t="s">
        <v>714</v>
      </c>
      <c r="AB130" s="179" t="s">
        <v>715</v>
      </c>
      <c r="AC130" s="179" t="s">
        <v>716</v>
      </c>
      <c r="AD130" s="179" t="s">
        <v>717</v>
      </c>
      <c r="AE130" s="179" t="s">
        <v>718</v>
      </c>
      <c r="AF130" s="175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175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48"/>
      <c r="CK130" s="48"/>
      <c r="CL130" s="48"/>
      <c r="CM130" s="48"/>
      <c r="CN130" s="48"/>
      <c r="CO130" s="48"/>
      <c r="CP130" s="48"/>
      <c r="CQ130" s="48"/>
      <c r="CR130" s="48"/>
      <c r="CS130" s="48"/>
      <c r="CT130" s="48"/>
      <c r="CU130" s="48"/>
      <c r="CV130" s="48"/>
      <c r="CW130" s="48"/>
      <c r="CX130" s="48"/>
      <c r="CY130" s="48"/>
      <c r="CZ130" s="48"/>
      <c r="DA130" s="48"/>
      <c r="DB130" s="48"/>
      <c r="DC130" s="48"/>
      <c r="DD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314">
        <f t="shared" ref="T131:U131" si="3">COUNTA(AT3:AT3135)</f>
        <v>57</v>
      </c>
      <c r="U131" s="314">
        <f t="shared" si="3"/>
        <v>90</v>
      </c>
      <c r="V131" s="314">
        <f>COUNTA(AV3:AV105)</f>
        <v>34</v>
      </c>
      <c r="W131" s="314">
        <f t="shared" ref="W131:AE131" si="4">COUNTA(AW3:AW3135)</f>
        <v>74</v>
      </c>
      <c r="X131" s="314">
        <f t="shared" si="4"/>
        <v>79</v>
      </c>
      <c r="Y131" s="314">
        <f t="shared" si="4"/>
        <v>38</v>
      </c>
      <c r="Z131" s="314">
        <f t="shared" si="4"/>
        <v>0</v>
      </c>
      <c r="AA131" s="314">
        <f t="shared" si="4"/>
        <v>0</v>
      </c>
      <c r="AB131" s="314">
        <f t="shared" si="4"/>
        <v>0</v>
      </c>
      <c r="AC131" s="314">
        <f t="shared" si="4"/>
        <v>0</v>
      </c>
      <c r="AD131" s="314">
        <f t="shared" si="4"/>
        <v>0</v>
      </c>
      <c r="AE131" s="314">
        <f t="shared" si="4"/>
        <v>0</v>
      </c>
      <c r="AF131" s="175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175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CF131" s="48"/>
      <c r="CG131" s="48"/>
      <c r="CH131" s="48"/>
      <c r="CI131" s="48"/>
      <c r="CJ131" s="48"/>
      <c r="CK131" s="48"/>
      <c r="CL131" s="48"/>
      <c r="CM131" s="48"/>
      <c r="CN131" s="48"/>
      <c r="CO131" s="48"/>
      <c r="CP131" s="48"/>
      <c r="CQ131" s="48"/>
      <c r="CR131" s="48"/>
      <c r="CS131" s="48"/>
      <c r="CT131" s="48"/>
      <c r="CU131" s="48"/>
      <c r="CV131" s="48"/>
      <c r="CW131" s="48"/>
      <c r="CX131" s="48"/>
      <c r="CY131" s="48"/>
      <c r="CZ131" s="48"/>
      <c r="DA131" s="48"/>
      <c r="DB131" s="48"/>
      <c r="DC131" s="48"/>
      <c r="DD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110">
        <f>SUM(T131:AE131)</f>
        <v>372</v>
      </c>
      <c r="AF132" s="175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175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  <c r="CE132" s="48"/>
      <c r="CF132" s="48"/>
      <c r="CG132" s="48"/>
      <c r="CH132" s="48"/>
      <c r="CI132" s="48"/>
      <c r="CJ132" s="48"/>
      <c r="CK132" s="48"/>
      <c r="CL132" s="48"/>
      <c r="CM132" s="48"/>
      <c r="CN132" s="48"/>
      <c r="CO132" s="48"/>
      <c r="CP132" s="48"/>
      <c r="CQ132" s="48"/>
      <c r="CR132" s="48"/>
      <c r="CS132" s="48"/>
      <c r="CT132" s="48"/>
      <c r="CU132" s="48"/>
      <c r="CV132" s="48"/>
      <c r="CW132" s="48"/>
      <c r="CX132" s="48"/>
      <c r="CY132" s="48"/>
      <c r="CZ132" s="48"/>
      <c r="DA132" s="48"/>
      <c r="DB132" s="48"/>
      <c r="DC132" s="48"/>
      <c r="DD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175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175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8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175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175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8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175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175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8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175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175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175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175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  <c r="CE137" s="48"/>
      <c r="CF137" s="48"/>
      <c r="CG137" s="48"/>
      <c r="CH137" s="48"/>
      <c r="CI137" s="48"/>
      <c r="CJ137" s="48"/>
      <c r="CK137" s="48"/>
      <c r="CL137" s="48"/>
      <c r="CM137" s="48"/>
      <c r="CN137" s="48"/>
      <c r="CO137" s="48"/>
      <c r="CP137" s="48"/>
      <c r="CQ137" s="48"/>
      <c r="CR137" s="48"/>
      <c r="CS137" s="48"/>
      <c r="CT137" s="48"/>
      <c r="CU137" s="48"/>
      <c r="CV137" s="48"/>
      <c r="CW137" s="48"/>
      <c r="CX137" s="48"/>
      <c r="CY137" s="48"/>
      <c r="CZ137" s="48"/>
      <c r="DA137" s="48"/>
      <c r="DB137" s="48"/>
      <c r="DC137" s="48"/>
      <c r="DD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175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175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  <c r="CE138" s="48"/>
      <c r="CF138" s="48"/>
      <c r="CG138" s="48"/>
      <c r="CH138" s="48"/>
      <c r="CI138" s="48"/>
      <c r="CJ138" s="48"/>
      <c r="CK138" s="48"/>
      <c r="CL138" s="48"/>
      <c r="CM138" s="48"/>
      <c r="CN138" s="48"/>
      <c r="CO138" s="48"/>
      <c r="CP138" s="48"/>
      <c r="CQ138" s="48"/>
      <c r="CR138" s="48"/>
      <c r="CS138" s="48"/>
      <c r="CT138" s="48"/>
      <c r="CU138" s="48"/>
      <c r="CV138" s="48"/>
      <c r="CW138" s="48"/>
      <c r="CX138" s="48"/>
      <c r="CY138" s="48"/>
      <c r="CZ138" s="48"/>
      <c r="DA138" s="48"/>
      <c r="DB138" s="48"/>
      <c r="DC138" s="48"/>
      <c r="DD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175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175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  <c r="CE139" s="48"/>
      <c r="CF139" s="48"/>
      <c r="CG139" s="48"/>
      <c r="CH139" s="48"/>
      <c r="CI139" s="48"/>
      <c r="CJ139" s="48"/>
      <c r="CK139" s="48"/>
      <c r="CL139" s="48"/>
      <c r="CM139" s="48"/>
      <c r="CN139" s="48"/>
      <c r="CO139" s="48"/>
      <c r="CP139" s="48"/>
      <c r="CQ139" s="48"/>
      <c r="CR139" s="48"/>
      <c r="CS139" s="48"/>
      <c r="CT139" s="48"/>
      <c r="CU139" s="48"/>
      <c r="CV139" s="48"/>
      <c r="CW139" s="48"/>
      <c r="CX139" s="48"/>
      <c r="CY139" s="48"/>
      <c r="CZ139" s="48"/>
      <c r="DA139" s="48"/>
      <c r="DB139" s="48"/>
      <c r="DC139" s="48"/>
      <c r="DD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175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175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175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175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  <c r="CE141" s="48"/>
      <c r="CF141" s="48"/>
      <c r="CG141" s="48"/>
      <c r="CH141" s="48"/>
      <c r="CI141" s="48"/>
      <c r="CJ141" s="48"/>
      <c r="CK141" s="48"/>
      <c r="CL141" s="48"/>
      <c r="CM141" s="48"/>
      <c r="CN141" s="48"/>
      <c r="CO141" s="48"/>
      <c r="CP141" s="48"/>
      <c r="CQ141" s="48"/>
      <c r="CR141" s="48"/>
      <c r="CS141" s="48"/>
      <c r="CT141" s="48"/>
      <c r="CU141" s="48"/>
      <c r="CV141" s="48"/>
      <c r="CW141" s="48"/>
      <c r="CX141" s="48"/>
      <c r="CY141" s="48"/>
      <c r="CZ141" s="48"/>
      <c r="DA141" s="48"/>
      <c r="DB141" s="48"/>
      <c r="DC141" s="48"/>
      <c r="DD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175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175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/>
      <c r="CG142" s="48"/>
      <c r="CH142" s="48"/>
      <c r="CI142" s="48"/>
      <c r="CJ142" s="48"/>
      <c r="CK142" s="48"/>
      <c r="CL142" s="48"/>
      <c r="CM142" s="48"/>
      <c r="CN142" s="48"/>
      <c r="CO142" s="48"/>
      <c r="CP142" s="48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/>
      <c r="DA142" s="48"/>
      <c r="DB142" s="48"/>
      <c r="DC142" s="48"/>
      <c r="DD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175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175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  <c r="CE143" s="48"/>
      <c r="CF143" s="48"/>
      <c r="CG143" s="48"/>
      <c r="CH143" s="48"/>
      <c r="CI143" s="48"/>
      <c r="CJ143" s="48"/>
      <c r="CK143" s="48"/>
      <c r="CL143" s="48"/>
      <c r="CM143" s="48"/>
      <c r="CN143" s="48"/>
      <c r="CO143" s="48"/>
      <c r="CP143" s="48"/>
      <c r="CQ143" s="48"/>
      <c r="CR143" s="48"/>
      <c r="CS143" s="48"/>
      <c r="CT143" s="48"/>
      <c r="CU143" s="48"/>
      <c r="CV143" s="48"/>
      <c r="CW143" s="48"/>
      <c r="CX143" s="48"/>
      <c r="CY143" s="48"/>
      <c r="CZ143" s="48"/>
      <c r="DA143" s="48"/>
      <c r="DB143" s="48"/>
      <c r="DC143" s="48"/>
      <c r="DD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175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175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  <c r="CE144" s="48"/>
      <c r="CF144" s="48"/>
      <c r="CG144" s="48"/>
      <c r="CH144" s="48"/>
      <c r="CI144" s="48"/>
      <c r="CJ144" s="48"/>
      <c r="CK144" s="48"/>
      <c r="CL144" s="48"/>
      <c r="CM144" s="48"/>
      <c r="CN144" s="48"/>
      <c r="CO144" s="48"/>
      <c r="CP144" s="48"/>
      <c r="CQ144" s="48"/>
      <c r="CR144" s="48"/>
      <c r="CS144" s="48"/>
      <c r="CT144" s="48"/>
      <c r="CU144" s="48"/>
      <c r="CV144" s="48"/>
      <c r="CW144" s="48"/>
      <c r="CX144" s="48"/>
      <c r="CY144" s="48"/>
      <c r="CZ144" s="48"/>
      <c r="DA144" s="48"/>
      <c r="DB144" s="48"/>
      <c r="DC144" s="48"/>
      <c r="DD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175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175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  <c r="CE145" s="48"/>
      <c r="CF145" s="48"/>
      <c r="CG145" s="48"/>
      <c r="CH145" s="48"/>
      <c r="CI145" s="48"/>
      <c r="CJ145" s="48"/>
      <c r="CK145" s="48"/>
      <c r="CL145" s="48"/>
      <c r="CM145" s="48"/>
      <c r="CN145" s="48"/>
      <c r="CO145" s="48"/>
      <c r="CP145" s="48"/>
      <c r="CQ145" s="48"/>
      <c r="CR145" s="48"/>
      <c r="CS145" s="48"/>
      <c r="CT145" s="48"/>
      <c r="CU145" s="48"/>
      <c r="CV145" s="48"/>
      <c r="CW145" s="48"/>
      <c r="CX145" s="48"/>
      <c r="CY145" s="48"/>
      <c r="CZ145" s="48"/>
      <c r="DA145" s="48"/>
      <c r="DB145" s="48"/>
      <c r="DC145" s="48"/>
      <c r="DD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175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175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  <c r="CE146" s="48"/>
      <c r="CF146" s="48"/>
      <c r="CG146" s="48"/>
      <c r="CH146" s="48"/>
      <c r="CI146" s="48"/>
      <c r="CJ146" s="48"/>
      <c r="CK146" s="48"/>
      <c r="CL146" s="48"/>
      <c r="CM146" s="48"/>
      <c r="CN146" s="48"/>
      <c r="CO146" s="48"/>
      <c r="CP146" s="48"/>
      <c r="CQ146" s="48"/>
      <c r="CR146" s="48"/>
      <c r="CS146" s="48"/>
      <c r="CT146" s="48"/>
      <c r="CU146" s="48"/>
      <c r="CV146" s="48"/>
      <c r="CW146" s="48"/>
      <c r="CX146" s="48"/>
      <c r="CY146" s="48"/>
      <c r="CZ146" s="48"/>
      <c r="DA146" s="48"/>
      <c r="DB146" s="48"/>
      <c r="DC146" s="48"/>
      <c r="DD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175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175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  <c r="CE147" s="48"/>
      <c r="CF147" s="48"/>
      <c r="CG147" s="48"/>
      <c r="CH147" s="48"/>
      <c r="CI147" s="48"/>
      <c r="CJ147" s="48"/>
      <c r="CK147" s="48"/>
      <c r="CL147" s="48"/>
      <c r="CM147" s="48"/>
      <c r="CN147" s="48"/>
      <c r="CO147" s="48"/>
      <c r="CP147" s="48"/>
      <c r="CQ147" s="48"/>
      <c r="CR147" s="48"/>
      <c r="CS147" s="48"/>
      <c r="CT147" s="48"/>
      <c r="CU147" s="48"/>
      <c r="CV147" s="48"/>
      <c r="CW147" s="48"/>
      <c r="CX147" s="48"/>
      <c r="CY147" s="48"/>
      <c r="CZ147" s="48"/>
      <c r="DA147" s="48"/>
      <c r="DB147" s="48"/>
      <c r="DC147" s="48"/>
      <c r="DD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175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175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  <c r="CE148" s="48"/>
      <c r="CF148" s="48"/>
      <c r="CG148" s="48"/>
      <c r="CH148" s="48"/>
      <c r="CI148" s="48"/>
      <c r="CJ148" s="48"/>
      <c r="CK148" s="48"/>
      <c r="CL148" s="48"/>
      <c r="CM148" s="48"/>
      <c r="CN148" s="48"/>
      <c r="CO148" s="48"/>
      <c r="CP148" s="48"/>
      <c r="CQ148" s="48"/>
      <c r="CR148" s="48"/>
      <c r="CS148" s="48"/>
      <c r="CT148" s="48"/>
      <c r="CU148" s="48"/>
      <c r="CV148" s="48"/>
      <c r="CW148" s="48"/>
      <c r="CX148" s="48"/>
      <c r="CY148" s="48"/>
      <c r="CZ148" s="48"/>
      <c r="DA148" s="48"/>
      <c r="DB148" s="48"/>
      <c r="DC148" s="48"/>
      <c r="DD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175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175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  <c r="CE149" s="48"/>
      <c r="CF149" s="48"/>
      <c r="CG149" s="48"/>
      <c r="CH149" s="48"/>
      <c r="CI149" s="48"/>
      <c r="CJ149" s="48"/>
      <c r="CK149" s="48"/>
      <c r="CL149" s="48"/>
      <c r="CM149" s="48"/>
      <c r="CN149" s="48"/>
      <c r="CO149" s="48"/>
      <c r="CP149" s="48"/>
      <c r="CQ149" s="48"/>
      <c r="CR149" s="48"/>
      <c r="CS149" s="48"/>
      <c r="CT149" s="48"/>
      <c r="CU149" s="48"/>
      <c r="CV149" s="48"/>
      <c r="CW149" s="48"/>
      <c r="CX149" s="48"/>
      <c r="CY149" s="48"/>
      <c r="CZ149" s="48"/>
      <c r="DA149" s="48"/>
      <c r="DB149" s="48"/>
      <c r="DC149" s="48"/>
      <c r="DD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175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175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  <c r="CE150" s="48"/>
      <c r="CF150" s="48"/>
      <c r="CG150" s="48"/>
      <c r="CH150" s="48"/>
      <c r="CI150" s="48"/>
      <c r="CJ150" s="48"/>
      <c r="CK150" s="48"/>
      <c r="CL150" s="48"/>
      <c r="CM150" s="48"/>
      <c r="CN150" s="48"/>
      <c r="CO150" s="48"/>
      <c r="CP150" s="48"/>
      <c r="CQ150" s="48"/>
      <c r="CR150" s="48"/>
      <c r="CS150" s="48"/>
      <c r="CT150" s="48"/>
      <c r="CU150" s="48"/>
      <c r="CV150" s="48"/>
      <c r="CW150" s="48"/>
      <c r="CX150" s="48"/>
      <c r="CY150" s="48"/>
      <c r="CZ150" s="48"/>
      <c r="DA150" s="48"/>
      <c r="DB150" s="48"/>
      <c r="DC150" s="48"/>
      <c r="DD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175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175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  <c r="CE151" s="48"/>
      <c r="CF151" s="48"/>
      <c r="CG151" s="48"/>
      <c r="CH151" s="48"/>
      <c r="CI151" s="48"/>
      <c r="CJ151" s="48"/>
      <c r="CK151" s="48"/>
      <c r="CL151" s="48"/>
      <c r="CM151" s="48"/>
      <c r="CN151" s="48"/>
      <c r="CO151" s="48"/>
      <c r="CP151" s="48"/>
      <c r="CQ151" s="48"/>
      <c r="CR151" s="48"/>
      <c r="CS151" s="48"/>
      <c r="CT151" s="48"/>
      <c r="CU151" s="48"/>
      <c r="CV151" s="48"/>
      <c r="CW151" s="48"/>
      <c r="CX151" s="48"/>
      <c r="CY151" s="48"/>
      <c r="CZ151" s="48"/>
      <c r="DA151" s="48"/>
      <c r="DB151" s="48"/>
      <c r="DC151" s="48"/>
      <c r="DD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175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175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  <c r="CE152" s="48"/>
      <c r="CF152" s="48"/>
      <c r="CG152" s="48"/>
      <c r="CH152" s="48"/>
      <c r="CI152" s="48"/>
      <c r="CJ152" s="48"/>
      <c r="CK152" s="48"/>
      <c r="CL152" s="48"/>
      <c r="CM152" s="48"/>
      <c r="CN152" s="48"/>
      <c r="CO152" s="48"/>
      <c r="CP152" s="48"/>
      <c r="CQ152" s="48"/>
      <c r="CR152" s="48"/>
      <c r="CS152" s="48"/>
      <c r="CT152" s="48"/>
      <c r="CU152" s="48"/>
      <c r="CV152" s="48"/>
      <c r="CW152" s="48"/>
      <c r="CX152" s="48"/>
      <c r="CY152" s="48"/>
      <c r="CZ152" s="48"/>
      <c r="DA152" s="48"/>
      <c r="DB152" s="48"/>
      <c r="DC152" s="48"/>
      <c r="DD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175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175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  <c r="CE153" s="48"/>
      <c r="CF153" s="48"/>
      <c r="CG153" s="48"/>
      <c r="CH153" s="48"/>
      <c r="CI153" s="48"/>
      <c r="CJ153" s="48"/>
      <c r="CK153" s="48"/>
      <c r="CL153" s="48"/>
      <c r="CM153" s="48"/>
      <c r="CN153" s="48"/>
      <c r="CO153" s="48"/>
      <c r="CP153" s="48"/>
      <c r="CQ153" s="48"/>
      <c r="CR153" s="48"/>
      <c r="CS153" s="48"/>
      <c r="CT153" s="48"/>
      <c r="CU153" s="48"/>
      <c r="CV153" s="48"/>
      <c r="CW153" s="48"/>
      <c r="CX153" s="48"/>
      <c r="CY153" s="48"/>
      <c r="CZ153" s="48"/>
      <c r="DA153" s="48"/>
      <c r="DB153" s="48"/>
      <c r="DC153" s="48"/>
      <c r="DD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175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175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  <c r="CE154" s="48"/>
      <c r="CF154" s="48"/>
      <c r="CG154" s="48"/>
      <c r="CH154" s="48"/>
      <c r="CI154" s="48"/>
      <c r="CJ154" s="48"/>
      <c r="CK154" s="48"/>
      <c r="CL154" s="48"/>
      <c r="CM154" s="48"/>
      <c r="CN154" s="48"/>
      <c r="CO154" s="48"/>
      <c r="CP154" s="48"/>
      <c r="CQ154" s="48"/>
      <c r="CR154" s="48"/>
      <c r="CS154" s="48"/>
      <c r="CT154" s="48"/>
      <c r="CU154" s="48"/>
      <c r="CV154" s="48"/>
      <c r="CW154" s="48"/>
      <c r="CX154" s="48"/>
      <c r="CY154" s="48"/>
      <c r="CZ154" s="48"/>
      <c r="DA154" s="48"/>
      <c r="DB154" s="48"/>
      <c r="DC154" s="48"/>
      <c r="DD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175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175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  <c r="CE155" s="48"/>
      <c r="CF155" s="48"/>
      <c r="CG155" s="48"/>
      <c r="CH155" s="48"/>
      <c r="CI155" s="48"/>
      <c r="CJ155" s="48"/>
      <c r="CK155" s="48"/>
      <c r="CL155" s="48"/>
      <c r="CM155" s="48"/>
      <c r="CN155" s="48"/>
      <c r="CO155" s="48"/>
      <c r="CP155" s="48"/>
      <c r="CQ155" s="48"/>
      <c r="CR155" s="48"/>
      <c r="CS155" s="48"/>
      <c r="CT155" s="48"/>
      <c r="CU155" s="48"/>
      <c r="CV155" s="48"/>
      <c r="CW155" s="48"/>
      <c r="CX155" s="48"/>
      <c r="CY155" s="48"/>
      <c r="CZ155" s="48"/>
      <c r="DA155" s="48"/>
      <c r="DB155" s="48"/>
      <c r="DC155" s="48"/>
      <c r="DD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175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175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/>
      <c r="CG156" s="48"/>
      <c r="CH156" s="48"/>
      <c r="CI156" s="48"/>
      <c r="CJ156" s="48"/>
      <c r="CK156" s="48"/>
      <c r="CL156" s="48"/>
      <c r="CM156" s="48"/>
      <c r="CN156" s="48"/>
      <c r="CO156" s="48"/>
      <c r="CP156" s="48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/>
      <c r="DA156" s="48"/>
      <c r="DB156" s="48"/>
      <c r="DC156" s="48"/>
      <c r="DD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175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175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  <c r="CE157" s="48"/>
      <c r="CF157" s="48"/>
      <c r="CG157" s="48"/>
      <c r="CH157" s="48"/>
      <c r="CI157" s="48"/>
      <c r="CJ157" s="48"/>
      <c r="CK157" s="48"/>
      <c r="CL157" s="48"/>
      <c r="CM157" s="48"/>
      <c r="CN157" s="48"/>
      <c r="CO157" s="48"/>
      <c r="CP157" s="48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  <c r="DA157" s="48"/>
      <c r="DB157" s="48"/>
      <c r="DC157" s="48"/>
      <c r="DD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175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175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  <c r="CE158" s="48"/>
      <c r="CF158" s="48"/>
      <c r="CG158" s="48"/>
      <c r="CH158" s="48"/>
      <c r="CI158" s="48"/>
      <c r="CJ158" s="48"/>
      <c r="CK158" s="48"/>
      <c r="CL158" s="48"/>
      <c r="CM158" s="48"/>
      <c r="CN158" s="48"/>
      <c r="CO158" s="48"/>
      <c r="CP158" s="48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  <c r="DA158" s="48"/>
      <c r="DB158" s="48"/>
      <c r="DC158" s="48"/>
      <c r="DD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175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175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  <c r="CE159" s="48"/>
      <c r="CF159" s="48"/>
      <c r="CG159" s="48"/>
      <c r="CH159" s="48"/>
      <c r="CI159" s="48"/>
      <c r="CJ159" s="48"/>
      <c r="CK159" s="48"/>
      <c r="CL159" s="48"/>
      <c r="CM159" s="48"/>
      <c r="CN159" s="48"/>
      <c r="CO159" s="48"/>
      <c r="CP159" s="48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  <c r="DA159" s="48"/>
      <c r="DB159" s="48"/>
      <c r="DC159" s="48"/>
      <c r="DD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175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175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  <c r="CE160" s="48"/>
      <c r="CF160" s="48"/>
      <c r="CG160" s="48"/>
      <c r="CH160" s="48"/>
      <c r="CI160" s="48"/>
      <c r="CJ160" s="48"/>
      <c r="CK160" s="48"/>
      <c r="CL160" s="48"/>
      <c r="CM160" s="48"/>
      <c r="CN160" s="48"/>
      <c r="CO160" s="48"/>
      <c r="CP160" s="48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  <c r="DA160" s="48"/>
      <c r="DB160" s="48"/>
      <c r="DC160" s="48"/>
      <c r="DD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175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175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  <c r="CE161" s="48"/>
      <c r="CF161" s="48"/>
      <c r="CG161" s="48"/>
      <c r="CH161" s="48"/>
      <c r="CI161" s="48"/>
      <c r="CJ161" s="48"/>
      <c r="CK161" s="48"/>
      <c r="CL161" s="48"/>
      <c r="CM161" s="48"/>
      <c r="CN161" s="48"/>
      <c r="CO161" s="48"/>
      <c r="CP161" s="48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  <c r="DA161" s="48"/>
      <c r="DB161" s="48"/>
      <c r="DC161" s="48"/>
      <c r="DD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175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175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  <c r="CE162" s="48"/>
      <c r="CF162" s="48"/>
      <c r="CG162" s="48"/>
      <c r="CH162" s="48"/>
      <c r="CI162" s="48"/>
      <c r="CJ162" s="48"/>
      <c r="CK162" s="48"/>
      <c r="CL162" s="48"/>
      <c r="CM162" s="48"/>
      <c r="CN162" s="48"/>
      <c r="CO162" s="48"/>
      <c r="CP162" s="48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  <c r="DA162" s="48"/>
      <c r="DB162" s="48"/>
      <c r="DC162" s="48"/>
      <c r="DD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175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175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  <c r="CE163" s="48"/>
      <c r="CF163" s="48"/>
      <c r="CG163" s="48"/>
      <c r="CH163" s="48"/>
      <c r="CI163" s="48"/>
      <c r="CJ163" s="48"/>
      <c r="CK163" s="48"/>
      <c r="CL163" s="48"/>
      <c r="CM163" s="48"/>
      <c r="CN163" s="48"/>
      <c r="CO163" s="48"/>
      <c r="CP163" s="48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  <c r="DA163" s="48"/>
      <c r="DB163" s="48"/>
      <c r="DC163" s="48"/>
      <c r="DD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175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175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  <c r="CE164" s="48"/>
      <c r="CF164" s="48"/>
      <c r="CG164" s="48"/>
      <c r="CH164" s="48"/>
      <c r="CI164" s="48"/>
      <c r="CJ164" s="48"/>
      <c r="CK164" s="48"/>
      <c r="CL164" s="48"/>
      <c r="CM164" s="48"/>
      <c r="CN164" s="48"/>
      <c r="CO164" s="48"/>
      <c r="CP164" s="48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  <c r="DA164" s="48"/>
      <c r="DB164" s="48"/>
      <c r="DC164" s="48"/>
      <c r="DD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175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175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  <c r="CE165" s="48"/>
      <c r="CF165" s="48"/>
      <c r="CG165" s="48"/>
      <c r="CH165" s="48"/>
      <c r="CI165" s="48"/>
      <c r="CJ165" s="48"/>
      <c r="CK165" s="48"/>
      <c r="CL165" s="48"/>
      <c r="CM165" s="48"/>
      <c r="CN165" s="48"/>
      <c r="CO165" s="48"/>
      <c r="CP165" s="48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  <c r="DA165" s="48"/>
      <c r="DB165" s="48"/>
      <c r="DC165" s="48"/>
      <c r="DD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175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175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M166" s="48"/>
      <c r="CN166" s="48"/>
      <c r="CO166" s="48"/>
      <c r="CP166" s="48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  <c r="DA166" s="48"/>
      <c r="DB166" s="48"/>
      <c r="DC166" s="48"/>
      <c r="DD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175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175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8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175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175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8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  <c r="DA168" s="48"/>
      <c r="DB168" s="48"/>
      <c r="DC168" s="48"/>
      <c r="DD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175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175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8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  <c r="DA169" s="48"/>
      <c r="DB169" s="48"/>
      <c r="DC169" s="48"/>
      <c r="DD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175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175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  <c r="DA170" s="48"/>
      <c r="DB170" s="48"/>
      <c r="DC170" s="48"/>
      <c r="DD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175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175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  <c r="CE171" s="48"/>
      <c r="CF171" s="48"/>
      <c r="CG171" s="48"/>
      <c r="CH171" s="48"/>
      <c r="CI171" s="48"/>
      <c r="CJ171" s="48"/>
      <c r="CK171" s="48"/>
      <c r="CL171" s="48"/>
      <c r="CM171" s="48"/>
      <c r="CN171" s="48"/>
      <c r="CO171" s="48"/>
      <c r="CP171" s="48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  <c r="DA171" s="48"/>
      <c r="DB171" s="48"/>
      <c r="DC171" s="48"/>
      <c r="DD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175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175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8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175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175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  <c r="CE173" s="48"/>
      <c r="CF173" s="48"/>
      <c r="CG173" s="48"/>
      <c r="CH173" s="48"/>
      <c r="CI173" s="48"/>
      <c r="CJ173" s="48"/>
      <c r="CK173" s="48"/>
      <c r="CL173" s="48"/>
      <c r="CM173" s="48"/>
      <c r="CN173" s="48"/>
      <c r="CO173" s="48"/>
      <c r="CP173" s="48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  <c r="DA173" s="48"/>
      <c r="DB173" s="48"/>
      <c r="DC173" s="48"/>
      <c r="DD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175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175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175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175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175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175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  <c r="CE176" s="48"/>
      <c r="CF176" s="48"/>
      <c r="CG176" s="48"/>
      <c r="CH176" s="48"/>
      <c r="CI176" s="48"/>
      <c r="CJ176" s="48"/>
      <c r="CK176" s="48"/>
      <c r="CL176" s="48"/>
      <c r="CM176" s="48"/>
      <c r="CN176" s="48"/>
      <c r="CO176" s="48"/>
      <c r="CP176" s="48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  <c r="DA176" s="48"/>
      <c r="DB176" s="48"/>
      <c r="DC176" s="48"/>
      <c r="DD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175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175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8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175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175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  <c r="CE178" s="48"/>
      <c r="CF178" s="48"/>
      <c r="CG178" s="48"/>
      <c r="CH178" s="48"/>
      <c r="CI178" s="48"/>
      <c r="CJ178" s="48"/>
      <c r="CK178" s="48"/>
      <c r="CL178" s="48"/>
      <c r="CM178" s="48"/>
      <c r="CN178" s="48"/>
      <c r="CO178" s="48"/>
      <c r="CP178" s="48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  <c r="DA178" s="48"/>
      <c r="DB178" s="48"/>
      <c r="DC178" s="48"/>
      <c r="DD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175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175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8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175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175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  <c r="CE180" s="48"/>
      <c r="CF180" s="48"/>
      <c r="CG180" s="48"/>
      <c r="CH180" s="48"/>
      <c r="CI180" s="48"/>
      <c r="CJ180" s="48"/>
      <c r="CK180" s="48"/>
      <c r="CL180" s="48"/>
      <c r="CM180" s="48"/>
      <c r="CN180" s="48"/>
      <c r="CO180" s="48"/>
      <c r="CP180" s="48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  <c r="DA180" s="48"/>
      <c r="DB180" s="48"/>
      <c r="DC180" s="48"/>
      <c r="DD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175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175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  <c r="CE181" s="48"/>
      <c r="CF181" s="48"/>
      <c r="CG181" s="48"/>
      <c r="CH181" s="48"/>
      <c r="CI181" s="48"/>
      <c r="CJ181" s="48"/>
      <c r="CK181" s="48"/>
      <c r="CL181" s="48"/>
      <c r="CM181" s="48"/>
      <c r="CN181" s="48"/>
      <c r="CO181" s="48"/>
      <c r="CP181" s="48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  <c r="DA181" s="48"/>
      <c r="DB181" s="48"/>
      <c r="DC181" s="48"/>
      <c r="DD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175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175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  <c r="CE182" s="48"/>
      <c r="CF182" s="48"/>
      <c r="CG182" s="48"/>
      <c r="CH182" s="48"/>
      <c r="CI182" s="48"/>
      <c r="CJ182" s="48"/>
      <c r="CK182" s="48"/>
      <c r="CL182" s="48"/>
      <c r="CM182" s="48"/>
      <c r="CN182" s="48"/>
      <c r="CO182" s="48"/>
      <c r="CP182" s="48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  <c r="DA182" s="48"/>
      <c r="DB182" s="48"/>
      <c r="DC182" s="48"/>
      <c r="DD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175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175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  <c r="CE183" s="48"/>
      <c r="CF183" s="48"/>
      <c r="CG183" s="48"/>
      <c r="CH183" s="48"/>
      <c r="CI183" s="48"/>
      <c r="CJ183" s="48"/>
      <c r="CK183" s="48"/>
      <c r="CL183" s="48"/>
      <c r="CM183" s="48"/>
      <c r="CN183" s="48"/>
      <c r="CO183" s="48"/>
      <c r="CP183" s="48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  <c r="DA183" s="48"/>
      <c r="DB183" s="48"/>
      <c r="DC183" s="48"/>
      <c r="DD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175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175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  <c r="CE184" s="48"/>
      <c r="CF184" s="48"/>
      <c r="CG184" s="48"/>
      <c r="CH184" s="48"/>
      <c r="CI184" s="48"/>
      <c r="CJ184" s="48"/>
      <c r="CK184" s="48"/>
      <c r="CL184" s="48"/>
      <c r="CM184" s="48"/>
      <c r="CN184" s="48"/>
      <c r="CO184" s="48"/>
      <c r="CP184" s="48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  <c r="DA184" s="48"/>
      <c r="DB184" s="48"/>
      <c r="DC184" s="48"/>
      <c r="DD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175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175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  <c r="CE185" s="48"/>
      <c r="CF185" s="48"/>
      <c r="CG185" s="48"/>
      <c r="CH185" s="48"/>
      <c r="CI185" s="48"/>
      <c r="CJ185" s="48"/>
      <c r="CK185" s="48"/>
      <c r="CL185" s="48"/>
      <c r="CM185" s="48"/>
      <c r="CN185" s="48"/>
      <c r="CO185" s="48"/>
      <c r="CP185" s="48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  <c r="DA185" s="48"/>
      <c r="DB185" s="48"/>
      <c r="DC185" s="48"/>
      <c r="DD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175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175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8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  <c r="DA186" s="48"/>
      <c r="DB186" s="48"/>
      <c r="DC186" s="48"/>
      <c r="DD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175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175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  <c r="CE187" s="48"/>
      <c r="CF187" s="48"/>
      <c r="CG187" s="48"/>
      <c r="CH187" s="48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  <c r="DA187" s="48"/>
      <c r="DB187" s="48"/>
      <c r="DC187" s="48"/>
      <c r="DD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175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175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  <c r="CE188" s="48"/>
      <c r="CF188" s="48"/>
      <c r="CG188" s="48"/>
      <c r="CH188" s="48"/>
      <c r="CI188" s="48"/>
      <c r="CJ188" s="48"/>
      <c r="CK188" s="48"/>
      <c r="CL188" s="48"/>
      <c r="CM188" s="48"/>
      <c r="CN188" s="48"/>
      <c r="CO188" s="48"/>
      <c r="CP188" s="48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  <c r="DA188" s="48"/>
      <c r="DB188" s="48"/>
      <c r="DC188" s="48"/>
      <c r="DD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175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175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  <c r="CE189" s="48"/>
      <c r="CF189" s="48"/>
      <c r="CG189" s="48"/>
      <c r="CH189" s="48"/>
      <c r="CI189" s="48"/>
      <c r="CJ189" s="48"/>
      <c r="CK189" s="48"/>
      <c r="CL189" s="48"/>
      <c r="CM189" s="48"/>
      <c r="CN189" s="48"/>
      <c r="CO189" s="48"/>
      <c r="CP189" s="48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  <c r="DA189" s="48"/>
      <c r="DB189" s="48"/>
      <c r="DC189" s="48"/>
      <c r="DD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175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175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  <c r="CE190" s="48"/>
      <c r="CF190" s="48"/>
      <c r="CG190" s="48"/>
      <c r="CH190" s="48"/>
      <c r="CI190" s="48"/>
      <c r="CJ190" s="48"/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175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175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  <c r="CE191" s="48"/>
      <c r="CF191" s="48"/>
      <c r="CG191" s="48"/>
      <c r="CH191" s="48"/>
      <c r="CI191" s="48"/>
      <c r="CJ191" s="48"/>
      <c r="CK191" s="48"/>
      <c r="CL191" s="48"/>
      <c r="CM191" s="48"/>
      <c r="CN191" s="48"/>
      <c r="CO191" s="48"/>
      <c r="CP191" s="48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  <c r="DA191" s="48"/>
      <c r="DB191" s="48"/>
      <c r="DC191" s="48"/>
      <c r="DD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175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175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  <c r="CE192" s="48"/>
      <c r="CF192" s="48"/>
      <c r="CG192" s="48"/>
      <c r="CH192" s="48"/>
      <c r="CI192" s="48"/>
      <c r="CJ192" s="48"/>
      <c r="CK192" s="48"/>
      <c r="CL192" s="48"/>
      <c r="CM192" s="48"/>
      <c r="CN192" s="48"/>
      <c r="CO192" s="48"/>
      <c r="CP192" s="48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  <c r="DA192" s="48"/>
      <c r="DB192" s="48"/>
      <c r="DC192" s="48"/>
      <c r="DD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175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175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175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175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  <c r="CE194" s="48"/>
      <c r="CF194" s="48"/>
      <c r="CG194" s="48"/>
      <c r="CH194" s="48"/>
      <c r="CI194" s="48"/>
      <c r="CJ194" s="48"/>
      <c r="CK194" s="48"/>
      <c r="CL194" s="48"/>
      <c r="CM194" s="48"/>
      <c r="CN194" s="48"/>
      <c r="CO194" s="48"/>
      <c r="CP194" s="48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  <c r="DA194" s="48"/>
      <c r="DB194" s="48"/>
      <c r="DC194" s="48"/>
      <c r="DD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175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175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  <c r="CE195" s="48"/>
      <c r="CF195" s="48"/>
      <c r="CG195" s="48"/>
      <c r="CH195" s="48"/>
      <c r="CI195" s="48"/>
      <c r="CJ195" s="48"/>
      <c r="CK195" s="48"/>
      <c r="CL195" s="48"/>
      <c r="CM195" s="48"/>
      <c r="CN195" s="48"/>
      <c r="CO195" s="48"/>
      <c r="CP195" s="48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  <c r="DA195" s="48"/>
      <c r="DB195" s="48"/>
      <c r="DC195" s="48"/>
      <c r="DD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175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175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  <c r="CE196" s="48"/>
      <c r="CF196" s="48"/>
      <c r="CG196" s="48"/>
      <c r="CH196" s="48"/>
      <c r="CI196" s="48"/>
      <c r="CJ196" s="48"/>
      <c r="CK196" s="48"/>
      <c r="CL196" s="48"/>
      <c r="CM196" s="48"/>
      <c r="CN196" s="48"/>
      <c r="CO196" s="48"/>
      <c r="CP196" s="48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  <c r="DA196" s="48"/>
      <c r="DB196" s="48"/>
      <c r="DC196" s="48"/>
      <c r="DD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175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175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175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175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8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175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175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  <c r="CE199" s="48"/>
      <c r="CF199" s="48"/>
      <c r="CG199" s="48"/>
      <c r="CH199" s="48"/>
      <c r="CI199" s="48"/>
      <c r="CJ199" s="48"/>
      <c r="CK199" s="48"/>
      <c r="CL199" s="48"/>
      <c r="CM199" s="48"/>
      <c r="CN199" s="48"/>
      <c r="CO199" s="48"/>
      <c r="CP199" s="48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  <c r="DA199" s="48"/>
      <c r="DB199" s="48"/>
      <c r="DC199" s="48"/>
      <c r="DD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175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175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8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175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175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  <c r="CE201" s="48"/>
      <c r="CF201" s="48"/>
      <c r="CG201" s="48"/>
      <c r="CH201" s="48"/>
      <c r="CI201" s="48"/>
      <c r="CJ201" s="48"/>
      <c r="CK201" s="48"/>
      <c r="CL201" s="48"/>
      <c r="CM201" s="48"/>
      <c r="CN201" s="48"/>
      <c r="CO201" s="48"/>
      <c r="CP201" s="48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  <c r="DA201" s="48"/>
      <c r="DB201" s="48"/>
      <c r="DC201" s="48"/>
      <c r="DD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175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175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  <c r="CE202" s="48"/>
      <c r="CF202" s="48"/>
      <c r="CG202" s="48"/>
      <c r="CH202" s="48"/>
      <c r="CI202" s="48"/>
      <c r="CJ202" s="48"/>
      <c r="CK202" s="48"/>
      <c r="CL202" s="48"/>
      <c r="CM202" s="48"/>
      <c r="CN202" s="48"/>
      <c r="CO202" s="48"/>
      <c r="CP202" s="48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  <c r="DA202" s="48"/>
      <c r="DB202" s="48"/>
      <c r="DC202" s="48"/>
      <c r="DD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175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175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  <c r="CE203" s="48"/>
      <c r="CF203" s="48"/>
      <c r="CG203" s="48"/>
      <c r="CH203" s="48"/>
      <c r="CI203" s="48"/>
      <c r="CJ203" s="48"/>
      <c r="CK203" s="48"/>
      <c r="CL203" s="48"/>
      <c r="CM203" s="48"/>
      <c r="CN203" s="48"/>
      <c r="CO203" s="48"/>
      <c r="CP203" s="48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  <c r="DA203" s="48"/>
      <c r="DB203" s="48"/>
      <c r="DC203" s="48"/>
      <c r="DD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175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175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  <c r="CE204" s="48"/>
      <c r="CF204" s="48"/>
      <c r="CG204" s="48"/>
      <c r="CH204" s="48"/>
      <c r="CI204" s="48"/>
      <c r="CJ204" s="48"/>
      <c r="CK204" s="48"/>
      <c r="CL204" s="48"/>
      <c r="CM204" s="48"/>
      <c r="CN204" s="48"/>
      <c r="CO204" s="48"/>
      <c r="CP204" s="48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  <c r="DA204" s="48"/>
      <c r="DB204" s="48"/>
      <c r="DC204" s="48"/>
      <c r="DD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175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175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  <c r="CE205" s="48"/>
      <c r="CF205" s="48"/>
      <c r="CG205" s="48"/>
      <c r="CH205" s="48"/>
      <c r="CI205" s="48"/>
      <c r="CJ205" s="48"/>
      <c r="CK205" s="48"/>
      <c r="CL205" s="48"/>
      <c r="CM205" s="48"/>
      <c r="CN205" s="48"/>
      <c r="CO205" s="48"/>
      <c r="CP205" s="48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  <c r="DA205" s="48"/>
      <c r="DB205" s="48"/>
      <c r="DC205" s="48"/>
      <c r="DD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175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175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8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175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175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  <c r="CE207" s="48"/>
      <c r="CF207" s="48"/>
      <c r="CG207" s="48"/>
      <c r="CH207" s="48"/>
      <c r="CI207" s="48"/>
      <c r="CJ207" s="48"/>
      <c r="CK207" s="48"/>
      <c r="CL207" s="48"/>
      <c r="CM207" s="48"/>
      <c r="CN207" s="48"/>
      <c r="CO207" s="48"/>
      <c r="CP207" s="48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  <c r="DA207" s="48"/>
      <c r="DB207" s="48"/>
      <c r="DC207" s="48"/>
      <c r="DD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175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175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8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48"/>
      <c r="DB208" s="48"/>
      <c r="DC208" s="48"/>
      <c r="DD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175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175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  <c r="CE209" s="48"/>
      <c r="CF209" s="48"/>
      <c r="CG209" s="48"/>
      <c r="CH209" s="48"/>
      <c r="CI209" s="48"/>
      <c r="CJ209" s="48"/>
      <c r="CK209" s="48"/>
      <c r="CL209" s="48"/>
      <c r="CM209" s="48"/>
      <c r="CN209" s="48"/>
      <c r="CO209" s="48"/>
      <c r="CP209" s="48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  <c r="DA209" s="48"/>
      <c r="DB209" s="48"/>
      <c r="DC209" s="48"/>
      <c r="DD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175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175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8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48"/>
      <c r="DB210" s="48"/>
      <c r="DC210" s="48"/>
      <c r="DD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175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175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  <c r="CE211" s="48"/>
      <c r="CF211" s="48"/>
      <c r="CG211" s="48"/>
      <c r="CH211" s="48"/>
      <c r="CI211" s="48"/>
      <c r="CJ211" s="48"/>
      <c r="CK211" s="48"/>
      <c r="CL211" s="48"/>
      <c r="CM211" s="48"/>
      <c r="CN211" s="48"/>
      <c r="CO211" s="48"/>
      <c r="CP211" s="48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  <c r="DA211" s="48"/>
      <c r="DB211" s="48"/>
      <c r="DC211" s="48"/>
      <c r="DD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175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175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  <c r="CE212" s="48"/>
      <c r="CF212" s="48"/>
      <c r="CG212" s="48"/>
      <c r="CH212" s="48"/>
      <c r="CI212" s="48"/>
      <c r="CJ212" s="48"/>
      <c r="CK212" s="48"/>
      <c r="CL212" s="48"/>
      <c r="CM212" s="48"/>
      <c r="CN212" s="48"/>
      <c r="CO212" s="48"/>
      <c r="CP212" s="48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  <c r="DA212" s="48"/>
      <c r="DB212" s="48"/>
      <c r="DC212" s="48"/>
      <c r="DD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175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175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  <c r="CE213" s="48"/>
      <c r="CF213" s="48"/>
      <c r="CG213" s="48"/>
      <c r="CH213" s="48"/>
      <c r="CI213" s="48"/>
      <c r="CJ213" s="48"/>
      <c r="CK213" s="48"/>
      <c r="CL213" s="48"/>
      <c r="CM213" s="48"/>
      <c r="CN213" s="48"/>
      <c r="CO213" s="48"/>
      <c r="CP213" s="48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  <c r="DA213" s="48"/>
      <c r="DB213" s="48"/>
      <c r="DC213" s="48"/>
      <c r="DD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175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175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  <c r="CE214" s="48"/>
      <c r="CF214" s="48"/>
      <c r="CG214" s="48"/>
      <c r="CH214" s="48"/>
      <c r="CI214" s="48"/>
      <c r="CJ214" s="48"/>
      <c r="CK214" s="48"/>
      <c r="CL214" s="48"/>
      <c r="CM214" s="48"/>
      <c r="CN214" s="48"/>
      <c r="CO214" s="48"/>
      <c r="CP214" s="48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  <c r="DA214" s="48"/>
      <c r="DB214" s="48"/>
      <c r="DC214" s="48"/>
      <c r="DD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175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175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175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175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  <c r="CE216" s="48"/>
      <c r="CF216" s="48"/>
      <c r="CG216" s="48"/>
      <c r="CH216" s="48"/>
      <c r="CI216" s="48"/>
      <c r="CJ216" s="48"/>
      <c r="CK216" s="48"/>
      <c r="CL216" s="48"/>
      <c r="CM216" s="48"/>
      <c r="CN216" s="48"/>
      <c r="CO216" s="48"/>
      <c r="CP216" s="48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  <c r="DA216" s="48"/>
      <c r="DB216" s="48"/>
      <c r="DC216" s="48"/>
      <c r="DD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175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175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  <c r="DA217" s="48"/>
      <c r="DB217" s="48"/>
      <c r="DC217" s="48"/>
      <c r="DD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175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175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  <c r="CE218" s="48"/>
      <c r="CF218" s="48"/>
      <c r="CG218" s="48"/>
      <c r="CH218" s="48"/>
      <c r="CI218" s="48"/>
      <c r="CJ218" s="48"/>
      <c r="CK218" s="48"/>
      <c r="CL218" s="48"/>
      <c r="CM218" s="48"/>
      <c r="CN218" s="48"/>
      <c r="CO218" s="48"/>
      <c r="CP218" s="48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  <c r="DA218" s="48"/>
      <c r="DB218" s="48"/>
      <c r="DC218" s="48"/>
      <c r="DD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175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175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  <c r="CE219" s="48"/>
      <c r="CF219" s="48"/>
      <c r="CG219" s="48"/>
      <c r="CH219" s="48"/>
      <c r="CI219" s="48"/>
      <c r="CJ219" s="48"/>
      <c r="CK219" s="48"/>
      <c r="CL219" s="48"/>
      <c r="CM219" s="48"/>
      <c r="CN219" s="48"/>
      <c r="CO219" s="48"/>
      <c r="CP219" s="48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  <c r="DA219" s="48"/>
      <c r="DB219" s="48"/>
      <c r="DC219" s="48"/>
      <c r="DD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175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175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  <c r="CE220" s="48"/>
      <c r="CF220" s="48"/>
      <c r="CG220" s="48"/>
      <c r="CH220" s="48"/>
      <c r="CI220" s="48"/>
      <c r="CJ220" s="48"/>
      <c r="CK220" s="48"/>
      <c r="CL220" s="48"/>
      <c r="CM220" s="48"/>
      <c r="CN220" s="48"/>
      <c r="CO220" s="48"/>
      <c r="CP220" s="48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  <c r="DA220" s="48"/>
      <c r="DB220" s="48"/>
      <c r="DC220" s="48"/>
      <c r="DD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175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175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  <c r="CE221" s="48"/>
      <c r="CF221" s="48"/>
      <c r="CG221" s="48"/>
      <c r="CH221" s="48"/>
      <c r="CI221" s="48"/>
      <c r="CJ221" s="48"/>
      <c r="CK221" s="48"/>
      <c r="CL221" s="48"/>
      <c r="CM221" s="48"/>
      <c r="CN221" s="48"/>
      <c r="CO221" s="48"/>
      <c r="CP221" s="48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  <c r="DA221" s="48"/>
      <c r="DB221" s="48"/>
      <c r="DC221" s="48"/>
      <c r="DD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175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175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  <c r="CE222" s="48"/>
      <c r="CF222" s="48"/>
      <c r="CG222" s="48"/>
      <c r="CH222" s="48"/>
      <c r="CI222" s="48"/>
      <c r="CJ222" s="48"/>
      <c r="CK222" s="48"/>
      <c r="CL222" s="48"/>
      <c r="CM222" s="48"/>
      <c r="CN222" s="48"/>
      <c r="CO222" s="48"/>
      <c r="CP222" s="48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  <c r="DA222" s="48"/>
      <c r="DB222" s="48"/>
      <c r="DC222" s="48"/>
      <c r="DD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175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175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  <c r="CE223" s="48"/>
      <c r="CF223" s="48"/>
      <c r="CG223" s="48"/>
      <c r="CH223" s="48"/>
      <c r="CI223" s="48"/>
      <c r="CJ223" s="48"/>
      <c r="CK223" s="48"/>
      <c r="CL223" s="48"/>
      <c r="CM223" s="48"/>
      <c r="CN223" s="48"/>
      <c r="CO223" s="48"/>
      <c r="CP223" s="48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  <c r="DA223" s="48"/>
      <c r="DB223" s="48"/>
      <c r="DC223" s="48"/>
      <c r="DD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175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175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8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175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175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175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175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P226" s="48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  <c r="DA226" s="48"/>
      <c r="DB226" s="48"/>
      <c r="DC226" s="48"/>
      <c r="DD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175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175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  <c r="CE227" s="48"/>
      <c r="CF227" s="48"/>
      <c r="CG227" s="48"/>
      <c r="CH227" s="48"/>
      <c r="CI227" s="48"/>
      <c r="CJ227" s="48"/>
      <c r="CK227" s="48"/>
      <c r="CL227" s="48"/>
      <c r="CM227" s="48"/>
      <c r="CN227" s="48"/>
      <c r="CO227" s="48"/>
      <c r="CP227" s="48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  <c r="DA227" s="48"/>
      <c r="DB227" s="48"/>
      <c r="DC227" s="48"/>
      <c r="DD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175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175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175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175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  <c r="CE229" s="48"/>
      <c r="CF229" s="48"/>
      <c r="CG229" s="48"/>
      <c r="CH229" s="48"/>
      <c r="CI229" s="48"/>
      <c r="CJ229" s="48"/>
      <c r="CK229" s="48"/>
      <c r="CL229" s="48"/>
      <c r="CM229" s="48"/>
      <c r="CN229" s="48"/>
      <c r="CO229" s="48"/>
      <c r="CP229" s="48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  <c r="DA229" s="48"/>
      <c r="DB229" s="48"/>
      <c r="DC229" s="48"/>
      <c r="DD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175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175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  <c r="CE230" s="48"/>
      <c r="CF230" s="48"/>
      <c r="CG230" s="48"/>
      <c r="CH230" s="48"/>
      <c r="CI230" s="48"/>
      <c r="CJ230" s="48"/>
      <c r="CK230" s="48"/>
      <c r="CL230" s="48"/>
      <c r="CM230" s="48"/>
      <c r="CN230" s="48"/>
      <c r="CO230" s="48"/>
      <c r="CP230" s="48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  <c r="DA230" s="48"/>
      <c r="DB230" s="48"/>
      <c r="DC230" s="48"/>
      <c r="DD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175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175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175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175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  <c r="CE232" s="48"/>
      <c r="CF232" s="48"/>
      <c r="CG232" s="48"/>
      <c r="CH232" s="48"/>
      <c r="CI232" s="48"/>
      <c r="CJ232" s="48"/>
      <c r="CK232" s="48"/>
      <c r="CL232" s="48"/>
      <c r="CM232" s="48"/>
      <c r="CN232" s="48"/>
      <c r="CO232" s="48"/>
      <c r="CP232" s="48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  <c r="DA232" s="48"/>
      <c r="DB232" s="48"/>
      <c r="DC232" s="48"/>
      <c r="DD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175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175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  <c r="CE233" s="48"/>
      <c r="CF233" s="48"/>
      <c r="CG233" s="48"/>
      <c r="CH233" s="48"/>
      <c r="CI233" s="48"/>
      <c r="CJ233" s="48"/>
      <c r="CK233" s="48"/>
      <c r="CL233" s="48"/>
      <c r="CM233" s="48"/>
      <c r="CN233" s="48"/>
      <c r="CO233" s="48"/>
      <c r="CP233" s="48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  <c r="DA233" s="48"/>
      <c r="DB233" s="48"/>
      <c r="DC233" s="48"/>
      <c r="DD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175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175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  <c r="CE234" s="48"/>
      <c r="CF234" s="48"/>
      <c r="CG234" s="48"/>
      <c r="CH234" s="48"/>
      <c r="CI234" s="48"/>
      <c r="CJ234" s="48"/>
      <c r="CK234" s="48"/>
      <c r="CL234" s="48"/>
      <c r="CM234" s="48"/>
      <c r="CN234" s="48"/>
      <c r="CO234" s="48"/>
      <c r="CP234" s="48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  <c r="DA234" s="48"/>
      <c r="DB234" s="48"/>
      <c r="DC234" s="48"/>
      <c r="DD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175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175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  <c r="CE235" s="48"/>
      <c r="CF235" s="48"/>
      <c r="CG235" s="48"/>
      <c r="CH235" s="48"/>
      <c r="CI235" s="48"/>
      <c r="CJ235" s="48"/>
      <c r="CK235" s="48"/>
      <c r="CL235" s="48"/>
      <c r="CM235" s="48"/>
      <c r="CN235" s="48"/>
      <c r="CO235" s="48"/>
      <c r="CP235" s="48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  <c r="DA235" s="48"/>
      <c r="DB235" s="48"/>
      <c r="DC235" s="48"/>
      <c r="DD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175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175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  <c r="CE236" s="48"/>
      <c r="CF236" s="48"/>
      <c r="CG236" s="48"/>
      <c r="CH236" s="48"/>
      <c r="CI236" s="48"/>
      <c r="CJ236" s="48"/>
      <c r="CK236" s="48"/>
      <c r="CL236" s="48"/>
      <c r="CM236" s="48"/>
      <c r="CN236" s="48"/>
      <c r="CO236" s="48"/>
      <c r="CP236" s="48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  <c r="DA236" s="48"/>
      <c r="DB236" s="48"/>
      <c r="DC236" s="48"/>
      <c r="DD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175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175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48"/>
      <c r="CO237" s="48"/>
      <c r="CP237" s="48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  <c r="DA237" s="48"/>
      <c r="DB237" s="48"/>
      <c r="DC237" s="48"/>
      <c r="DD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175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175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  <c r="CE238" s="48"/>
      <c r="CF238" s="48"/>
      <c r="CG238" s="48"/>
      <c r="CH238" s="48"/>
      <c r="CI238" s="48"/>
      <c r="CJ238" s="48"/>
      <c r="CK238" s="48"/>
      <c r="CL238" s="48"/>
      <c r="CM238" s="48"/>
      <c r="CN238" s="48"/>
      <c r="CO238" s="48"/>
      <c r="CP238" s="48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  <c r="DA238" s="48"/>
      <c r="DB238" s="48"/>
      <c r="DC238" s="48"/>
      <c r="DD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175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175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  <c r="CE239" s="48"/>
      <c r="CF239" s="48"/>
      <c r="CG239" s="48"/>
      <c r="CH239" s="48"/>
      <c r="CI239" s="48"/>
      <c r="CJ239" s="48"/>
      <c r="CK239" s="48"/>
      <c r="CL239" s="48"/>
      <c r="CM239" s="48"/>
      <c r="CN239" s="48"/>
      <c r="CO239" s="48"/>
      <c r="CP239" s="48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  <c r="DA239" s="48"/>
      <c r="DB239" s="48"/>
      <c r="DC239" s="48"/>
      <c r="DD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175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175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175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175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  <c r="CE241" s="48"/>
      <c r="CF241" s="48"/>
      <c r="CG241" s="48"/>
      <c r="CH241" s="48"/>
      <c r="CI241" s="48"/>
      <c r="CJ241" s="48"/>
      <c r="CK241" s="48"/>
      <c r="CL241" s="48"/>
      <c r="CM241" s="48"/>
      <c r="CN241" s="48"/>
      <c r="CO241" s="48"/>
      <c r="CP241" s="48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  <c r="DA241" s="48"/>
      <c r="DB241" s="48"/>
      <c r="DC241" s="48"/>
      <c r="DD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175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175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  <c r="CE242" s="48"/>
      <c r="CF242" s="48"/>
      <c r="CG242" s="48"/>
      <c r="CH242" s="48"/>
      <c r="CI242" s="48"/>
      <c r="CJ242" s="48"/>
      <c r="CK242" s="48"/>
      <c r="CL242" s="48"/>
      <c r="CM242" s="48"/>
      <c r="CN242" s="48"/>
      <c r="CO242" s="48"/>
      <c r="CP242" s="48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  <c r="DA242" s="48"/>
      <c r="DB242" s="48"/>
      <c r="DC242" s="48"/>
      <c r="DD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175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175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  <c r="CE243" s="48"/>
      <c r="CF243" s="48"/>
      <c r="CG243" s="48"/>
      <c r="CH243" s="48"/>
      <c r="CI243" s="48"/>
      <c r="CJ243" s="48"/>
      <c r="CK243" s="48"/>
      <c r="CL243" s="48"/>
      <c r="CM243" s="48"/>
      <c r="CN243" s="48"/>
      <c r="CO243" s="48"/>
      <c r="CP243" s="48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  <c r="DA243" s="48"/>
      <c r="DB243" s="48"/>
      <c r="DC243" s="48"/>
      <c r="DD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175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175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  <c r="CE244" s="48"/>
      <c r="CF244" s="48"/>
      <c r="CG244" s="48"/>
      <c r="CH244" s="48"/>
      <c r="CI244" s="48"/>
      <c r="CJ244" s="48"/>
      <c r="CK244" s="48"/>
      <c r="CL244" s="48"/>
      <c r="CM244" s="48"/>
      <c r="CN244" s="48"/>
      <c r="CO244" s="48"/>
      <c r="CP244" s="48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  <c r="DA244" s="48"/>
      <c r="DB244" s="48"/>
      <c r="DC244" s="48"/>
      <c r="DD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175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175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  <c r="CE245" s="48"/>
      <c r="CF245" s="48"/>
      <c r="CG245" s="48"/>
      <c r="CH245" s="48"/>
      <c r="CI245" s="48"/>
      <c r="CJ245" s="48"/>
      <c r="CK245" s="48"/>
      <c r="CL245" s="48"/>
      <c r="CM245" s="48"/>
      <c r="CN245" s="48"/>
      <c r="CO245" s="48"/>
      <c r="CP245" s="48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  <c r="DA245" s="48"/>
      <c r="DB245" s="48"/>
      <c r="DC245" s="48"/>
      <c r="DD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175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175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  <c r="CE246" s="48"/>
      <c r="CF246" s="48"/>
      <c r="CG246" s="48"/>
      <c r="CH246" s="48"/>
      <c r="CI246" s="48"/>
      <c r="CJ246" s="48"/>
      <c r="CK246" s="48"/>
      <c r="CL246" s="48"/>
      <c r="CM246" s="48"/>
      <c r="CN246" s="48"/>
      <c r="CO246" s="48"/>
      <c r="CP246" s="48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  <c r="DA246" s="48"/>
      <c r="DB246" s="48"/>
      <c r="DC246" s="48"/>
      <c r="DD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175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175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  <c r="CE247" s="48"/>
      <c r="CF247" s="48"/>
      <c r="CG247" s="48"/>
      <c r="CH247" s="48"/>
      <c r="CI247" s="48"/>
      <c r="CJ247" s="48"/>
      <c r="CK247" s="48"/>
      <c r="CL247" s="48"/>
      <c r="CM247" s="48"/>
      <c r="CN247" s="48"/>
      <c r="CO247" s="48"/>
      <c r="CP247" s="48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  <c r="DA247" s="48"/>
      <c r="DB247" s="48"/>
      <c r="DC247" s="48"/>
      <c r="DD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175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175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  <c r="CE248" s="48"/>
      <c r="CF248" s="48"/>
      <c r="CG248" s="48"/>
      <c r="CH248" s="48"/>
      <c r="CI248" s="48"/>
      <c r="CJ248" s="48"/>
      <c r="CK248" s="48"/>
      <c r="CL248" s="48"/>
      <c r="CM248" s="48"/>
      <c r="CN248" s="48"/>
      <c r="CO248" s="48"/>
      <c r="CP248" s="48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  <c r="DA248" s="48"/>
      <c r="DB248" s="48"/>
      <c r="DC248" s="48"/>
      <c r="DD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175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175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  <c r="CE249" s="48"/>
      <c r="CF249" s="48"/>
      <c r="CG249" s="48"/>
      <c r="CH249" s="48"/>
      <c r="CI249" s="48"/>
      <c r="CJ249" s="48"/>
      <c r="CK249" s="48"/>
      <c r="CL249" s="48"/>
      <c r="CM249" s="48"/>
      <c r="CN249" s="48"/>
      <c r="CO249" s="48"/>
      <c r="CP249" s="48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  <c r="DA249" s="48"/>
      <c r="DB249" s="48"/>
      <c r="DC249" s="48"/>
      <c r="DD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175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175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  <c r="CE250" s="48"/>
      <c r="CF250" s="48"/>
      <c r="CG250" s="48"/>
      <c r="CH250" s="48"/>
      <c r="CI250" s="48"/>
      <c r="CJ250" s="48"/>
      <c r="CK250" s="48"/>
      <c r="CL250" s="48"/>
      <c r="CM250" s="48"/>
      <c r="CN250" s="48"/>
      <c r="CO250" s="48"/>
      <c r="CP250" s="48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  <c r="DA250" s="48"/>
      <c r="DB250" s="48"/>
      <c r="DC250" s="48"/>
      <c r="DD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175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175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  <c r="CE251" s="48"/>
      <c r="CF251" s="48"/>
      <c r="CG251" s="48"/>
      <c r="CH251" s="48"/>
      <c r="CI251" s="48"/>
      <c r="CJ251" s="48"/>
      <c r="CK251" s="48"/>
      <c r="CL251" s="48"/>
      <c r="CM251" s="48"/>
      <c r="CN251" s="48"/>
      <c r="CO251" s="48"/>
      <c r="CP251" s="48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  <c r="DA251" s="48"/>
      <c r="DB251" s="48"/>
      <c r="DC251" s="48"/>
      <c r="DD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175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175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8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175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175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  <c r="CE253" s="48"/>
      <c r="CF253" s="48"/>
      <c r="CG253" s="48"/>
      <c r="CH253" s="48"/>
      <c r="CI253" s="48"/>
      <c r="CJ253" s="48"/>
      <c r="CK253" s="48"/>
      <c r="CL253" s="48"/>
      <c r="CM253" s="48"/>
      <c r="CN253" s="48"/>
      <c r="CO253" s="48"/>
      <c r="CP253" s="48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  <c r="DA253" s="48"/>
      <c r="DB253" s="48"/>
      <c r="DC253" s="48"/>
      <c r="DD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175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175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  <c r="CE254" s="48"/>
      <c r="CF254" s="48"/>
      <c r="CG254" s="48"/>
      <c r="CH254" s="48"/>
      <c r="CI254" s="48"/>
      <c r="CJ254" s="48"/>
      <c r="CK254" s="48"/>
      <c r="CL254" s="48"/>
      <c r="CM254" s="48"/>
      <c r="CN254" s="48"/>
      <c r="CO254" s="48"/>
      <c r="CP254" s="48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  <c r="DA254" s="48"/>
      <c r="DB254" s="48"/>
      <c r="DC254" s="48"/>
      <c r="DD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175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175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  <c r="CE255" s="48"/>
      <c r="CF255" s="48"/>
      <c r="CG255" s="48"/>
      <c r="CH255" s="48"/>
      <c r="CI255" s="48"/>
      <c r="CJ255" s="48"/>
      <c r="CK255" s="48"/>
      <c r="CL255" s="48"/>
      <c r="CM255" s="48"/>
      <c r="CN255" s="48"/>
      <c r="CO255" s="48"/>
      <c r="CP255" s="48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  <c r="DA255" s="48"/>
      <c r="DB255" s="48"/>
      <c r="DC255" s="48"/>
      <c r="DD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175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175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8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  <c r="DA256" s="48"/>
      <c r="DB256" s="48"/>
      <c r="DC256" s="48"/>
      <c r="DD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175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175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  <c r="CE257" s="48"/>
      <c r="CF257" s="48"/>
      <c r="CG257" s="48"/>
      <c r="CH257" s="48"/>
      <c r="CI257" s="48"/>
      <c r="CJ257" s="48"/>
      <c r="CK257" s="48"/>
      <c r="CL257" s="48"/>
      <c r="CM257" s="48"/>
      <c r="CN257" s="48"/>
      <c r="CO257" s="48"/>
      <c r="CP257" s="48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  <c r="DA257" s="48"/>
      <c r="DB257" s="48"/>
      <c r="DC257" s="48"/>
      <c r="DD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175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175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  <c r="DA258" s="48"/>
      <c r="DB258" s="48"/>
      <c r="DC258" s="48"/>
      <c r="DD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175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175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  <c r="CE259" s="48"/>
      <c r="CF259" s="48"/>
      <c r="CG259" s="48"/>
      <c r="CH259" s="48"/>
      <c r="CI259" s="48"/>
      <c r="CJ259" s="48"/>
      <c r="CK259" s="48"/>
      <c r="CL259" s="48"/>
      <c r="CM259" s="48"/>
      <c r="CN259" s="48"/>
      <c r="CO259" s="48"/>
      <c r="CP259" s="48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  <c r="DA259" s="48"/>
      <c r="DB259" s="48"/>
      <c r="DC259" s="48"/>
      <c r="DD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175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175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175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175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  <c r="CE261" s="48"/>
      <c r="CF261" s="48"/>
      <c r="CG261" s="48"/>
      <c r="CH261" s="48"/>
      <c r="CI261" s="48"/>
      <c r="CJ261" s="48"/>
      <c r="CK261" s="48"/>
      <c r="CL261" s="48"/>
      <c r="CM261" s="48"/>
      <c r="CN261" s="48"/>
      <c r="CO261" s="48"/>
      <c r="CP261" s="48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  <c r="DA261" s="48"/>
      <c r="DB261" s="48"/>
      <c r="DC261" s="48"/>
      <c r="DD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175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175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175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175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  <c r="CE263" s="48"/>
      <c r="CF263" s="48"/>
      <c r="CG263" s="48"/>
      <c r="CH263" s="48"/>
      <c r="CI263" s="48"/>
      <c r="CJ263" s="48"/>
      <c r="CK263" s="48"/>
      <c r="CL263" s="48"/>
      <c r="CM263" s="48"/>
      <c r="CN263" s="48"/>
      <c r="CO263" s="48"/>
      <c r="CP263" s="48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  <c r="DA263" s="48"/>
      <c r="DB263" s="48"/>
      <c r="DC263" s="48"/>
      <c r="DD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175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175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  <c r="CE264" s="48"/>
      <c r="CF264" s="48"/>
      <c r="CG264" s="48"/>
      <c r="CH264" s="48"/>
      <c r="CI264" s="48"/>
      <c r="CJ264" s="48"/>
      <c r="CK264" s="48"/>
      <c r="CL264" s="48"/>
      <c r="CM264" s="48"/>
      <c r="CN264" s="48"/>
      <c r="CO264" s="48"/>
      <c r="CP264" s="48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  <c r="DA264" s="48"/>
      <c r="DB264" s="48"/>
      <c r="DC264" s="48"/>
      <c r="DD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175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175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  <c r="CE265" s="48"/>
      <c r="CF265" s="48"/>
      <c r="CG265" s="48"/>
      <c r="CH265" s="48"/>
      <c r="CI265" s="48"/>
      <c r="CJ265" s="48"/>
      <c r="CK265" s="48"/>
      <c r="CL265" s="48"/>
      <c r="CM265" s="48"/>
      <c r="CN265" s="48"/>
      <c r="CO265" s="48"/>
      <c r="CP265" s="48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  <c r="DA265" s="48"/>
      <c r="DB265" s="48"/>
      <c r="DC265" s="48"/>
      <c r="DD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175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175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  <c r="CE266" s="48"/>
      <c r="CF266" s="48"/>
      <c r="CG266" s="48"/>
      <c r="CH266" s="48"/>
      <c r="CI266" s="48"/>
      <c r="CJ266" s="48"/>
      <c r="CK266" s="48"/>
      <c r="CL266" s="48"/>
      <c r="CM266" s="48"/>
      <c r="CN266" s="48"/>
      <c r="CO266" s="48"/>
      <c r="CP266" s="48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  <c r="DA266" s="48"/>
      <c r="DB266" s="48"/>
      <c r="DC266" s="48"/>
      <c r="DD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175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175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  <c r="CE267" s="48"/>
      <c r="CF267" s="48"/>
      <c r="CG267" s="48"/>
      <c r="CH267" s="48"/>
      <c r="CI267" s="48"/>
      <c r="CJ267" s="48"/>
      <c r="CK267" s="48"/>
      <c r="CL267" s="48"/>
      <c r="CM267" s="48"/>
      <c r="CN267" s="48"/>
      <c r="CO267" s="48"/>
      <c r="CP267" s="48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  <c r="DA267" s="48"/>
      <c r="DB267" s="48"/>
      <c r="DC267" s="48"/>
      <c r="DD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175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175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  <c r="CE268" s="48"/>
      <c r="CF268" s="48"/>
      <c r="CG268" s="48"/>
      <c r="CH268" s="48"/>
      <c r="CI268" s="48"/>
      <c r="CJ268" s="48"/>
      <c r="CK268" s="48"/>
      <c r="CL268" s="48"/>
      <c r="CM268" s="48"/>
      <c r="CN268" s="48"/>
      <c r="CO268" s="48"/>
      <c r="CP268" s="48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  <c r="DA268" s="48"/>
      <c r="DB268" s="48"/>
      <c r="DC268" s="48"/>
      <c r="DD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175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175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  <c r="CE269" s="48"/>
      <c r="CF269" s="48"/>
      <c r="CG269" s="48"/>
      <c r="CH269" s="48"/>
      <c r="CI269" s="48"/>
      <c r="CJ269" s="48"/>
      <c r="CK269" s="48"/>
      <c r="CL269" s="48"/>
      <c r="CM269" s="48"/>
      <c r="CN269" s="48"/>
      <c r="CO269" s="48"/>
      <c r="CP269" s="48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  <c r="DA269" s="48"/>
      <c r="DB269" s="48"/>
      <c r="DC269" s="48"/>
      <c r="DD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175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175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  <c r="CE270" s="48"/>
      <c r="CF270" s="48"/>
      <c r="CG270" s="48"/>
      <c r="CH270" s="48"/>
      <c r="CI270" s="48"/>
      <c r="CJ270" s="48"/>
      <c r="CK270" s="48"/>
      <c r="CL270" s="48"/>
      <c r="CM270" s="48"/>
      <c r="CN270" s="48"/>
      <c r="CO270" s="48"/>
      <c r="CP270" s="48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  <c r="DA270" s="48"/>
      <c r="DB270" s="48"/>
      <c r="DC270" s="48"/>
      <c r="DD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175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175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  <c r="CE271" s="48"/>
      <c r="CF271" s="48"/>
      <c r="CG271" s="48"/>
      <c r="CH271" s="48"/>
      <c r="CI271" s="48"/>
      <c r="CJ271" s="48"/>
      <c r="CK271" s="48"/>
      <c r="CL271" s="48"/>
      <c r="CM271" s="48"/>
      <c r="CN271" s="48"/>
      <c r="CO271" s="48"/>
      <c r="CP271" s="48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  <c r="DA271" s="48"/>
      <c r="DB271" s="48"/>
      <c r="DC271" s="48"/>
      <c r="DD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175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175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  <c r="CE272" s="48"/>
      <c r="CF272" s="48"/>
      <c r="CG272" s="48"/>
      <c r="CH272" s="48"/>
      <c r="CI272" s="48"/>
      <c r="CJ272" s="48"/>
      <c r="CK272" s="48"/>
      <c r="CL272" s="48"/>
      <c r="CM272" s="48"/>
      <c r="CN272" s="48"/>
      <c r="CO272" s="48"/>
      <c r="CP272" s="48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  <c r="DA272" s="48"/>
      <c r="DB272" s="48"/>
      <c r="DC272" s="48"/>
      <c r="DD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175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175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8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175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175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  <c r="CE274" s="48"/>
      <c r="CF274" s="48"/>
      <c r="CG274" s="48"/>
      <c r="CH274" s="48"/>
      <c r="CI274" s="48"/>
      <c r="CJ274" s="48"/>
      <c r="CK274" s="48"/>
      <c r="CL274" s="48"/>
      <c r="CM274" s="48"/>
      <c r="CN274" s="48"/>
      <c r="CO274" s="48"/>
      <c r="CP274" s="48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  <c r="DA274" s="48"/>
      <c r="DB274" s="48"/>
      <c r="DC274" s="48"/>
      <c r="DD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175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175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L275" s="48"/>
      <c r="CM275" s="48"/>
      <c r="CN275" s="48"/>
      <c r="CO275" s="48"/>
      <c r="CP275" s="48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  <c r="DA275" s="48"/>
      <c r="DB275" s="48"/>
      <c r="DC275" s="48"/>
      <c r="DD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175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175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  <c r="CE276" s="48"/>
      <c r="CF276" s="48"/>
      <c r="CG276" s="48"/>
      <c r="CH276" s="48"/>
      <c r="CI276" s="48"/>
      <c r="CJ276" s="48"/>
      <c r="CK276" s="48"/>
      <c r="CL276" s="48"/>
      <c r="CM276" s="48"/>
      <c r="CN276" s="48"/>
      <c r="CO276" s="48"/>
      <c r="CP276" s="48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  <c r="DA276" s="48"/>
      <c r="DB276" s="48"/>
      <c r="DC276" s="48"/>
      <c r="DD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175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175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  <c r="CE277" s="48"/>
      <c r="CF277" s="48"/>
      <c r="CG277" s="48"/>
      <c r="CH277" s="48"/>
      <c r="CI277" s="48"/>
      <c r="CJ277" s="48"/>
      <c r="CK277" s="48"/>
      <c r="CL277" s="48"/>
      <c r="CM277" s="48"/>
      <c r="CN277" s="48"/>
      <c r="CO277" s="48"/>
      <c r="CP277" s="48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  <c r="DA277" s="48"/>
      <c r="DB277" s="48"/>
      <c r="DC277" s="48"/>
      <c r="DD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175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175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K278" s="48"/>
      <c r="CL278" s="48"/>
      <c r="CM278" s="48"/>
      <c r="CN278" s="48"/>
      <c r="CO278" s="48"/>
      <c r="CP278" s="48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  <c r="DA278" s="48"/>
      <c r="DB278" s="48"/>
      <c r="DC278" s="48"/>
      <c r="DD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175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175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  <c r="CE279" s="48"/>
      <c r="CF279" s="48"/>
      <c r="CG279" s="48"/>
      <c r="CH279" s="48"/>
      <c r="CI279" s="48"/>
      <c r="CJ279" s="48"/>
      <c r="CK279" s="48"/>
      <c r="CL279" s="48"/>
      <c r="CM279" s="48"/>
      <c r="CN279" s="48"/>
      <c r="CO279" s="48"/>
      <c r="CP279" s="48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  <c r="DA279" s="48"/>
      <c r="DB279" s="48"/>
      <c r="DC279" s="48"/>
      <c r="DD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175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175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  <c r="CE280" s="48"/>
      <c r="CF280" s="48"/>
      <c r="CG280" s="48"/>
      <c r="CH280" s="48"/>
      <c r="CI280" s="48"/>
      <c r="CJ280" s="48"/>
      <c r="CK280" s="48"/>
      <c r="CL280" s="48"/>
      <c r="CM280" s="48"/>
      <c r="CN280" s="48"/>
      <c r="CO280" s="48"/>
      <c r="CP280" s="48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  <c r="DA280" s="48"/>
      <c r="DB280" s="48"/>
      <c r="DC280" s="48"/>
      <c r="DD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175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175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  <c r="CE281" s="48"/>
      <c r="CF281" s="48"/>
      <c r="CG281" s="48"/>
      <c r="CH281" s="48"/>
      <c r="CI281" s="48"/>
      <c r="CJ281" s="48"/>
      <c r="CK281" s="48"/>
      <c r="CL281" s="48"/>
      <c r="CM281" s="48"/>
      <c r="CN281" s="48"/>
      <c r="CO281" s="48"/>
      <c r="CP281" s="48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  <c r="DA281" s="48"/>
      <c r="DB281" s="48"/>
      <c r="DC281" s="48"/>
      <c r="DD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175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175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  <c r="CE282" s="48"/>
      <c r="CF282" s="48"/>
      <c r="CG282" s="48"/>
      <c r="CH282" s="48"/>
      <c r="CI282" s="48"/>
      <c r="CJ282" s="48"/>
      <c r="CK282" s="48"/>
      <c r="CL282" s="48"/>
      <c r="CM282" s="48"/>
      <c r="CN282" s="48"/>
      <c r="CO282" s="48"/>
      <c r="CP282" s="48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  <c r="DA282" s="48"/>
      <c r="DB282" s="48"/>
      <c r="DC282" s="48"/>
      <c r="DD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175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175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8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175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175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  <c r="CE284" s="48"/>
      <c r="CF284" s="48"/>
      <c r="CG284" s="48"/>
      <c r="CH284" s="48"/>
      <c r="CI284" s="48"/>
      <c r="CJ284" s="48"/>
      <c r="CK284" s="48"/>
      <c r="CL284" s="48"/>
      <c r="CM284" s="48"/>
      <c r="CN284" s="48"/>
      <c r="CO284" s="48"/>
      <c r="CP284" s="48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  <c r="DA284" s="48"/>
      <c r="DB284" s="48"/>
      <c r="DC284" s="48"/>
      <c r="DD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175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175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  <c r="CE285" s="48"/>
      <c r="CF285" s="48"/>
      <c r="CG285" s="48"/>
      <c r="CH285" s="48"/>
      <c r="CI285" s="48"/>
      <c r="CJ285" s="48"/>
      <c r="CK285" s="48"/>
      <c r="CL285" s="48"/>
      <c r="CM285" s="48"/>
      <c r="CN285" s="48"/>
      <c r="CO285" s="48"/>
      <c r="CP285" s="48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  <c r="DA285" s="48"/>
      <c r="DB285" s="48"/>
      <c r="DC285" s="48"/>
      <c r="DD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175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175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  <c r="CE286" s="48"/>
      <c r="CF286" s="48"/>
      <c r="CG286" s="48"/>
      <c r="CH286" s="48"/>
      <c r="CI286" s="48"/>
      <c r="CJ286" s="48"/>
      <c r="CK286" s="48"/>
      <c r="CL286" s="48"/>
      <c r="CM286" s="48"/>
      <c r="CN286" s="48"/>
      <c r="CO286" s="48"/>
      <c r="CP286" s="48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  <c r="DA286" s="48"/>
      <c r="DB286" s="48"/>
      <c r="DC286" s="48"/>
      <c r="DD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175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175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  <c r="CE287" s="48"/>
      <c r="CF287" s="48"/>
      <c r="CG287" s="48"/>
      <c r="CH287" s="48"/>
      <c r="CI287" s="48"/>
      <c r="CJ287" s="48"/>
      <c r="CK287" s="48"/>
      <c r="CL287" s="48"/>
      <c r="CM287" s="48"/>
      <c r="CN287" s="48"/>
      <c r="CO287" s="48"/>
      <c r="CP287" s="48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  <c r="DA287" s="48"/>
      <c r="DB287" s="48"/>
      <c r="DC287" s="48"/>
      <c r="DD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175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175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8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175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175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  <c r="CE289" s="48"/>
      <c r="CF289" s="48"/>
      <c r="CG289" s="48"/>
      <c r="CH289" s="48"/>
      <c r="CI289" s="48"/>
      <c r="CJ289" s="48"/>
      <c r="CK289" s="48"/>
      <c r="CL289" s="48"/>
      <c r="CM289" s="48"/>
      <c r="CN289" s="48"/>
      <c r="CO289" s="48"/>
      <c r="CP289" s="48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  <c r="DA289" s="48"/>
      <c r="DB289" s="48"/>
      <c r="DC289" s="48"/>
      <c r="DD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175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175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  <c r="CE290" s="48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8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  <c r="DA290" s="48"/>
      <c r="DB290" s="48"/>
      <c r="DC290" s="48"/>
      <c r="DD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175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175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  <c r="CE291" s="48"/>
      <c r="CF291" s="48"/>
      <c r="CG291" s="48"/>
      <c r="CH291" s="48"/>
      <c r="CI291" s="48"/>
      <c r="CJ291" s="48"/>
      <c r="CK291" s="48"/>
      <c r="CL291" s="48"/>
      <c r="CM291" s="48"/>
      <c r="CN291" s="48"/>
      <c r="CO291" s="48"/>
      <c r="CP291" s="48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  <c r="DA291" s="48"/>
      <c r="DB291" s="48"/>
      <c r="DC291" s="48"/>
      <c r="DD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175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175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  <c r="CE292" s="48"/>
      <c r="CF292" s="48"/>
      <c r="CG292" s="48"/>
      <c r="CH292" s="48"/>
      <c r="CI292" s="48"/>
      <c r="CJ292" s="48"/>
      <c r="CK292" s="48"/>
      <c r="CL292" s="48"/>
      <c r="CM292" s="48"/>
      <c r="CN292" s="48"/>
      <c r="CO292" s="48"/>
      <c r="CP292" s="48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  <c r="DA292" s="48"/>
      <c r="DB292" s="48"/>
      <c r="DC292" s="48"/>
      <c r="DD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175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175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8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175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175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  <c r="CE294" s="48"/>
      <c r="CF294" s="48"/>
      <c r="CG294" s="48"/>
      <c r="CH294" s="48"/>
      <c r="CI294" s="48"/>
      <c r="CJ294" s="48"/>
      <c r="CK294" s="48"/>
      <c r="CL294" s="48"/>
      <c r="CM294" s="48"/>
      <c r="CN294" s="48"/>
      <c r="CO294" s="48"/>
      <c r="CP294" s="48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  <c r="DA294" s="48"/>
      <c r="DB294" s="48"/>
      <c r="DC294" s="48"/>
      <c r="DD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175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175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  <c r="CE295" s="48"/>
      <c r="CF295" s="48"/>
      <c r="CG295" s="48"/>
      <c r="CH295" s="48"/>
      <c r="CI295" s="48"/>
      <c r="CJ295" s="48"/>
      <c r="CK295" s="48"/>
      <c r="CL295" s="48"/>
      <c r="CM295" s="48"/>
      <c r="CN295" s="48"/>
      <c r="CO295" s="48"/>
      <c r="CP295" s="48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  <c r="DA295" s="48"/>
      <c r="DB295" s="48"/>
      <c r="DC295" s="48"/>
      <c r="DD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175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175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  <c r="CE296" s="48"/>
      <c r="CF296" s="48"/>
      <c r="CG296" s="48"/>
      <c r="CH296" s="48"/>
      <c r="CI296" s="48"/>
      <c r="CJ296" s="48"/>
      <c r="CK296" s="48"/>
      <c r="CL296" s="48"/>
      <c r="CM296" s="48"/>
      <c r="CN296" s="48"/>
      <c r="CO296" s="48"/>
      <c r="CP296" s="48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  <c r="DA296" s="48"/>
      <c r="DB296" s="48"/>
      <c r="DC296" s="48"/>
      <c r="DD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175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175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  <c r="CE297" s="48"/>
      <c r="CF297" s="48"/>
      <c r="CG297" s="48"/>
      <c r="CH297" s="48"/>
      <c r="CI297" s="48"/>
      <c r="CJ297" s="48"/>
      <c r="CK297" s="48"/>
      <c r="CL297" s="48"/>
      <c r="CM297" s="48"/>
      <c r="CN297" s="48"/>
      <c r="CO297" s="48"/>
      <c r="CP297" s="48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  <c r="DA297" s="48"/>
      <c r="DB297" s="48"/>
      <c r="DC297" s="48"/>
      <c r="DD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175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175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  <c r="CE298" s="48"/>
      <c r="CF298" s="48"/>
      <c r="CG298" s="48"/>
      <c r="CH298" s="48"/>
      <c r="CI298" s="48"/>
      <c r="CJ298" s="48"/>
      <c r="CK298" s="48"/>
      <c r="CL298" s="48"/>
      <c r="CM298" s="48"/>
      <c r="CN298" s="48"/>
      <c r="CO298" s="48"/>
      <c r="CP298" s="48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  <c r="DA298" s="48"/>
      <c r="DB298" s="48"/>
      <c r="DC298" s="48"/>
      <c r="DD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175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175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  <c r="CE299" s="48"/>
      <c r="CF299" s="48"/>
      <c r="CG299" s="48"/>
      <c r="CH299" s="48"/>
      <c r="CI299" s="48"/>
      <c r="CJ299" s="48"/>
      <c r="CK299" s="48"/>
      <c r="CL299" s="48"/>
      <c r="CM299" s="48"/>
      <c r="CN299" s="48"/>
      <c r="CO299" s="48"/>
      <c r="CP299" s="48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  <c r="DA299" s="48"/>
      <c r="DB299" s="48"/>
      <c r="DC299" s="48"/>
      <c r="DD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175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175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  <c r="CE300" s="48"/>
      <c r="CF300" s="48"/>
      <c r="CG300" s="48"/>
      <c r="CH300" s="48"/>
      <c r="CI300" s="48"/>
      <c r="CJ300" s="48"/>
      <c r="CK300" s="48"/>
      <c r="CL300" s="48"/>
      <c r="CM300" s="48"/>
      <c r="CN300" s="48"/>
      <c r="CO300" s="48"/>
      <c r="CP300" s="48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  <c r="DA300" s="48"/>
      <c r="DB300" s="48"/>
      <c r="DC300" s="48"/>
      <c r="DD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175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175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8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175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175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  <c r="CE302" s="48"/>
      <c r="CF302" s="48"/>
      <c r="CG302" s="48"/>
      <c r="CH302" s="48"/>
      <c r="CI302" s="48"/>
      <c r="CJ302" s="48"/>
      <c r="CK302" s="48"/>
      <c r="CL302" s="48"/>
      <c r="CM302" s="48"/>
      <c r="CN302" s="48"/>
      <c r="CO302" s="48"/>
      <c r="CP302" s="48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  <c r="DA302" s="48"/>
      <c r="DB302" s="48"/>
      <c r="DC302" s="48"/>
      <c r="DD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175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175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  <c r="CE303" s="48"/>
      <c r="CF303" s="48"/>
      <c r="CG303" s="48"/>
      <c r="CH303" s="48"/>
      <c r="CI303" s="48"/>
      <c r="CJ303" s="48"/>
      <c r="CK303" s="48"/>
      <c r="CL303" s="48"/>
      <c r="CM303" s="48"/>
      <c r="CN303" s="48"/>
      <c r="CO303" s="48"/>
      <c r="CP303" s="48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  <c r="DA303" s="48"/>
      <c r="DB303" s="48"/>
      <c r="DC303" s="48"/>
      <c r="DD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175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175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  <c r="CE304" s="48"/>
      <c r="CF304" s="48"/>
      <c r="CG304" s="48"/>
      <c r="CH304" s="48"/>
      <c r="CI304" s="48"/>
      <c r="CJ304" s="48"/>
      <c r="CK304" s="48"/>
      <c r="CL304" s="48"/>
      <c r="CM304" s="48"/>
      <c r="CN304" s="48"/>
      <c r="CO304" s="48"/>
      <c r="CP304" s="48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  <c r="DA304" s="48"/>
      <c r="DB304" s="48"/>
      <c r="DC304" s="48"/>
      <c r="DD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175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175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  <c r="CE305" s="48"/>
      <c r="CF305" s="48"/>
      <c r="CG305" s="48"/>
      <c r="CH305" s="48"/>
      <c r="CI305" s="48"/>
      <c r="CJ305" s="48"/>
      <c r="CK305" s="48"/>
      <c r="CL305" s="48"/>
      <c r="CM305" s="48"/>
      <c r="CN305" s="48"/>
      <c r="CO305" s="48"/>
      <c r="CP305" s="48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  <c r="DA305" s="48"/>
      <c r="DB305" s="48"/>
      <c r="DC305" s="48"/>
      <c r="DD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175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175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  <c r="CE306" s="48"/>
      <c r="CF306" s="48"/>
      <c r="CG306" s="48"/>
      <c r="CH306" s="48"/>
      <c r="CI306" s="48"/>
      <c r="CJ306" s="48"/>
      <c r="CK306" s="48"/>
      <c r="CL306" s="48"/>
      <c r="CM306" s="48"/>
      <c r="CN306" s="48"/>
      <c r="CO306" s="48"/>
      <c r="CP306" s="48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  <c r="DA306" s="48"/>
      <c r="DB306" s="48"/>
      <c r="DC306" s="48"/>
      <c r="DD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175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175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8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175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175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  <c r="CE308" s="48"/>
      <c r="CF308" s="48"/>
      <c r="CG308" s="48"/>
      <c r="CH308" s="48"/>
      <c r="CI308" s="48"/>
      <c r="CJ308" s="48"/>
      <c r="CK308" s="48"/>
      <c r="CL308" s="48"/>
      <c r="CM308" s="48"/>
      <c r="CN308" s="48"/>
      <c r="CO308" s="48"/>
      <c r="CP308" s="48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  <c r="DA308" s="48"/>
      <c r="DB308" s="48"/>
      <c r="DC308" s="48"/>
      <c r="DD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175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175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  <c r="CE309" s="48"/>
      <c r="CF309" s="48"/>
      <c r="CG309" s="48"/>
      <c r="CH309" s="48"/>
      <c r="CI309" s="48"/>
      <c r="CJ309" s="48"/>
      <c r="CK309" s="48"/>
      <c r="CL309" s="48"/>
      <c r="CM309" s="48"/>
      <c r="CN309" s="48"/>
      <c r="CO309" s="48"/>
      <c r="CP309" s="48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  <c r="DA309" s="48"/>
      <c r="DB309" s="48"/>
      <c r="DC309" s="48"/>
      <c r="DD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175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175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  <c r="CE310" s="48"/>
      <c r="CF310" s="48"/>
      <c r="CG310" s="48"/>
      <c r="CH310" s="48"/>
      <c r="CI310" s="48"/>
      <c r="CJ310" s="48"/>
      <c r="CK310" s="48"/>
      <c r="CL310" s="48"/>
      <c r="CM310" s="48"/>
      <c r="CN310" s="48"/>
      <c r="CO310" s="48"/>
      <c r="CP310" s="48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  <c r="DA310" s="48"/>
      <c r="DB310" s="48"/>
      <c r="DC310" s="48"/>
      <c r="DD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175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175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  <c r="CE311" s="48"/>
      <c r="CF311" s="48"/>
      <c r="CG311" s="48"/>
      <c r="CH311" s="48"/>
      <c r="CI311" s="48"/>
      <c r="CJ311" s="48"/>
      <c r="CK311" s="48"/>
      <c r="CL311" s="48"/>
      <c r="CM311" s="48"/>
      <c r="CN311" s="48"/>
      <c r="CO311" s="48"/>
      <c r="CP311" s="48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  <c r="DA311" s="48"/>
      <c r="DB311" s="48"/>
      <c r="DC311" s="48"/>
      <c r="DD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175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175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  <c r="CE312" s="48"/>
      <c r="CF312" s="48"/>
      <c r="CG312" s="48"/>
      <c r="CH312" s="48"/>
      <c r="CI312" s="48"/>
      <c r="CJ312" s="48"/>
      <c r="CK312" s="48"/>
      <c r="CL312" s="48"/>
      <c r="CM312" s="48"/>
      <c r="CN312" s="48"/>
      <c r="CO312" s="48"/>
      <c r="CP312" s="48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  <c r="DA312" s="48"/>
      <c r="DB312" s="48"/>
      <c r="DC312" s="48"/>
      <c r="DD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175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175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  <c r="CE313" s="48"/>
      <c r="CF313" s="48"/>
      <c r="CG313" s="48"/>
      <c r="CH313" s="48"/>
      <c r="CI313" s="48"/>
      <c r="CJ313" s="48"/>
      <c r="CK313" s="48"/>
      <c r="CL313" s="48"/>
      <c r="CM313" s="48"/>
      <c r="CN313" s="48"/>
      <c r="CO313" s="48"/>
      <c r="CP313" s="48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  <c r="DA313" s="48"/>
      <c r="DB313" s="48"/>
      <c r="DC313" s="48"/>
      <c r="DD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175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175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8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175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175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48"/>
      <c r="CN315" s="48"/>
      <c r="CO315" s="48"/>
      <c r="CP315" s="48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  <c r="DA315" s="48"/>
      <c r="DB315" s="48"/>
      <c r="DC315" s="48"/>
      <c r="DD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175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175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  <c r="CE316" s="48"/>
      <c r="CF316" s="48"/>
      <c r="CG316" s="48"/>
      <c r="CH316" s="48"/>
      <c r="CI316" s="48"/>
      <c r="CJ316" s="48"/>
      <c r="CK316" s="48"/>
      <c r="CL316" s="48"/>
      <c r="CM316" s="48"/>
      <c r="CN316" s="48"/>
      <c r="CO316" s="48"/>
      <c r="CP316" s="48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  <c r="DA316" s="48"/>
      <c r="DB316" s="48"/>
      <c r="DC316" s="48"/>
      <c r="DD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175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175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  <c r="CE317" s="48"/>
      <c r="CF317" s="48"/>
      <c r="CG317" s="48"/>
      <c r="CH317" s="48"/>
      <c r="CI317" s="48"/>
      <c r="CJ317" s="48"/>
      <c r="CK317" s="48"/>
      <c r="CL317" s="48"/>
      <c r="CM317" s="48"/>
      <c r="CN317" s="48"/>
      <c r="CO317" s="48"/>
      <c r="CP317" s="48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  <c r="DA317" s="48"/>
      <c r="DB317" s="48"/>
      <c r="DC317" s="48"/>
      <c r="DD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175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175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  <c r="CE318" s="48"/>
      <c r="CF318" s="48"/>
      <c r="CG318" s="48"/>
      <c r="CH318" s="48"/>
      <c r="CI318" s="48"/>
      <c r="CJ318" s="48"/>
      <c r="CK318" s="48"/>
      <c r="CL318" s="48"/>
      <c r="CM318" s="48"/>
      <c r="CN318" s="48"/>
      <c r="CO318" s="48"/>
      <c r="CP318" s="48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  <c r="DA318" s="48"/>
      <c r="DB318" s="48"/>
      <c r="DC318" s="48"/>
      <c r="DD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175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175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  <c r="CE319" s="48"/>
      <c r="CF319" s="48"/>
      <c r="CG319" s="48"/>
      <c r="CH319" s="48"/>
      <c r="CI319" s="48"/>
      <c r="CJ319" s="48"/>
      <c r="CK319" s="48"/>
      <c r="CL319" s="48"/>
      <c r="CM319" s="48"/>
      <c r="CN319" s="48"/>
      <c r="CO319" s="48"/>
      <c r="CP319" s="48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  <c r="DA319" s="48"/>
      <c r="DB319" s="48"/>
      <c r="DC319" s="48"/>
      <c r="DD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175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175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  <c r="CE320" s="48"/>
      <c r="CF320" s="48"/>
      <c r="CG320" s="48"/>
      <c r="CH320" s="48"/>
      <c r="CI320" s="48"/>
      <c r="CJ320" s="48"/>
      <c r="CK320" s="48"/>
      <c r="CL320" s="48"/>
      <c r="CM320" s="48"/>
      <c r="CN320" s="48"/>
      <c r="CO320" s="48"/>
      <c r="CP320" s="48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  <c r="DA320" s="48"/>
      <c r="DB320" s="48"/>
      <c r="DC320" s="48"/>
      <c r="DD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175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175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  <c r="CE321" s="48"/>
      <c r="CF321" s="48"/>
      <c r="CG321" s="48"/>
      <c r="CH321" s="48"/>
      <c r="CI321" s="48"/>
      <c r="CJ321" s="48"/>
      <c r="CK321" s="48"/>
      <c r="CL321" s="48"/>
      <c r="CM321" s="48"/>
      <c r="CN321" s="48"/>
      <c r="CO321" s="48"/>
      <c r="CP321" s="48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  <c r="DA321" s="48"/>
      <c r="DB321" s="48"/>
      <c r="DC321" s="48"/>
      <c r="DD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175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175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  <c r="CE322" s="48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8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  <c r="DA322" s="48"/>
      <c r="DB322" s="48"/>
      <c r="DC322" s="48"/>
      <c r="DD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175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175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8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175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175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  <c r="CE324" s="48"/>
      <c r="CF324" s="48"/>
      <c r="CG324" s="48"/>
      <c r="CH324" s="48"/>
      <c r="CI324" s="48"/>
      <c r="CJ324" s="48"/>
      <c r="CK324" s="48"/>
      <c r="CL324" s="48"/>
      <c r="CM324" s="48"/>
      <c r="CN324" s="48"/>
      <c r="CO324" s="48"/>
      <c r="CP324" s="48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  <c r="DA324" s="48"/>
      <c r="DB324" s="48"/>
      <c r="DC324" s="48"/>
      <c r="DD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175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175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8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  <c r="DA325" s="48"/>
      <c r="DB325" s="48"/>
      <c r="DC325" s="48"/>
      <c r="DD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175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175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  <c r="CE326" s="48"/>
      <c r="CF326" s="48"/>
      <c r="CG326" s="48"/>
      <c r="CH326" s="48"/>
      <c r="CI326" s="48"/>
      <c r="CJ326" s="48"/>
      <c r="CK326" s="48"/>
      <c r="CL326" s="48"/>
      <c r="CM326" s="48"/>
      <c r="CN326" s="48"/>
      <c r="CO326" s="48"/>
      <c r="CP326" s="48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  <c r="DA326" s="48"/>
      <c r="DB326" s="48"/>
      <c r="DC326" s="48"/>
      <c r="DD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175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175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  <c r="CE327" s="48"/>
      <c r="CF327" s="48"/>
      <c r="CG327" s="48"/>
      <c r="CH327" s="48"/>
      <c r="CI327" s="48"/>
      <c r="CJ327" s="48"/>
      <c r="CK327" s="48"/>
      <c r="CL327" s="48"/>
      <c r="CM327" s="48"/>
      <c r="CN327" s="48"/>
      <c r="CO327" s="48"/>
      <c r="CP327" s="48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  <c r="DA327" s="48"/>
      <c r="DB327" s="48"/>
      <c r="DC327" s="48"/>
      <c r="DD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175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175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  <c r="CE328" s="48"/>
      <c r="CF328" s="48"/>
      <c r="CG328" s="48"/>
      <c r="CH328" s="48"/>
      <c r="CI328" s="48"/>
      <c r="CJ328" s="48"/>
      <c r="CK328" s="48"/>
      <c r="CL328" s="48"/>
      <c r="CM328" s="48"/>
      <c r="CN328" s="48"/>
      <c r="CO328" s="48"/>
      <c r="CP328" s="48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  <c r="DA328" s="48"/>
      <c r="DB328" s="48"/>
      <c r="DC328" s="48"/>
      <c r="DD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175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175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  <c r="CE329" s="48"/>
      <c r="CF329" s="48"/>
      <c r="CG329" s="48"/>
      <c r="CH329" s="48"/>
      <c r="CI329" s="48"/>
      <c r="CJ329" s="48"/>
      <c r="CK329" s="48"/>
      <c r="CL329" s="48"/>
      <c r="CM329" s="48"/>
      <c r="CN329" s="48"/>
      <c r="CO329" s="48"/>
      <c r="CP329" s="48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  <c r="DA329" s="48"/>
      <c r="DB329" s="48"/>
      <c r="DC329" s="48"/>
      <c r="DD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175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175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  <c r="CE330" s="48"/>
      <c r="CF330" s="48"/>
      <c r="CG330" s="48"/>
      <c r="CH330" s="48"/>
      <c r="CI330" s="48"/>
      <c r="CJ330" s="48"/>
      <c r="CK330" s="48"/>
      <c r="CL330" s="48"/>
      <c r="CM330" s="48"/>
      <c r="CN330" s="48"/>
      <c r="CO330" s="48"/>
      <c r="CP330" s="48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  <c r="DA330" s="48"/>
      <c r="DB330" s="48"/>
      <c r="DC330" s="48"/>
      <c r="DD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175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175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  <c r="CE331" s="48"/>
      <c r="CF331" s="48"/>
      <c r="CG331" s="48"/>
      <c r="CH331" s="48"/>
      <c r="CI331" s="48"/>
      <c r="CJ331" s="48"/>
      <c r="CK331" s="48"/>
      <c r="CL331" s="48"/>
      <c r="CM331" s="48"/>
      <c r="CN331" s="48"/>
      <c r="CO331" s="48"/>
      <c r="CP331" s="48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  <c r="DA331" s="48"/>
      <c r="DB331" s="48"/>
      <c r="DC331" s="48"/>
      <c r="DD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175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175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  <c r="CE332" s="48"/>
      <c r="CF332" s="48"/>
      <c r="CG332" s="48"/>
      <c r="CH332" s="48"/>
      <c r="CI332" s="48"/>
      <c r="CJ332" s="48"/>
      <c r="CK332" s="48"/>
      <c r="CL332" s="48"/>
      <c r="CM332" s="48"/>
      <c r="CN332" s="48"/>
      <c r="CO332" s="48"/>
      <c r="CP332" s="48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  <c r="DA332" s="48"/>
      <c r="DB332" s="48"/>
      <c r="DC332" s="48"/>
      <c r="DD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175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175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  <c r="CE333" s="48"/>
      <c r="CF333" s="48"/>
      <c r="CG333" s="48"/>
      <c r="CH333" s="48"/>
      <c r="CI333" s="48"/>
      <c r="CJ333" s="48"/>
      <c r="CK333" s="48"/>
      <c r="CL333" s="48"/>
      <c r="CM333" s="48"/>
      <c r="CN333" s="48"/>
      <c r="CO333" s="48"/>
      <c r="CP333" s="48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  <c r="DA333" s="48"/>
      <c r="DB333" s="48"/>
      <c r="DC333" s="48"/>
      <c r="DD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175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175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  <c r="CE334" s="48"/>
      <c r="CF334" s="48"/>
      <c r="CG334" s="48"/>
      <c r="CH334" s="48"/>
      <c r="CI334" s="48"/>
      <c r="CJ334" s="48"/>
      <c r="CK334" s="48"/>
      <c r="CL334" s="48"/>
      <c r="CM334" s="48"/>
      <c r="CN334" s="48"/>
      <c r="CO334" s="48"/>
      <c r="CP334" s="48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  <c r="DA334" s="48"/>
      <c r="DB334" s="48"/>
      <c r="DC334" s="48"/>
      <c r="DD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175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175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8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175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175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  <c r="CE336" s="48"/>
      <c r="CF336" s="48"/>
      <c r="CG336" s="48"/>
      <c r="CH336" s="48"/>
      <c r="CI336" s="48"/>
      <c r="CJ336" s="48"/>
      <c r="CK336" s="48"/>
      <c r="CL336" s="48"/>
      <c r="CM336" s="48"/>
      <c r="CN336" s="48"/>
      <c r="CO336" s="48"/>
      <c r="CP336" s="48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  <c r="DA336" s="48"/>
      <c r="DB336" s="48"/>
      <c r="DC336" s="48"/>
      <c r="DD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175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175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  <c r="CE337" s="48"/>
      <c r="CF337" s="48"/>
      <c r="CG337" s="48"/>
      <c r="CH337" s="48"/>
      <c r="CI337" s="48"/>
      <c r="CJ337" s="48"/>
      <c r="CK337" s="48"/>
      <c r="CL337" s="48"/>
      <c r="CM337" s="48"/>
      <c r="CN337" s="48"/>
      <c r="CO337" s="48"/>
      <c r="CP337" s="48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  <c r="DA337" s="48"/>
      <c r="DB337" s="48"/>
      <c r="DC337" s="48"/>
      <c r="DD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175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175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  <c r="CE338" s="48"/>
      <c r="CF338" s="48"/>
      <c r="CG338" s="48"/>
      <c r="CH338" s="48"/>
      <c r="CI338" s="48"/>
      <c r="CJ338" s="48"/>
      <c r="CK338" s="48"/>
      <c r="CL338" s="48"/>
      <c r="CM338" s="48"/>
      <c r="CN338" s="48"/>
      <c r="CO338" s="48"/>
      <c r="CP338" s="48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  <c r="DA338" s="48"/>
      <c r="DB338" s="48"/>
      <c r="DC338" s="48"/>
      <c r="DD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175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175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  <c r="CE339" s="48"/>
      <c r="CF339" s="48"/>
      <c r="CG339" s="48"/>
      <c r="CH339" s="48"/>
      <c r="CI339" s="48"/>
      <c r="CJ339" s="48"/>
      <c r="CK339" s="48"/>
      <c r="CL339" s="48"/>
      <c r="CM339" s="48"/>
      <c r="CN339" s="48"/>
      <c r="CO339" s="48"/>
      <c r="CP339" s="48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  <c r="DA339" s="48"/>
      <c r="DB339" s="48"/>
      <c r="DC339" s="48"/>
      <c r="DD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175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175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  <c r="CE340" s="48"/>
      <c r="CF340" s="48"/>
      <c r="CG340" s="48"/>
      <c r="CH340" s="48"/>
      <c r="CI340" s="48"/>
      <c r="CJ340" s="48"/>
      <c r="CK340" s="48"/>
      <c r="CL340" s="48"/>
      <c r="CM340" s="48"/>
      <c r="CN340" s="48"/>
      <c r="CO340" s="48"/>
      <c r="CP340" s="48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  <c r="DA340" s="48"/>
      <c r="DB340" s="48"/>
      <c r="DC340" s="48"/>
      <c r="DD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175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175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  <c r="CE341" s="48"/>
      <c r="CF341" s="48"/>
      <c r="CG341" s="48"/>
      <c r="CH341" s="48"/>
      <c r="CI341" s="48"/>
      <c r="CJ341" s="48"/>
      <c r="CK341" s="48"/>
      <c r="CL341" s="48"/>
      <c r="CM341" s="48"/>
      <c r="CN341" s="48"/>
      <c r="CO341" s="48"/>
      <c r="CP341" s="48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  <c r="DA341" s="48"/>
      <c r="DB341" s="48"/>
      <c r="DC341" s="48"/>
      <c r="DD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175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175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  <c r="CE342" s="48"/>
      <c r="CF342" s="48"/>
      <c r="CG342" s="48"/>
      <c r="CH342" s="48"/>
      <c r="CI342" s="48"/>
      <c r="CJ342" s="48"/>
      <c r="CK342" s="48"/>
      <c r="CL342" s="48"/>
      <c r="CM342" s="48"/>
      <c r="CN342" s="48"/>
      <c r="CO342" s="48"/>
      <c r="CP342" s="48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  <c r="DA342" s="48"/>
      <c r="DB342" s="48"/>
      <c r="DC342" s="48"/>
      <c r="DD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175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175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  <c r="CE343" s="48"/>
      <c r="CF343" s="48"/>
      <c r="CG343" s="48"/>
      <c r="CH343" s="48"/>
      <c r="CI343" s="48"/>
      <c r="CJ343" s="48"/>
      <c r="CK343" s="48"/>
      <c r="CL343" s="48"/>
      <c r="CM343" s="48"/>
      <c r="CN343" s="48"/>
      <c r="CO343" s="48"/>
      <c r="CP343" s="48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  <c r="DA343" s="48"/>
      <c r="DB343" s="48"/>
      <c r="DC343" s="48"/>
      <c r="DD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175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175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  <c r="CE344" s="48"/>
      <c r="CF344" s="48"/>
      <c r="CG344" s="48"/>
      <c r="CH344" s="48"/>
      <c r="CI344" s="48"/>
      <c r="CJ344" s="48"/>
      <c r="CK344" s="48"/>
      <c r="CL344" s="48"/>
      <c r="CM344" s="48"/>
      <c r="CN344" s="48"/>
      <c r="CO344" s="48"/>
      <c r="CP344" s="48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  <c r="DA344" s="48"/>
      <c r="DB344" s="48"/>
      <c r="DC344" s="48"/>
      <c r="DD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175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175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  <c r="CE345" s="48"/>
      <c r="CF345" s="48"/>
      <c r="CG345" s="48"/>
      <c r="CH345" s="48"/>
      <c r="CI345" s="48"/>
      <c r="CJ345" s="48"/>
      <c r="CK345" s="48"/>
      <c r="CL345" s="48"/>
      <c r="CM345" s="48"/>
      <c r="CN345" s="48"/>
      <c r="CO345" s="48"/>
      <c r="CP345" s="48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  <c r="DA345" s="48"/>
      <c r="DB345" s="48"/>
      <c r="DC345" s="48"/>
      <c r="DD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175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175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  <c r="CE346" s="48"/>
      <c r="CF346" s="48"/>
      <c r="CG346" s="48"/>
      <c r="CH346" s="48"/>
      <c r="CI346" s="48"/>
      <c r="CJ346" s="48"/>
      <c r="CK346" s="48"/>
      <c r="CL346" s="48"/>
      <c r="CM346" s="48"/>
      <c r="CN346" s="48"/>
      <c r="CO346" s="48"/>
      <c r="CP346" s="48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  <c r="DA346" s="48"/>
      <c r="DB346" s="48"/>
      <c r="DC346" s="48"/>
      <c r="DD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175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175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  <c r="CE347" s="48"/>
      <c r="CF347" s="48"/>
      <c r="CG347" s="48"/>
      <c r="CH347" s="48"/>
      <c r="CI347" s="48"/>
      <c r="CJ347" s="48"/>
      <c r="CK347" s="48"/>
      <c r="CL347" s="48"/>
      <c r="CM347" s="48"/>
      <c r="CN347" s="48"/>
      <c r="CO347" s="48"/>
      <c r="CP347" s="48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  <c r="DA347" s="48"/>
      <c r="DB347" s="48"/>
      <c r="DC347" s="48"/>
      <c r="DD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175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175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8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175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175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8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175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175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  <c r="CE350" s="48"/>
      <c r="CF350" s="48"/>
      <c r="CG350" s="48"/>
      <c r="CH350" s="48"/>
      <c r="CI350" s="48"/>
      <c r="CJ350" s="48"/>
      <c r="CK350" s="48"/>
      <c r="CL350" s="48"/>
      <c r="CM350" s="48"/>
      <c r="CN350" s="48"/>
      <c r="CO350" s="48"/>
      <c r="CP350" s="48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  <c r="DA350" s="48"/>
      <c r="DB350" s="48"/>
      <c r="DC350" s="48"/>
      <c r="DD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175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175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  <c r="CE351" s="48"/>
      <c r="CF351" s="48"/>
      <c r="CG351" s="48"/>
      <c r="CH351" s="48"/>
      <c r="CI351" s="48"/>
      <c r="CJ351" s="48"/>
      <c r="CK351" s="48"/>
      <c r="CL351" s="48"/>
      <c r="CM351" s="48"/>
      <c r="CN351" s="48"/>
      <c r="CO351" s="48"/>
      <c r="CP351" s="48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  <c r="DA351" s="48"/>
      <c r="DB351" s="48"/>
      <c r="DC351" s="48"/>
      <c r="DD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175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175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  <c r="CE352" s="48"/>
      <c r="CF352" s="48"/>
      <c r="CG352" s="48"/>
      <c r="CH352" s="48"/>
      <c r="CI352" s="48"/>
      <c r="CJ352" s="48"/>
      <c r="CK352" s="48"/>
      <c r="CL352" s="48"/>
      <c r="CM352" s="48"/>
      <c r="CN352" s="48"/>
      <c r="CO352" s="48"/>
      <c r="CP352" s="48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  <c r="DA352" s="48"/>
      <c r="DB352" s="48"/>
      <c r="DC352" s="48"/>
      <c r="DD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175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175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  <c r="CE353" s="48"/>
      <c r="CF353" s="48"/>
      <c r="CG353" s="48"/>
      <c r="CH353" s="48"/>
      <c r="CI353" s="48"/>
      <c r="CJ353" s="48"/>
      <c r="CK353" s="48"/>
      <c r="CL353" s="48"/>
      <c r="CM353" s="48"/>
      <c r="CN353" s="48"/>
      <c r="CO353" s="48"/>
      <c r="CP353" s="48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  <c r="DA353" s="48"/>
      <c r="DB353" s="48"/>
      <c r="DC353" s="48"/>
      <c r="DD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175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175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  <c r="CE354" s="48"/>
      <c r="CF354" s="48"/>
      <c r="CG354" s="48"/>
      <c r="CH354" s="48"/>
      <c r="CI354" s="48"/>
      <c r="CJ354" s="48"/>
      <c r="CK354" s="48"/>
      <c r="CL354" s="48"/>
      <c r="CM354" s="48"/>
      <c r="CN354" s="48"/>
      <c r="CO354" s="48"/>
      <c r="CP354" s="48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  <c r="DA354" s="48"/>
      <c r="DB354" s="48"/>
      <c r="DC354" s="48"/>
      <c r="DD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175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175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  <c r="CE355" s="48"/>
      <c r="CF355" s="48"/>
      <c r="CG355" s="48"/>
      <c r="CH355" s="48"/>
      <c r="CI355" s="48"/>
      <c r="CJ355" s="48"/>
      <c r="CK355" s="48"/>
      <c r="CL355" s="48"/>
      <c r="CM355" s="48"/>
      <c r="CN355" s="48"/>
      <c r="CO355" s="48"/>
      <c r="CP355" s="48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  <c r="DA355" s="48"/>
      <c r="DB355" s="48"/>
      <c r="DC355" s="48"/>
      <c r="DD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175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175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  <c r="CE356" s="48"/>
      <c r="CF356" s="48"/>
      <c r="CG356" s="48"/>
      <c r="CH356" s="48"/>
      <c r="CI356" s="48"/>
      <c r="CJ356" s="48"/>
      <c r="CK356" s="48"/>
      <c r="CL356" s="48"/>
      <c r="CM356" s="48"/>
      <c r="CN356" s="48"/>
      <c r="CO356" s="48"/>
      <c r="CP356" s="48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  <c r="DA356" s="48"/>
      <c r="DB356" s="48"/>
      <c r="DC356" s="48"/>
      <c r="DD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175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175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  <c r="CE357" s="48"/>
      <c r="CF357" s="48"/>
      <c r="CG357" s="48"/>
      <c r="CH357" s="48"/>
      <c r="CI357" s="48"/>
      <c r="CJ357" s="48"/>
      <c r="CK357" s="48"/>
      <c r="CL357" s="48"/>
      <c r="CM357" s="48"/>
      <c r="CN357" s="48"/>
      <c r="CO357" s="48"/>
      <c r="CP357" s="48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  <c r="DA357" s="48"/>
      <c r="DB357" s="48"/>
      <c r="DC357" s="48"/>
      <c r="DD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175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175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  <c r="CE358" s="48"/>
      <c r="CF358" s="48"/>
      <c r="CG358" s="48"/>
      <c r="CH358" s="48"/>
      <c r="CI358" s="48"/>
      <c r="CJ358" s="48"/>
      <c r="CK358" s="48"/>
      <c r="CL358" s="48"/>
      <c r="CM358" s="48"/>
      <c r="CN358" s="48"/>
      <c r="CO358" s="48"/>
      <c r="CP358" s="48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  <c r="DA358" s="48"/>
      <c r="DB358" s="48"/>
      <c r="DC358" s="48"/>
      <c r="DD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175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175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  <c r="CE359" s="48"/>
      <c r="CF359" s="48"/>
      <c r="CG359" s="48"/>
      <c r="CH359" s="48"/>
      <c r="CI359" s="48"/>
      <c r="CJ359" s="48"/>
      <c r="CK359" s="48"/>
      <c r="CL359" s="48"/>
      <c r="CM359" s="48"/>
      <c r="CN359" s="48"/>
      <c r="CO359" s="48"/>
      <c r="CP359" s="48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  <c r="DA359" s="48"/>
      <c r="DB359" s="48"/>
      <c r="DC359" s="48"/>
      <c r="DD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175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175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  <c r="CE360" s="48"/>
      <c r="CF360" s="48"/>
      <c r="CG360" s="48"/>
      <c r="CH360" s="48"/>
      <c r="CI360" s="48"/>
      <c r="CJ360" s="48"/>
      <c r="CK360" s="48"/>
      <c r="CL360" s="48"/>
      <c r="CM360" s="48"/>
      <c r="CN360" s="48"/>
      <c r="CO360" s="48"/>
      <c r="CP360" s="48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  <c r="DA360" s="48"/>
      <c r="DB360" s="48"/>
      <c r="DC360" s="48"/>
      <c r="DD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175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175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  <c r="CE361" s="48"/>
      <c r="CF361" s="48"/>
      <c r="CG361" s="48"/>
      <c r="CH361" s="48"/>
      <c r="CI361" s="48"/>
      <c r="CJ361" s="48"/>
      <c r="CK361" s="48"/>
      <c r="CL361" s="48"/>
      <c r="CM361" s="48"/>
      <c r="CN361" s="48"/>
      <c r="CO361" s="48"/>
      <c r="CP361" s="48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  <c r="DA361" s="48"/>
      <c r="DB361" s="48"/>
      <c r="DC361" s="48"/>
      <c r="DD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175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175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  <c r="CE362" s="48"/>
      <c r="CF362" s="48"/>
      <c r="CG362" s="48"/>
      <c r="CH362" s="48"/>
      <c r="CI362" s="48"/>
      <c r="CJ362" s="48"/>
      <c r="CK362" s="48"/>
      <c r="CL362" s="48"/>
      <c r="CM362" s="48"/>
      <c r="CN362" s="48"/>
      <c r="CO362" s="48"/>
      <c r="CP362" s="48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  <c r="DA362" s="48"/>
      <c r="DB362" s="48"/>
      <c r="DC362" s="48"/>
      <c r="DD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175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175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  <c r="CE363" s="48"/>
      <c r="CF363" s="48"/>
      <c r="CG363" s="48"/>
      <c r="CH363" s="48"/>
      <c r="CI363" s="48"/>
      <c r="CJ363" s="48"/>
      <c r="CK363" s="48"/>
      <c r="CL363" s="48"/>
      <c r="CM363" s="48"/>
      <c r="CN363" s="48"/>
      <c r="CO363" s="48"/>
      <c r="CP363" s="48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  <c r="DA363" s="48"/>
      <c r="DB363" s="48"/>
      <c r="DC363" s="48"/>
      <c r="DD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175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175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  <c r="CE364" s="48"/>
      <c r="CF364" s="48"/>
      <c r="CG364" s="48"/>
      <c r="CH364" s="48"/>
      <c r="CI364" s="48"/>
      <c r="CJ364" s="48"/>
      <c r="CK364" s="48"/>
      <c r="CL364" s="48"/>
      <c r="CM364" s="48"/>
      <c r="CN364" s="48"/>
      <c r="CO364" s="48"/>
      <c r="CP364" s="48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  <c r="DA364" s="48"/>
      <c r="DB364" s="48"/>
      <c r="DC364" s="48"/>
      <c r="DD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175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175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  <c r="CE365" s="48"/>
      <c r="CF365" s="48"/>
      <c r="CG365" s="48"/>
      <c r="CH365" s="48"/>
      <c r="CI365" s="48"/>
      <c r="CJ365" s="48"/>
      <c r="CK365" s="48"/>
      <c r="CL365" s="48"/>
      <c r="CM365" s="48"/>
      <c r="CN365" s="48"/>
      <c r="CO365" s="48"/>
      <c r="CP365" s="48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  <c r="DA365" s="48"/>
      <c r="DB365" s="48"/>
      <c r="DC365" s="48"/>
      <c r="DD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175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175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  <c r="CE366" s="48"/>
      <c r="CF366" s="48"/>
      <c r="CG366" s="48"/>
      <c r="CH366" s="48"/>
      <c r="CI366" s="48"/>
      <c r="CJ366" s="48"/>
      <c r="CK366" s="48"/>
      <c r="CL366" s="48"/>
      <c r="CM366" s="48"/>
      <c r="CN366" s="48"/>
      <c r="CO366" s="48"/>
      <c r="CP366" s="48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  <c r="DA366" s="48"/>
      <c r="DB366" s="48"/>
      <c r="DC366" s="48"/>
      <c r="DD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175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175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8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175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175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  <c r="CE368" s="48"/>
      <c r="CF368" s="48"/>
      <c r="CG368" s="48"/>
      <c r="CH368" s="48"/>
      <c r="CI368" s="48"/>
      <c r="CJ368" s="48"/>
      <c r="CK368" s="48"/>
      <c r="CL368" s="48"/>
      <c r="CM368" s="48"/>
      <c r="CN368" s="48"/>
      <c r="CO368" s="48"/>
      <c r="CP368" s="48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  <c r="DA368" s="48"/>
      <c r="DB368" s="48"/>
      <c r="DC368" s="48"/>
      <c r="DD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175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175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  <c r="CE369" s="48"/>
      <c r="CF369" s="48"/>
      <c r="CG369" s="48"/>
      <c r="CH369" s="48"/>
      <c r="CI369" s="48"/>
      <c r="CJ369" s="48"/>
      <c r="CK369" s="48"/>
      <c r="CL369" s="48"/>
      <c r="CM369" s="48"/>
      <c r="CN369" s="48"/>
      <c r="CO369" s="48"/>
      <c r="CP369" s="48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  <c r="DA369" s="48"/>
      <c r="DB369" s="48"/>
      <c r="DC369" s="48"/>
      <c r="DD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175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175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  <c r="CE370" s="48"/>
      <c r="CF370" s="48"/>
      <c r="CG370" s="48"/>
      <c r="CH370" s="48"/>
      <c r="CI370" s="48"/>
      <c r="CJ370" s="48"/>
      <c r="CK370" s="48"/>
      <c r="CL370" s="48"/>
      <c r="CM370" s="48"/>
      <c r="CN370" s="48"/>
      <c r="CO370" s="48"/>
      <c r="CP370" s="48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  <c r="DA370" s="48"/>
      <c r="DB370" s="48"/>
      <c r="DC370" s="48"/>
      <c r="DD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175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175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  <c r="CE371" s="48"/>
      <c r="CF371" s="48"/>
      <c r="CG371" s="48"/>
      <c r="CH371" s="48"/>
      <c r="CI371" s="48"/>
      <c r="CJ371" s="48"/>
      <c r="CK371" s="48"/>
      <c r="CL371" s="48"/>
      <c r="CM371" s="48"/>
      <c r="CN371" s="48"/>
      <c r="CO371" s="48"/>
      <c r="CP371" s="48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  <c r="DA371" s="48"/>
      <c r="DB371" s="48"/>
      <c r="DC371" s="48"/>
      <c r="DD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175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175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  <c r="CE372" s="48"/>
      <c r="CF372" s="48"/>
      <c r="CG372" s="48"/>
      <c r="CH372" s="48"/>
      <c r="CI372" s="48"/>
      <c r="CJ372" s="48"/>
      <c r="CK372" s="48"/>
      <c r="CL372" s="48"/>
      <c r="CM372" s="48"/>
      <c r="CN372" s="48"/>
      <c r="CO372" s="48"/>
      <c r="CP372" s="48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  <c r="DA372" s="48"/>
      <c r="DB372" s="48"/>
      <c r="DC372" s="48"/>
      <c r="DD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175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175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  <c r="CE373" s="48"/>
      <c r="CF373" s="48"/>
      <c r="CG373" s="48"/>
      <c r="CH373" s="48"/>
      <c r="CI373" s="48"/>
      <c r="CJ373" s="48"/>
      <c r="CK373" s="48"/>
      <c r="CL373" s="48"/>
      <c r="CM373" s="48"/>
      <c r="CN373" s="48"/>
      <c r="CO373" s="48"/>
      <c r="CP373" s="48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  <c r="DA373" s="48"/>
      <c r="DB373" s="48"/>
      <c r="DC373" s="48"/>
      <c r="DD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175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175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  <c r="CE374" s="48"/>
      <c r="CF374" s="48"/>
      <c r="CG374" s="48"/>
      <c r="CH374" s="48"/>
      <c r="CI374" s="48"/>
      <c r="CJ374" s="48"/>
      <c r="CK374" s="48"/>
      <c r="CL374" s="48"/>
      <c r="CM374" s="48"/>
      <c r="CN374" s="48"/>
      <c r="CO374" s="48"/>
      <c r="CP374" s="48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  <c r="DA374" s="48"/>
      <c r="DB374" s="48"/>
      <c r="DC374" s="48"/>
      <c r="DD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175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175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  <c r="CE375" s="48"/>
      <c r="CF375" s="48"/>
      <c r="CG375" s="48"/>
      <c r="CH375" s="48"/>
      <c r="CI375" s="48"/>
      <c r="CJ375" s="48"/>
      <c r="CK375" s="48"/>
      <c r="CL375" s="48"/>
      <c r="CM375" s="48"/>
      <c r="CN375" s="48"/>
      <c r="CO375" s="48"/>
      <c r="CP375" s="48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  <c r="DA375" s="48"/>
      <c r="DB375" s="48"/>
      <c r="DC375" s="48"/>
      <c r="DD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175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175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  <c r="CE376" s="48"/>
      <c r="CF376" s="48"/>
      <c r="CG376" s="48"/>
      <c r="CH376" s="48"/>
      <c r="CI376" s="48"/>
      <c r="CJ376" s="48"/>
      <c r="CK376" s="48"/>
      <c r="CL376" s="48"/>
      <c r="CM376" s="48"/>
      <c r="CN376" s="48"/>
      <c r="CO376" s="48"/>
      <c r="CP376" s="48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  <c r="DA376" s="48"/>
      <c r="DB376" s="48"/>
      <c r="DC376" s="48"/>
      <c r="DD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175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175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  <c r="CE377" s="48"/>
      <c r="CF377" s="48"/>
      <c r="CG377" s="48"/>
      <c r="CH377" s="48"/>
      <c r="CI377" s="48"/>
      <c r="CJ377" s="48"/>
      <c r="CK377" s="48"/>
      <c r="CL377" s="48"/>
      <c r="CM377" s="48"/>
      <c r="CN377" s="48"/>
      <c r="CO377" s="48"/>
      <c r="CP377" s="48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  <c r="DA377" s="48"/>
      <c r="DB377" s="48"/>
      <c r="DC377" s="48"/>
      <c r="DD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175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175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175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175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  <c r="CE379" s="48"/>
      <c r="CF379" s="48"/>
      <c r="CG379" s="48"/>
      <c r="CH379" s="48"/>
      <c r="CI379" s="48"/>
      <c r="CJ379" s="48"/>
      <c r="CK379" s="48"/>
      <c r="CL379" s="48"/>
      <c r="CM379" s="48"/>
      <c r="CN379" s="48"/>
      <c r="CO379" s="48"/>
      <c r="CP379" s="48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  <c r="DA379" s="48"/>
      <c r="DB379" s="48"/>
      <c r="DC379" s="48"/>
      <c r="DD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175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175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8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175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175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  <c r="CE381" s="48"/>
      <c r="CF381" s="48"/>
      <c r="CG381" s="48"/>
      <c r="CH381" s="48"/>
      <c r="CI381" s="48"/>
      <c r="CJ381" s="48"/>
      <c r="CK381" s="48"/>
      <c r="CL381" s="48"/>
      <c r="CM381" s="48"/>
      <c r="CN381" s="48"/>
      <c r="CO381" s="48"/>
      <c r="CP381" s="48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  <c r="DA381" s="48"/>
      <c r="DB381" s="48"/>
      <c r="DC381" s="48"/>
      <c r="DD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175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175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  <c r="CE382" s="48"/>
      <c r="CF382" s="48"/>
      <c r="CG382" s="48"/>
      <c r="CH382" s="48"/>
      <c r="CI382" s="48"/>
      <c r="CJ382" s="48"/>
      <c r="CK382" s="48"/>
      <c r="CL382" s="48"/>
      <c r="CM382" s="48"/>
      <c r="CN382" s="48"/>
      <c r="CO382" s="48"/>
      <c r="CP382" s="48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  <c r="DA382" s="48"/>
      <c r="DB382" s="48"/>
      <c r="DC382" s="48"/>
      <c r="DD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175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175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  <c r="CE383" s="48"/>
      <c r="CF383" s="48"/>
      <c r="CG383" s="48"/>
      <c r="CH383" s="48"/>
      <c r="CI383" s="48"/>
      <c r="CJ383" s="48"/>
      <c r="CK383" s="48"/>
      <c r="CL383" s="48"/>
      <c r="CM383" s="48"/>
      <c r="CN383" s="48"/>
      <c r="CO383" s="48"/>
      <c r="CP383" s="48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  <c r="DA383" s="48"/>
      <c r="DB383" s="48"/>
      <c r="DC383" s="48"/>
      <c r="DD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175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175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  <c r="CE384" s="48"/>
      <c r="CF384" s="48"/>
      <c r="CG384" s="48"/>
      <c r="CH384" s="48"/>
      <c r="CI384" s="48"/>
      <c r="CJ384" s="48"/>
      <c r="CK384" s="48"/>
      <c r="CL384" s="48"/>
      <c r="CM384" s="48"/>
      <c r="CN384" s="48"/>
      <c r="CO384" s="48"/>
      <c r="CP384" s="48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  <c r="DA384" s="48"/>
      <c r="DB384" s="48"/>
      <c r="DC384" s="48"/>
      <c r="DD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175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175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  <c r="CE385" s="48"/>
      <c r="CF385" s="48"/>
      <c r="CG385" s="48"/>
      <c r="CH385" s="48"/>
      <c r="CI385" s="48"/>
      <c r="CJ385" s="48"/>
      <c r="CK385" s="48"/>
      <c r="CL385" s="48"/>
      <c r="CM385" s="48"/>
      <c r="CN385" s="48"/>
      <c r="CO385" s="48"/>
      <c r="CP385" s="48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  <c r="DA385" s="48"/>
      <c r="DB385" s="48"/>
      <c r="DC385" s="48"/>
      <c r="DD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175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175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  <c r="CE386" s="48"/>
      <c r="CF386" s="48"/>
      <c r="CG386" s="48"/>
      <c r="CH386" s="48"/>
      <c r="CI386" s="48"/>
      <c r="CJ386" s="48"/>
      <c r="CK386" s="48"/>
      <c r="CL386" s="48"/>
      <c r="CM386" s="48"/>
      <c r="CN386" s="48"/>
      <c r="CO386" s="48"/>
      <c r="CP386" s="48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  <c r="DA386" s="48"/>
      <c r="DB386" s="48"/>
      <c r="DC386" s="48"/>
      <c r="DD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175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175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  <c r="CE387" s="48"/>
      <c r="CF387" s="48"/>
      <c r="CG387" s="48"/>
      <c r="CH387" s="48"/>
      <c r="CI387" s="48"/>
      <c r="CJ387" s="48"/>
      <c r="CK387" s="48"/>
      <c r="CL387" s="48"/>
      <c r="CM387" s="48"/>
      <c r="CN387" s="48"/>
      <c r="CO387" s="48"/>
      <c r="CP387" s="48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  <c r="DA387" s="48"/>
      <c r="DB387" s="48"/>
      <c r="DC387" s="48"/>
      <c r="DD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175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175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8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175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175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  <c r="CE389" s="48"/>
      <c r="CF389" s="48"/>
      <c r="CG389" s="48"/>
      <c r="CH389" s="48"/>
      <c r="CI389" s="48"/>
      <c r="CJ389" s="48"/>
      <c r="CK389" s="48"/>
      <c r="CL389" s="48"/>
      <c r="CM389" s="48"/>
      <c r="CN389" s="48"/>
      <c r="CO389" s="48"/>
      <c r="CP389" s="48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  <c r="DA389" s="48"/>
      <c r="DB389" s="48"/>
      <c r="DC389" s="48"/>
      <c r="DD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175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175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  <c r="CE390" s="48"/>
      <c r="CF390" s="48"/>
      <c r="CG390" s="48"/>
      <c r="CH390" s="48"/>
      <c r="CI390" s="48"/>
      <c r="CJ390" s="48"/>
      <c r="CK390" s="48"/>
      <c r="CL390" s="48"/>
      <c r="CM390" s="48"/>
      <c r="CN390" s="48"/>
      <c r="CO390" s="48"/>
      <c r="CP390" s="48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  <c r="DA390" s="48"/>
      <c r="DB390" s="48"/>
      <c r="DC390" s="48"/>
      <c r="DD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175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175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8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175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175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  <c r="CE392" s="48"/>
      <c r="CF392" s="48"/>
      <c r="CG392" s="48"/>
      <c r="CH392" s="48"/>
      <c r="CI392" s="48"/>
      <c r="CJ392" s="48"/>
      <c r="CK392" s="48"/>
      <c r="CL392" s="48"/>
      <c r="CM392" s="48"/>
      <c r="CN392" s="48"/>
      <c r="CO392" s="48"/>
      <c r="CP392" s="48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  <c r="DA392" s="48"/>
      <c r="DB392" s="48"/>
      <c r="DC392" s="48"/>
      <c r="DD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175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175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  <c r="CE393" s="48"/>
      <c r="CF393" s="48"/>
      <c r="CG393" s="48"/>
      <c r="CH393" s="48"/>
      <c r="CI393" s="48"/>
      <c r="CJ393" s="48"/>
      <c r="CK393" s="48"/>
      <c r="CL393" s="48"/>
      <c r="CM393" s="48"/>
      <c r="CN393" s="48"/>
      <c r="CO393" s="48"/>
      <c r="CP393" s="48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  <c r="DA393" s="48"/>
      <c r="DB393" s="48"/>
      <c r="DC393" s="48"/>
      <c r="DD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175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175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  <c r="CE394" s="48"/>
      <c r="CF394" s="48"/>
      <c r="CG394" s="48"/>
      <c r="CH394" s="48"/>
      <c r="CI394" s="48"/>
      <c r="CJ394" s="48"/>
      <c r="CK394" s="48"/>
      <c r="CL394" s="48"/>
      <c r="CM394" s="48"/>
      <c r="CN394" s="48"/>
      <c r="CO394" s="48"/>
      <c r="CP394" s="48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  <c r="DA394" s="48"/>
      <c r="DB394" s="48"/>
      <c r="DC394" s="48"/>
      <c r="DD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175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175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8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175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175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  <c r="CE396" s="48"/>
      <c r="CF396" s="48"/>
      <c r="CG396" s="48"/>
      <c r="CH396" s="48"/>
      <c r="CI396" s="48"/>
      <c r="CJ396" s="48"/>
      <c r="CK396" s="48"/>
      <c r="CL396" s="48"/>
      <c r="CM396" s="48"/>
      <c r="CN396" s="48"/>
      <c r="CO396" s="48"/>
      <c r="CP396" s="48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  <c r="DA396" s="48"/>
      <c r="DB396" s="48"/>
      <c r="DC396" s="48"/>
      <c r="DD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175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175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  <c r="CE397" s="48"/>
      <c r="CF397" s="48"/>
      <c r="CG397" s="48"/>
      <c r="CH397" s="48"/>
      <c r="CI397" s="48"/>
      <c r="CJ397" s="48"/>
      <c r="CK397" s="48"/>
      <c r="CL397" s="48"/>
      <c r="CM397" s="48"/>
      <c r="CN397" s="48"/>
      <c r="CO397" s="48"/>
      <c r="CP397" s="48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  <c r="DA397" s="48"/>
      <c r="DB397" s="48"/>
      <c r="DC397" s="48"/>
      <c r="DD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175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175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  <c r="CE398" s="48"/>
      <c r="CF398" s="48"/>
      <c r="CG398" s="48"/>
      <c r="CH398" s="48"/>
      <c r="CI398" s="48"/>
      <c r="CJ398" s="48"/>
      <c r="CK398" s="48"/>
      <c r="CL398" s="48"/>
      <c r="CM398" s="48"/>
      <c r="CN398" s="48"/>
      <c r="CO398" s="48"/>
      <c r="CP398" s="48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  <c r="DA398" s="48"/>
      <c r="DB398" s="48"/>
      <c r="DC398" s="48"/>
      <c r="DD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175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175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  <c r="CE399" s="48"/>
      <c r="CF399" s="48"/>
      <c r="CG399" s="48"/>
      <c r="CH399" s="48"/>
      <c r="CI399" s="48"/>
      <c r="CJ399" s="48"/>
      <c r="CK399" s="48"/>
      <c r="CL399" s="48"/>
      <c r="CM399" s="48"/>
      <c r="CN399" s="48"/>
      <c r="CO399" s="48"/>
      <c r="CP399" s="48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  <c r="DA399" s="48"/>
      <c r="DB399" s="48"/>
      <c r="DC399" s="48"/>
      <c r="DD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175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175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8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175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175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  <c r="CE401" s="48"/>
      <c r="CF401" s="48"/>
      <c r="CG401" s="48"/>
      <c r="CH401" s="48"/>
      <c r="CI401" s="48"/>
      <c r="CJ401" s="48"/>
      <c r="CK401" s="48"/>
      <c r="CL401" s="48"/>
      <c r="CM401" s="48"/>
      <c r="CN401" s="48"/>
      <c r="CO401" s="48"/>
      <c r="CP401" s="48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  <c r="DA401" s="48"/>
      <c r="DB401" s="48"/>
      <c r="DC401" s="48"/>
      <c r="DD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175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175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8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175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175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  <c r="CE403" s="48"/>
      <c r="CF403" s="48"/>
      <c r="CG403" s="48"/>
      <c r="CH403" s="48"/>
      <c r="CI403" s="48"/>
      <c r="CJ403" s="48"/>
      <c r="CK403" s="48"/>
      <c r="CL403" s="48"/>
      <c r="CM403" s="48"/>
      <c r="CN403" s="48"/>
      <c r="CO403" s="48"/>
      <c r="CP403" s="48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  <c r="DA403" s="48"/>
      <c r="DB403" s="48"/>
      <c r="DC403" s="48"/>
      <c r="DD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175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175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  <c r="CE404" s="48"/>
      <c r="CF404" s="48"/>
      <c r="CG404" s="48"/>
      <c r="CH404" s="48"/>
      <c r="CI404" s="48"/>
      <c r="CJ404" s="48"/>
      <c r="CK404" s="48"/>
      <c r="CL404" s="48"/>
      <c r="CM404" s="48"/>
      <c r="CN404" s="48"/>
      <c r="CO404" s="48"/>
      <c r="CP404" s="48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  <c r="DA404" s="48"/>
      <c r="DB404" s="48"/>
      <c r="DC404" s="48"/>
      <c r="DD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175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175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  <c r="CE405" s="48"/>
      <c r="CF405" s="48"/>
      <c r="CG405" s="48"/>
      <c r="CH405" s="48"/>
      <c r="CI405" s="48"/>
      <c r="CJ405" s="48"/>
      <c r="CK405" s="48"/>
      <c r="CL405" s="48"/>
      <c r="CM405" s="48"/>
      <c r="CN405" s="48"/>
      <c r="CO405" s="48"/>
      <c r="CP405" s="48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  <c r="DA405" s="48"/>
      <c r="DB405" s="48"/>
      <c r="DC405" s="48"/>
      <c r="DD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175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175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  <c r="CE406" s="48"/>
      <c r="CF406" s="48"/>
      <c r="CG406" s="48"/>
      <c r="CH406" s="48"/>
      <c r="CI406" s="48"/>
      <c r="CJ406" s="48"/>
      <c r="CK406" s="48"/>
      <c r="CL406" s="48"/>
      <c r="CM406" s="48"/>
      <c r="CN406" s="48"/>
      <c r="CO406" s="48"/>
      <c r="CP406" s="48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  <c r="DA406" s="48"/>
      <c r="DB406" s="48"/>
      <c r="DC406" s="48"/>
      <c r="DD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175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175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  <c r="CE407" s="48"/>
      <c r="CF407" s="48"/>
      <c r="CG407" s="48"/>
      <c r="CH407" s="48"/>
      <c r="CI407" s="48"/>
      <c r="CJ407" s="48"/>
      <c r="CK407" s="48"/>
      <c r="CL407" s="48"/>
      <c r="CM407" s="48"/>
      <c r="CN407" s="48"/>
      <c r="CO407" s="48"/>
      <c r="CP407" s="48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  <c r="DA407" s="48"/>
      <c r="DB407" s="48"/>
      <c r="DC407" s="48"/>
      <c r="DD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175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175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  <c r="CE408" s="48"/>
      <c r="CF408" s="48"/>
      <c r="CG408" s="48"/>
      <c r="CH408" s="48"/>
      <c r="CI408" s="48"/>
      <c r="CJ408" s="48"/>
      <c r="CK408" s="48"/>
      <c r="CL408" s="48"/>
      <c r="CM408" s="48"/>
      <c r="CN408" s="48"/>
      <c r="CO408" s="48"/>
      <c r="CP408" s="48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  <c r="DA408" s="48"/>
      <c r="DB408" s="48"/>
      <c r="DC408" s="48"/>
      <c r="DD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175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175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8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175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175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  <c r="CE410" s="48"/>
      <c r="CF410" s="48"/>
      <c r="CG410" s="48"/>
      <c r="CH410" s="48"/>
      <c r="CI410" s="48"/>
      <c r="CJ410" s="48"/>
      <c r="CK410" s="48"/>
      <c r="CL410" s="48"/>
      <c r="CM410" s="48"/>
      <c r="CN410" s="48"/>
      <c r="CO410" s="48"/>
      <c r="CP410" s="48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  <c r="DA410" s="48"/>
      <c r="DB410" s="48"/>
      <c r="DC410" s="48"/>
      <c r="DD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175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175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  <c r="CE411" s="48"/>
      <c r="CF411" s="48"/>
      <c r="CG411" s="48"/>
      <c r="CH411" s="48"/>
      <c r="CI411" s="48"/>
      <c r="CJ411" s="48"/>
      <c r="CK411" s="48"/>
      <c r="CL411" s="48"/>
      <c r="CM411" s="48"/>
      <c r="CN411" s="48"/>
      <c r="CO411" s="48"/>
      <c r="CP411" s="48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  <c r="DA411" s="48"/>
      <c r="DB411" s="48"/>
      <c r="DC411" s="48"/>
      <c r="DD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175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175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8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175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175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  <c r="CE413" s="48"/>
      <c r="CF413" s="48"/>
      <c r="CG413" s="48"/>
      <c r="CH413" s="48"/>
      <c r="CI413" s="48"/>
      <c r="CJ413" s="48"/>
      <c r="CK413" s="48"/>
      <c r="CL413" s="48"/>
      <c r="CM413" s="48"/>
      <c r="CN413" s="48"/>
      <c r="CO413" s="48"/>
      <c r="CP413" s="48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  <c r="DA413" s="48"/>
      <c r="DB413" s="48"/>
      <c r="DC413" s="48"/>
      <c r="DD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175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175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  <c r="CE414" s="48"/>
      <c r="CF414" s="48"/>
      <c r="CG414" s="48"/>
      <c r="CH414" s="48"/>
      <c r="CI414" s="48"/>
      <c r="CJ414" s="48"/>
      <c r="CK414" s="48"/>
      <c r="CL414" s="48"/>
      <c r="CM414" s="48"/>
      <c r="CN414" s="48"/>
      <c r="CO414" s="48"/>
      <c r="CP414" s="48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  <c r="DA414" s="48"/>
      <c r="DB414" s="48"/>
      <c r="DC414" s="48"/>
      <c r="DD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175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175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  <c r="CE415" s="48"/>
      <c r="CF415" s="48"/>
      <c r="CG415" s="48"/>
      <c r="CH415" s="48"/>
      <c r="CI415" s="48"/>
      <c r="CJ415" s="48"/>
      <c r="CK415" s="48"/>
      <c r="CL415" s="48"/>
      <c r="CM415" s="48"/>
      <c r="CN415" s="48"/>
      <c r="CO415" s="48"/>
      <c r="CP415" s="48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  <c r="DA415" s="48"/>
      <c r="DB415" s="48"/>
      <c r="DC415" s="48"/>
      <c r="DD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175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175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8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175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175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8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175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175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  <c r="CE418" s="48"/>
      <c r="CF418" s="48"/>
      <c r="CG418" s="48"/>
      <c r="CH418" s="48"/>
      <c r="CI418" s="48"/>
      <c r="CJ418" s="48"/>
      <c r="CK418" s="48"/>
      <c r="CL418" s="48"/>
      <c r="CM418" s="48"/>
      <c r="CN418" s="48"/>
      <c r="CO418" s="48"/>
      <c r="CP418" s="48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  <c r="DA418" s="48"/>
      <c r="DB418" s="48"/>
      <c r="DC418" s="48"/>
      <c r="DD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175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175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  <c r="CE419" s="48"/>
      <c r="CF419" s="48"/>
      <c r="CG419" s="48"/>
      <c r="CH419" s="48"/>
      <c r="CI419" s="48"/>
      <c r="CJ419" s="48"/>
      <c r="CK419" s="48"/>
      <c r="CL419" s="48"/>
      <c r="CM419" s="48"/>
      <c r="CN419" s="48"/>
      <c r="CO419" s="48"/>
      <c r="CP419" s="48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  <c r="DA419" s="48"/>
      <c r="DB419" s="48"/>
      <c r="DC419" s="48"/>
      <c r="DD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175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175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  <c r="CE420" s="48"/>
      <c r="CF420" s="48"/>
      <c r="CG420" s="48"/>
      <c r="CH420" s="48"/>
      <c r="CI420" s="48"/>
      <c r="CJ420" s="48"/>
      <c r="CK420" s="48"/>
      <c r="CL420" s="48"/>
      <c r="CM420" s="48"/>
      <c r="CN420" s="48"/>
      <c r="CO420" s="48"/>
      <c r="CP420" s="48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  <c r="DA420" s="48"/>
      <c r="DB420" s="48"/>
      <c r="DC420" s="48"/>
      <c r="DD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175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175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8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175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175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  <c r="CE422" s="48"/>
      <c r="CF422" s="48"/>
      <c r="CG422" s="48"/>
      <c r="CH422" s="48"/>
      <c r="CI422" s="48"/>
      <c r="CJ422" s="48"/>
      <c r="CK422" s="48"/>
      <c r="CL422" s="48"/>
      <c r="CM422" s="48"/>
      <c r="CN422" s="48"/>
      <c r="CO422" s="48"/>
      <c r="CP422" s="48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  <c r="DA422" s="48"/>
      <c r="DB422" s="48"/>
      <c r="DC422" s="48"/>
      <c r="DD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175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175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  <c r="CE423" s="48"/>
      <c r="CF423" s="48"/>
      <c r="CG423" s="48"/>
      <c r="CH423" s="48"/>
      <c r="CI423" s="48"/>
      <c r="CJ423" s="48"/>
      <c r="CK423" s="48"/>
      <c r="CL423" s="48"/>
      <c r="CM423" s="48"/>
      <c r="CN423" s="48"/>
      <c r="CO423" s="48"/>
      <c r="CP423" s="48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  <c r="DA423" s="48"/>
      <c r="DB423" s="48"/>
      <c r="DC423" s="48"/>
      <c r="DD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175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175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  <c r="CE424" s="48"/>
      <c r="CF424" s="48"/>
      <c r="CG424" s="48"/>
      <c r="CH424" s="48"/>
      <c r="CI424" s="48"/>
      <c r="CJ424" s="48"/>
      <c r="CK424" s="48"/>
      <c r="CL424" s="48"/>
      <c r="CM424" s="48"/>
      <c r="CN424" s="48"/>
      <c r="CO424" s="48"/>
      <c r="CP424" s="48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  <c r="DA424" s="48"/>
      <c r="DB424" s="48"/>
      <c r="DC424" s="48"/>
      <c r="DD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175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175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  <c r="CE425" s="48"/>
      <c r="CF425" s="48"/>
      <c r="CG425" s="48"/>
      <c r="CH425" s="48"/>
      <c r="CI425" s="48"/>
      <c r="CJ425" s="48"/>
      <c r="CK425" s="48"/>
      <c r="CL425" s="48"/>
      <c r="CM425" s="48"/>
      <c r="CN425" s="48"/>
      <c r="CO425" s="48"/>
      <c r="CP425" s="48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  <c r="DA425" s="48"/>
      <c r="DB425" s="48"/>
      <c r="DC425" s="48"/>
      <c r="DD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175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175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  <c r="CE426" s="48"/>
      <c r="CF426" s="48"/>
      <c r="CG426" s="48"/>
      <c r="CH426" s="48"/>
      <c r="CI426" s="48"/>
      <c r="CJ426" s="48"/>
      <c r="CK426" s="48"/>
      <c r="CL426" s="48"/>
      <c r="CM426" s="48"/>
      <c r="CN426" s="48"/>
      <c r="CO426" s="48"/>
      <c r="CP426" s="48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  <c r="DA426" s="48"/>
      <c r="DB426" s="48"/>
      <c r="DC426" s="48"/>
      <c r="DD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175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175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  <c r="CE427" s="48"/>
      <c r="CF427" s="48"/>
      <c r="CG427" s="48"/>
      <c r="CH427" s="48"/>
      <c r="CI427" s="48"/>
      <c r="CJ427" s="48"/>
      <c r="CK427" s="48"/>
      <c r="CL427" s="48"/>
      <c r="CM427" s="48"/>
      <c r="CN427" s="48"/>
      <c r="CO427" s="48"/>
      <c r="CP427" s="48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  <c r="DA427" s="48"/>
      <c r="DB427" s="48"/>
      <c r="DC427" s="48"/>
      <c r="DD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175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175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  <c r="CE428" s="48"/>
      <c r="CF428" s="48"/>
      <c r="CG428" s="48"/>
      <c r="CH428" s="48"/>
      <c r="CI428" s="48"/>
      <c r="CJ428" s="48"/>
      <c r="CK428" s="48"/>
      <c r="CL428" s="48"/>
      <c r="CM428" s="48"/>
      <c r="CN428" s="48"/>
      <c r="CO428" s="48"/>
      <c r="CP428" s="48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  <c r="DA428" s="48"/>
      <c r="DB428" s="48"/>
      <c r="DC428" s="48"/>
      <c r="DD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175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175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  <c r="CE429" s="48"/>
      <c r="CF429" s="48"/>
      <c r="CG429" s="48"/>
      <c r="CH429" s="48"/>
      <c r="CI429" s="48"/>
      <c r="CJ429" s="48"/>
      <c r="CK429" s="48"/>
      <c r="CL429" s="48"/>
      <c r="CM429" s="48"/>
      <c r="CN429" s="48"/>
      <c r="CO429" s="48"/>
      <c r="CP429" s="48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  <c r="DA429" s="48"/>
      <c r="DB429" s="48"/>
      <c r="DC429" s="48"/>
      <c r="DD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175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175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  <c r="CE430" s="48"/>
      <c r="CF430" s="48"/>
      <c r="CG430" s="48"/>
      <c r="CH430" s="48"/>
      <c r="CI430" s="48"/>
      <c r="CJ430" s="48"/>
      <c r="CK430" s="48"/>
      <c r="CL430" s="48"/>
      <c r="CM430" s="48"/>
      <c r="CN430" s="48"/>
      <c r="CO430" s="48"/>
      <c r="CP430" s="48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  <c r="DA430" s="48"/>
      <c r="DB430" s="48"/>
      <c r="DC430" s="48"/>
      <c r="DD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175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175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  <c r="CE431" s="48"/>
      <c r="CF431" s="48"/>
      <c r="CG431" s="48"/>
      <c r="CH431" s="48"/>
      <c r="CI431" s="48"/>
      <c r="CJ431" s="48"/>
      <c r="CK431" s="48"/>
      <c r="CL431" s="48"/>
      <c r="CM431" s="48"/>
      <c r="CN431" s="48"/>
      <c r="CO431" s="48"/>
      <c r="CP431" s="48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  <c r="DA431" s="48"/>
      <c r="DB431" s="48"/>
      <c r="DC431" s="48"/>
      <c r="DD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175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175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  <c r="CE432" s="48"/>
      <c r="CF432" s="48"/>
      <c r="CG432" s="48"/>
      <c r="CH432" s="48"/>
      <c r="CI432" s="48"/>
      <c r="CJ432" s="48"/>
      <c r="CK432" s="48"/>
      <c r="CL432" s="48"/>
      <c r="CM432" s="48"/>
      <c r="CN432" s="48"/>
      <c r="CO432" s="48"/>
      <c r="CP432" s="48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  <c r="DA432" s="48"/>
      <c r="DB432" s="48"/>
      <c r="DC432" s="48"/>
      <c r="DD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175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175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  <c r="CE433" s="48"/>
      <c r="CF433" s="48"/>
      <c r="CG433" s="48"/>
      <c r="CH433" s="48"/>
      <c r="CI433" s="48"/>
      <c r="CJ433" s="48"/>
      <c r="CK433" s="48"/>
      <c r="CL433" s="48"/>
      <c r="CM433" s="48"/>
      <c r="CN433" s="48"/>
      <c r="CO433" s="48"/>
      <c r="CP433" s="48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  <c r="DA433" s="48"/>
      <c r="DB433" s="48"/>
      <c r="DC433" s="48"/>
      <c r="DD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175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175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  <c r="CE434" s="48"/>
      <c r="CF434" s="48"/>
      <c r="CG434" s="48"/>
      <c r="CH434" s="48"/>
      <c r="CI434" s="48"/>
      <c r="CJ434" s="48"/>
      <c r="CK434" s="48"/>
      <c r="CL434" s="48"/>
      <c r="CM434" s="48"/>
      <c r="CN434" s="48"/>
      <c r="CO434" s="48"/>
      <c r="CP434" s="48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  <c r="DA434" s="48"/>
      <c r="DB434" s="48"/>
      <c r="DC434" s="48"/>
      <c r="DD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175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175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  <c r="CE435" s="48"/>
      <c r="CF435" s="48"/>
      <c r="CG435" s="48"/>
      <c r="CH435" s="48"/>
      <c r="CI435" s="48"/>
      <c r="CJ435" s="48"/>
      <c r="CK435" s="48"/>
      <c r="CL435" s="48"/>
      <c r="CM435" s="48"/>
      <c r="CN435" s="48"/>
      <c r="CO435" s="48"/>
      <c r="CP435" s="48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  <c r="DA435" s="48"/>
      <c r="DB435" s="48"/>
      <c r="DC435" s="48"/>
      <c r="DD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175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175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  <c r="CE436" s="48"/>
      <c r="CF436" s="48"/>
      <c r="CG436" s="48"/>
      <c r="CH436" s="48"/>
      <c r="CI436" s="48"/>
      <c r="CJ436" s="48"/>
      <c r="CK436" s="48"/>
      <c r="CL436" s="48"/>
      <c r="CM436" s="48"/>
      <c r="CN436" s="48"/>
      <c r="CO436" s="48"/>
      <c r="CP436" s="48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  <c r="DA436" s="48"/>
      <c r="DB436" s="48"/>
      <c r="DC436" s="48"/>
      <c r="DD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175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175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  <c r="CE437" s="48"/>
      <c r="CF437" s="48"/>
      <c r="CG437" s="48"/>
      <c r="CH437" s="48"/>
      <c r="CI437" s="48"/>
      <c r="CJ437" s="48"/>
      <c r="CK437" s="48"/>
      <c r="CL437" s="48"/>
      <c r="CM437" s="48"/>
      <c r="CN437" s="48"/>
      <c r="CO437" s="48"/>
      <c r="CP437" s="48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  <c r="DA437" s="48"/>
      <c r="DB437" s="48"/>
      <c r="DC437" s="48"/>
      <c r="DD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175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175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  <c r="CE438" s="48"/>
      <c r="CF438" s="48"/>
      <c r="CG438" s="48"/>
      <c r="CH438" s="48"/>
      <c r="CI438" s="48"/>
      <c r="CJ438" s="48"/>
      <c r="CK438" s="48"/>
      <c r="CL438" s="48"/>
      <c r="CM438" s="48"/>
      <c r="CN438" s="48"/>
      <c r="CO438" s="48"/>
      <c r="CP438" s="48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  <c r="DA438" s="48"/>
      <c r="DB438" s="48"/>
      <c r="DC438" s="48"/>
      <c r="DD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175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175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  <c r="CE439" s="48"/>
      <c r="CF439" s="48"/>
      <c r="CG439" s="48"/>
      <c r="CH439" s="48"/>
      <c r="CI439" s="48"/>
      <c r="CJ439" s="48"/>
      <c r="CK439" s="48"/>
      <c r="CL439" s="48"/>
      <c r="CM439" s="48"/>
      <c r="CN439" s="48"/>
      <c r="CO439" s="48"/>
      <c r="CP439" s="48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  <c r="DA439" s="48"/>
      <c r="DB439" s="48"/>
      <c r="DC439" s="48"/>
      <c r="DD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175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175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  <c r="CE440" s="48"/>
      <c r="CF440" s="48"/>
      <c r="CG440" s="48"/>
      <c r="CH440" s="48"/>
      <c r="CI440" s="48"/>
      <c r="CJ440" s="48"/>
      <c r="CK440" s="48"/>
      <c r="CL440" s="48"/>
      <c r="CM440" s="48"/>
      <c r="CN440" s="48"/>
      <c r="CO440" s="48"/>
      <c r="CP440" s="48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  <c r="DA440" s="48"/>
      <c r="DB440" s="48"/>
      <c r="DC440" s="48"/>
      <c r="DD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175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175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  <c r="CE441" s="48"/>
      <c r="CF441" s="48"/>
      <c r="CG441" s="48"/>
      <c r="CH441" s="48"/>
      <c r="CI441" s="48"/>
      <c r="CJ441" s="48"/>
      <c r="CK441" s="48"/>
      <c r="CL441" s="48"/>
      <c r="CM441" s="48"/>
      <c r="CN441" s="48"/>
      <c r="CO441" s="48"/>
      <c r="CP441" s="48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  <c r="DA441" s="48"/>
      <c r="DB441" s="48"/>
      <c r="DC441" s="48"/>
      <c r="DD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175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175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  <c r="CE442" s="48"/>
      <c r="CF442" s="48"/>
      <c r="CG442" s="48"/>
      <c r="CH442" s="48"/>
      <c r="CI442" s="48"/>
      <c r="CJ442" s="48"/>
      <c r="CK442" s="48"/>
      <c r="CL442" s="48"/>
      <c r="CM442" s="48"/>
      <c r="CN442" s="48"/>
      <c r="CO442" s="48"/>
      <c r="CP442" s="48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  <c r="DA442" s="48"/>
      <c r="DB442" s="48"/>
      <c r="DC442" s="48"/>
      <c r="DD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175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175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  <c r="CE443" s="48"/>
      <c r="CF443" s="48"/>
      <c r="CG443" s="48"/>
      <c r="CH443" s="48"/>
      <c r="CI443" s="48"/>
      <c r="CJ443" s="48"/>
      <c r="CK443" s="48"/>
      <c r="CL443" s="48"/>
      <c r="CM443" s="48"/>
      <c r="CN443" s="48"/>
      <c r="CO443" s="48"/>
      <c r="CP443" s="48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  <c r="DA443" s="48"/>
      <c r="DB443" s="48"/>
      <c r="DC443" s="48"/>
      <c r="DD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175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175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  <c r="CE444" s="48"/>
      <c r="CF444" s="48"/>
      <c r="CG444" s="48"/>
      <c r="CH444" s="48"/>
      <c r="CI444" s="48"/>
      <c r="CJ444" s="48"/>
      <c r="CK444" s="48"/>
      <c r="CL444" s="48"/>
      <c r="CM444" s="48"/>
      <c r="CN444" s="48"/>
      <c r="CO444" s="48"/>
      <c r="CP444" s="48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  <c r="DA444" s="48"/>
      <c r="DB444" s="48"/>
      <c r="DC444" s="48"/>
      <c r="DD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175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175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  <c r="CE445" s="48"/>
      <c r="CF445" s="48"/>
      <c r="CG445" s="48"/>
      <c r="CH445" s="48"/>
      <c r="CI445" s="48"/>
      <c r="CJ445" s="48"/>
      <c r="CK445" s="48"/>
      <c r="CL445" s="48"/>
      <c r="CM445" s="48"/>
      <c r="CN445" s="48"/>
      <c r="CO445" s="48"/>
      <c r="CP445" s="48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  <c r="DA445" s="48"/>
      <c r="DB445" s="48"/>
      <c r="DC445" s="48"/>
      <c r="DD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175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175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  <c r="CE446" s="48"/>
      <c r="CF446" s="48"/>
      <c r="CG446" s="48"/>
      <c r="CH446" s="48"/>
      <c r="CI446" s="48"/>
      <c r="CJ446" s="48"/>
      <c r="CK446" s="48"/>
      <c r="CL446" s="48"/>
      <c r="CM446" s="48"/>
      <c r="CN446" s="48"/>
      <c r="CO446" s="48"/>
      <c r="CP446" s="48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  <c r="DA446" s="48"/>
      <c r="DB446" s="48"/>
      <c r="DC446" s="48"/>
      <c r="DD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175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175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8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175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175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  <c r="CE448" s="48"/>
      <c r="CF448" s="48"/>
      <c r="CG448" s="48"/>
      <c r="CH448" s="48"/>
      <c r="CI448" s="48"/>
      <c r="CJ448" s="48"/>
      <c r="CK448" s="48"/>
      <c r="CL448" s="48"/>
      <c r="CM448" s="48"/>
      <c r="CN448" s="48"/>
      <c r="CO448" s="48"/>
      <c r="CP448" s="48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  <c r="DA448" s="48"/>
      <c r="DB448" s="48"/>
      <c r="DC448" s="48"/>
      <c r="DD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175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175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  <c r="CE449" s="48"/>
      <c r="CF449" s="48"/>
      <c r="CG449" s="48"/>
      <c r="CH449" s="48"/>
      <c r="CI449" s="48"/>
      <c r="CJ449" s="48"/>
      <c r="CK449" s="48"/>
      <c r="CL449" s="48"/>
      <c r="CM449" s="48"/>
      <c r="CN449" s="48"/>
      <c r="CO449" s="48"/>
      <c r="CP449" s="48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  <c r="DA449" s="48"/>
      <c r="DB449" s="48"/>
      <c r="DC449" s="48"/>
      <c r="DD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175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175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8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175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175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  <c r="CE451" s="48"/>
      <c r="CF451" s="48"/>
      <c r="CG451" s="48"/>
      <c r="CH451" s="48"/>
      <c r="CI451" s="48"/>
      <c r="CJ451" s="48"/>
      <c r="CK451" s="48"/>
      <c r="CL451" s="48"/>
      <c r="CM451" s="48"/>
      <c r="CN451" s="48"/>
      <c r="CO451" s="48"/>
      <c r="CP451" s="48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  <c r="DA451" s="48"/>
      <c r="DB451" s="48"/>
      <c r="DC451" s="48"/>
      <c r="DD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175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175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  <c r="CE452" s="48"/>
      <c r="CF452" s="48"/>
      <c r="CG452" s="48"/>
      <c r="CH452" s="48"/>
      <c r="CI452" s="48"/>
      <c r="CJ452" s="48"/>
      <c r="CK452" s="48"/>
      <c r="CL452" s="48"/>
      <c r="CM452" s="48"/>
      <c r="CN452" s="48"/>
      <c r="CO452" s="48"/>
      <c r="CP452" s="48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  <c r="DA452" s="48"/>
      <c r="DB452" s="48"/>
      <c r="DC452" s="48"/>
      <c r="DD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175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175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  <c r="CE453" s="48"/>
      <c r="CF453" s="48"/>
      <c r="CG453" s="48"/>
      <c r="CH453" s="48"/>
      <c r="CI453" s="48"/>
      <c r="CJ453" s="48"/>
      <c r="CK453" s="48"/>
      <c r="CL453" s="48"/>
      <c r="CM453" s="48"/>
      <c r="CN453" s="48"/>
      <c r="CO453" s="48"/>
      <c r="CP453" s="48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  <c r="DA453" s="48"/>
      <c r="DB453" s="48"/>
      <c r="DC453" s="48"/>
      <c r="DD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175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175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8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175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175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  <c r="CE455" s="48"/>
      <c r="CF455" s="48"/>
      <c r="CG455" s="48"/>
      <c r="CH455" s="48"/>
      <c r="CI455" s="48"/>
      <c r="CJ455" s="48"/>
      <c r="CK455" s="48"/>
      <c r="CL455" s="48"/>
      <c r="CM455" s="48"/>
      <c r="CN455" s="48"/>
      <c r="CO455" s="48"/>
      <c r="CP455" s="48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  <c r="DA455" s="48"/>
      <c r="DB455" s="48"/>
      <c r="DC455" s="48"/>
      <c r="DD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175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175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  <c r="CE456" s="48"/>
      <c r="CF456" s="48"/>
      <c r="CG456" s="48"/>
      <c r="CH456" s="48"/>
      <c r="CI456" s="48"/>
      <c r="CJ456" s="48"/>
      <c r="CK456" s="48"/>
      <c r="CL456" s="48"/>
      <c r="CM456" s="48"/>
      <c r="CN456" s="48"/>
      <c r="CO456" s="48"/>
      <c r="CP456" s="48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  <c r="DA456" s="48"/>
      <c r="DB456" s="48"/>
      <c r="DC456" s="48"/>
      <c r="DD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175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175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  <c r="CE457" s="48"/>
      <c r="CF457" s="48"/>
      <c r="CG457" s="48"/>
      <c r="CH457" s="48"/>
      <c r="CI457" s="48"/>
      <c r="CJ457" s="48"/>
      <c r="CK457" s="48"/>
      <c r="CL457" s="48"/>
      <c r="CM457" s="48"/>
      <c r="CN457" s="48"/>
      <c r="CO457" s="48"/>
      <c r="CP457" s="48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  <c r="DA457" s="48"/>
      <c r="DB457" s="48"/>
      <c r="DC457" s="48"/>
      <c r="DD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175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175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  <c r="CE458" s="48"/>
      <c r="CF458" s="48"/>
      <c r="CG458" s="48"/>
      <c r="CH458" s="48"/>
      <c r="CI458" s="48"/>
      <c r="CJ458" s="48"/>
      <c r="CK458" s="48"/>
      <c r="CL458" s="48"/>
      <c r="CM458" s="48"/>
      <c r="CN458" s="48"/>
      <c r="CO458" s="48"/>
      <c r="CP458" s="48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  <c r="DA458" s="48"/>
      <c r="DB458" s="48"/>
      <c r="DC458" s="48"/>
      <c r="DD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175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175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  <c r="CE459" s="48"/>
      <c r="CF459" s="48"/>
      <c r="CG459" s="48"/>
      <c r="CH459" s="48"/>
      <c r="CI459" s="48"/>
      <c r="CJ459" s="48"/>
      <c r="CK459" s="48"/>
      <c r="CL459" s="48"/>
      <c r="CM459" s="48"/>
      <c r="CN459" s="48"/>
      <c r="CO459" s="48"/>
      <c r="CP459" s="48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  <c r="DA459" s="48"/>
      <c r="DB459" s="48"/>
      <c r="DC459" s="48"/>
      <c r="DD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175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175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8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175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175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8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175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175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  <c r="CE462" s="48"/>
      <c r="CF462" s="48"/>
      <c r="CG462" s="48"/>
      <c r="CH462" s="48"/>
      <c r="CI462" s="48"/>
      <c r="CJ462" s="48"/>
      <c r="CK462" s="48"/>
      <c r="CL462" s="48"/>
      <c r="CM462" s="48"/>
      <c r="CN462" s="48"/>
      <c r="CO462" s="48"/>
      <c r="CP462" s="48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  <c r="DA462" s="48"/>
      <c r="DB462" s="48"/>
      <c r="DC462" s="48"/>
      <c r="DD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175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175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  <c r="CE463" s="48"/>
      <c r="CF463" s="48"/>
      <c r="CG463" s="48"/>
      <c r="CH463" s="48"/>
      <c r="CI463" s="48"/>
      <c r="CJ463" s="48"/>
      <c r="CK463" s="48"/>
      <c r="CL463" s="48"/>
      <c r="CM463" s="48"/>
      <c r="CN463" s="48"/>
      <c r="CO463" s="48"/>
      <c r="CP463" s="48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  <c r="DA463" s="48"/>
      <c r="DB463" s="48"/>
      <c r="DC463" s="48"/>
      <c r="DD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175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175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  <c r="CE464" s="48"/>
      <c r="CF464" s="48"/>
      <c r="CG464" s="48"/>
      <c r="CH464" s="48"/>
      <c r="CI464" s="48"/>
      <c r="CJ464" s="48"/>
      <c r="CK464" s="48"/>
      <c r="CL464" s="48"/>
      <c r="CM464" s="48"/>
      <c r="CN464" s="48"/>
      <c r="CO464" s="48"/>
      <c r="CP464" s="48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  <c r="DA464" s="48"/>
      <c r="DB464" s="48"/>
      <c r="DC464" s="48"/>
      <c r="DD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175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175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  <c r="CE465" s="48"/>
      <c r="CF465" s="48"/>
      <c r="CG465" s="48"/>
      <c r="CH465" s="48"/>
      <c r="CI465" s="48"/>
      <c r="CJ465" s="48"/>
      <c r="CK465" s="48"/>
      <c r="CL465" s="48"/>
      <c r="CM465" s="48"/>
      <c r="CN465" s="48"/>
      <c r="CO465" s="48"/>
      <c r="CP465" s="48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  <c r="DA465" s="48"/>
      <c r="DB465" s="48"/>
      <c r="DC465" s="48"/>
      <c r="DD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175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175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  <c r="CE466" s="48"/>
      <c r="CF466" s="48"/>
      <c r="CG466" s="48"/>
      <c r="CH466" s="48"/>
      <c r="CI466" s="48"/>
      <c r="CJ466" s="48"/>
      <c r="CK466" s="48"/>
      <c r="CL466" s="48"/>
      <c r="CM466" s="48"/>
      <c r="CN466" s="48"/>
      <c r="CO466" s="48"/>
      <c r="CP466" s="48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  <c r="DA466" s="48"/>
      <c r="DB466" s="48"/>
      <c r="DC466" s="48"/>
      <c r="DD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175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175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  <c r="CE467" s="48"/>
      <c r="CF467" s="48"/>
      <c r="CG467" s="48"/>
      <c r="CH467" s="48"/>
      <c r="CI467" s="48"/>
      <c r="CJ467" s="48"/>
      <c r="CK467" s="48"/>
      <c r="CL467" s="48"/>
      <c r="CM467" s="48"/>
      <c r="CN467" s="48"/>
      <c r="CO467" s="48"/>
      <c r="CP467" s="48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  <c r="DA467" s="48"/>
      <c r="DB467" s="48"/>
      <c r="DC467" s="48"/>
      <c r="DD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175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175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  <c r="CE468" s="48"/>
      <c r="CF468" s="48"/>
      <c r="CG468" s="48"/>
      <c r="CH468" s="48"/>
      <c r="CI468" s="48"/>
      <c r="CJ468" s="48"/>
      <c r="CK468" s="48"/>
      <c r="CL468" s="48"/>
      <c r="CM468" s="48"/>
      <c r="CN468" s="48"/>
      <c r="CO468" s="48"/>
      <c r="CP468" s="48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  <c r="DA468" s="48"/>
      <c r="DB468" s="48"/>
      <c r="DC468" s="48"/>
      <c r="DD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175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175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  <c r="CE469" s="48"/>
      <c r="CF469" s="48"/>
      <c r="CG469" s="48"/>
      <c r="CH469" s="48"/>
      <c r="CI469" s="48"/>
      <c r="CJ469" s="48"/>
      <c r="CK469" s="48"/>
      <c r="CL469" s="48"/>
      <c r="CM469" s="48"/>
      <c r="CN469" s="48"/>
      <c r="CO469" s="48"/>
      <c r="CP469" s="48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  <c r="DA469" s="48"/>
      <c r="DB469" s="48"/>
      <c r="DC469" s="48"/>
      <c r="DD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175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175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  <c r="CE470" s="48"/>
      <c r="CF470" s="48"/>
      <c r="CG470" s="48"/>
      <c r="CH470" s="48"/>
      <c r="CI470" s="48"/>
      <c r="CJ470" s="48"/>
      <c r="CK470" s="48"/>
      <c r="CL470" s="48"/>
      <c r="CM470" s="48"/>
      <c r="CN470" s="48"/>
      <c r="CO470" s="48"/>
      <c r="CP470" s="48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  <c r="DA470" s="48"/>
      <c r="DB470" s="48"/>
      <c r="DC470" s="48"/>
      <c r="DD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175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175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  <c r="CE471" s="48"/>
      <c r="CF471" s="48"/>
      <c r="CG471" s="48"/>
      <c r="CH471" s="48"/>
      <c r="CI471" s="48"/>
      <c r="CJ471" s="48"/>
      <c r="CK471" s="48"/>
      <c r="CL471" s="48"/>
      <c r="CM471" s="48"/>
      <c r="CN471" s="48"/>
      <c r="CO471" s="48"/>
      <c r="CP471" s="48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  <c r="DA471" s="48"/>
      <c r="DB471" s="48"/>
      <c r="DC471" s="48"/>
      <c r="DD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175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175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  <c r="CE472" s="48"/>
      <c r="CF472" s="48"/>
      <c r="CG472" s="48"/>
      <c r="CH472" s="48"/>
      <c r="CI472" s="48"/>
      <c r="CJ472" s="48"/>
      <c r="CK472" s="48"/>
      <c r="CL472" s="48"/>
      <c r="CM472" s="48"/>
      <c r="CN472" s="48"/>
      <c r="CO472" s="48"/>
      <c r="CP472" s="48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  <c r="DA472" s="48"/>
      <c r="DB472" s="48"/>
      <c r="DC472" s="48"/>
      <c r="DD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175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175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  <c r="CE473" s="48"/>
      <c r="CF473" s="48"/>
      <c r="CG473" s="48"/>
      <c r="CH473" s="48"/>
      <c r="CI473" s="48"/>
      <c r="CJ473" s="48"/>
      <c r="CK473" s="48"/>
      <c r="CL473" s="48"/>
      <c r="CM473" s="48"/>
      <c r="CN473" s="48"/>
      <c r="CO473" s="48"/>
      <c r="CP473" s="48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  <c r="DA473" s="48"/>
      <c r="DB473" s="48"/>
      <c r="DC473" s="48"/>
      <c r="DD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175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175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  <c r="CE474" s="48"/>
      <c r="CF474" s="48"/>
      <c r="CG474" s="48"/>
      <c r="CH474" s="48"/>
      <c r="CI474" s="48"/>
      <c r="CJ474" s="48"/>
      <c r="CK474" s="48"/>
      <c r="CL474" s="48"/>
      <c r="CM474" s="48"/>
      <c r="CN474" s="48"/>
      <c r="CO474" s="48"/>
      <c r="CP474" s="48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  <c r="DA474" s="48"/>
      <c r="DB474" s="48"/>
      <c r="DC474" s="48"/>
      <c r="DD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175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175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  <c r="CE475" s="48"/>
      <c r="CF475" s="48"/>
      <c r="CG475" s="48"/>
      <c r="CH475" s="48"/>
      <c r="CI475" s="48"/>
      <c r="CJ475" s="48"/>
      <c r="CK475" s="48"/>
      <c r="CL475" s="48"/>
      <c r="CM475" s="48"/>
      <c r="CN475" s="48"/>
      <c r="CO475" s="48"/>
      <c r="CP475" s="48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  <c r="DA475" s="48"/>
      <c r="DB475" s="48"/>
      <c r="DC475" s="48"/>
      <c r="DD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175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175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8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175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175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  <c r="CE477" s="48"/>
      <c r="CF477" s="48"/>
      <c r="CG477" s="48"/>
      <c r="CH477" s="48"/>
      <c r="CI477" s="48"/>
      <c r="CJ477" s="48"/>
      <c r="CK477" s="48"/>
      <c r="CL477" s="48"/>
      <c r="CM477" s="48"/>
      <c r="CN477" s="48"/>
      <c r="CO477" s="48"/>
      <c r="CP477" s="48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  <c r="DA477" s="48"/>
      <c r="DB477" s="48"/>
      <c r="DC477" s="48"/>
      <c r="DD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175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175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  <c r="CE478" s="48"/>
      <c r="CF478" s="48"/>
      <c r="CG478" s="48"/>
      <c r="CH478" s="48"/>
      <c r="CI478" s="48"/>
      <c r="CJ478" s="48"/>
      <c r="CK478" s="48"/>
      <c r="CL478" s="48"/>
      <c r="CM478" s="48"/>
      <c r="CN478" s="48"/>
      <c r="CO478" s="48"/>
      <c r="CP478" s="48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  <c r="DA478" s="48"/>
      <c r="DB478" s="48"/>
      <c r="DC478" s="48"/>
      <c r="DD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175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175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  <c r="CE479" s="48"/>
      <c r="CF479" s="48"/>
      <c r="CG479" s="48"/>
      <c r="CH479" s="48"/>
      <c r="CI479" s="48"/>
      <c r="CJ479" s="48"/>
      <c r="CK479" s="48"/>
      <c r="CL479" s="48"/>
      <c r="CM479" s="48"/>
      <c r="CN479" s="48"/>
      <c r="CO479" s="48"/>
      <c r="CP479" s="48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  <c r="DA479" s="48"/>
      <c r="DB479" s="48"/>
      <c r="DC479" s="48"/>
      <c r="DD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175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175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  <c r="CE480" s="48"/>
      <c r="CF480" s="48"/>
      <c r="CG480" s="48"/>
      <c r="CH480" s="48"/>
      <c r="CI480" s="48"/>
      <c r="CJ480" s="48"/>
      <c r="CK480" s="48"/>
      <c r="CL480" s="48"/>
      <c r="CM480" s="48"/>
      <c r="CN480" s="48"/>
      <c r="CO480" s="48"/>
      <c r="CP480" s="48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  <c r="DA480" s="48"/>
      <c r="DB480" s="48"/>
      <c r="DC480" s="48"/>
      <c r="DD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175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175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  <c r="CE481" s="48"/>
      <c r="CF481" s="48"/>
      <c r="CG481" s="48"/>
      <c r="CH481" s="48"/>
      <c r="CI481" s="48"/>
      <c r="CJ481" s="48"/>
      <c r="CK481" s="48"/>
      <c r="CL481" s="48"/>
      <c r="CM481" s="48"/>
      <c r="CN481" s="48"/>
      <c r="CO481" s="48"/>
      <c r="CP481" s="48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  <c r="DA481" s="48"/>
      <c r="DB481" s="48"/>
      <c r="DC481" s="48"/>
      <c r="DD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175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175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  <c r="CE482" s="48"/>
      <c r="CF482" s="48"/>
      <c r="CG482" s="48"/>
      <c r="CH482" s="48"/>
      <c r="CI482" s="48"/>
      <c r="CJ482" s="48"/>
      <c r="CK482" s="48"/>
      <c r="CL482" s="48"/>
      <c r="CM482" s="48"/>
      <c r="CN482" s="48"/>
      <c r="CO482" s="48"/>
      <c r="CP482" s="48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  <c r="DA482" s="48"/>
      <c r="DB482" s="48"/>
      <c r="DC482" s="48"/>
      <c r="DD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175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175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  <c r="CE483" s="48"/>
      <c r="CF483" s="48"/>
      <c r="CG483" s="48"/>
      <c r="CH483" s="48"/>
      <c r="CI483" s="48"/>
      <c r="CJ483" s="48"/>
      <c r="CK483" s="48"/>
      <c r="CL483" s="48"/>
      <c r="CM483" s="48"/>
      <c r="CN483" s="48"/>
      <c r="CO483" s="48"/>
      <c r="CP483" s="48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  <c r="DA483" s="48"/>
      <c r="DB483" s="48"/>
      <c r="DC483" s="48"/>
      <c r="DD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175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175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8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175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175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8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175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175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  <c r="CE486" s="48"/>
      <c r="CF486" s="48"/>
      <c r="CG486" s="48"/>
      <c r="CH486" s="48"/>
      <c r="CI486" s="48"/>
      <c r="CJ486" s="48"/>
      <c r="CK486" s="48"/>
      <c r="CL486" s="48"/>
      <c r="CM486" s="48"/>
      <c r="CN486" s="48"/>
      <c r="CO486" s="48"/>
      <c r="CP486" s="48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  <c r="DA486" s="48"/>
      <c r="DB486" s="48"/>
      <c r="DC486" s="48"/>
      <c r="DD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175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175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8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175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175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  <c r="CE488" s="48"/>
      <c r="CF488" s="48"/>
      <c r="CG488" s="48"/>
      <c r="CH488" s="48"/>
      <c r="CI488" s="48"/>
      <c r="CJ488" s="48"/>
      <c r="CK488" s="48"/>
      <c r="CL488" s="48"/>
      <c r="CM488" s="48"/>
      <c r="CN488" s="48"/>
      <c r="CO488" s="48"/>
      <c r="CP488" s="48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  <c r="DA488" s="48"/>
      <c r="DB488" s="48"/>
      <c r="DC488" s="48"/>
      <c r="DD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175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175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  <c r="CE489" s="48"/>
      <c r="CF489" s="48"/>
      <c r="CG489" s="48"/>
      <c r="CH489" s="48"/>
      <c r="CI489" s="48"/>
      <c r="CJ489" s="48"/>
      <c r="CK489" s="48"/>
      <c r="CL489" s="48"/>
      <c r="CM489" s="48"/>
      <c r="CN489" s="48"/>
      <c r="CO489" s="48"/>
      <c r="CP489" s="48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  <c r="DA489" s="48"/>
      <c r="DB489" s="48"/>
      <c r="DC489" s="48"/>
      <c r="DD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175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175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  <c r="CE490" s="48"/>
      <c r="CF490" s="48"/>
      <c r="CG490" s="48"/>
      <c r="CH490" s="48"/>
      <c r="CI490" s="48"/>
      <c r="CJ490" s="48"/>
      <c r="CK490" s="48"/>
      <c r="CL490" s="48"/>
      <c r="CM490" s="48"/>
      <c r="CN490" s="48"/>
      <c r="CO490" s="48"/>
      <c r="CP490" s="48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  <c r="DA490" s="48"/>
      <c r="DB490" s="48"/>
      <c r="DC490" s="48"/>
      <c r="DD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175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175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  <c r="CE491" s="48"/>
      <c r="CF491" s="48"/>
      <c r="CG491" s="48"/>
      <c r="CH491" s="48"/>
      <c r="CI491" s="48"/>
      <c r="CJ491" s="48"/>
      <c r="CK491" s="48"/>
      <c r="CL491" s="48"/>
      <c r="CM491" s="48"/>
      <c r="CN491" s="48"/>
      <c r="CO491" s="48"/>
      <c r="CP491" s="48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  <c r="DA491" s="48"/>
      <c r="DB491" s="48"/>
      <c r="DC491" s="48"/>
      <c r="DD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175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175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  <c r="CE492" s="48"/>
      <c r="CF492" s="48"/>
      <c r="CG492" s="48"/>
      <c r="CH492" s="48"/>
      <c r="CI492" s="48"/>
      <c r="CJ492" s="48"/>
      <c r="CK492" s="48"/>
      <c r="CL492" s="48"/>
      <c r="CM492" s="48"/>
      <c r="CN492" s="48"/>
      <c r="CO492" s="48"/>
      <c r="CP492" s="48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  <c r="DA492" s="48"/>
      <c r="DB492" s="48"/>
      <c r="DC492" s="48"/>
      <c r="DD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175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175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  <c r="CE493" s="48"/>
      <c r="CF493" s="48"/>
      <c r="CG493" s="48"/>
      <c r="CH493" s="48"/>
      <c r="CI493" s="48"/>
      <c r="CJ493" s="48"/>
      <c r="CK493" s="48"/>
      <c r="CL493" s="48"/>
      <c r="CM493" s="48"/>
      <c r="CN493" s="48"/>
      <c r="CO493" s="48"/>
      <c r="CP493" s="48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  <c r="DA493" s="48"/>
      <c r="DB493" s="48"/>
      <c r="DC493" s="48"/>
      <c r="DD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175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175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  <c r="CE494" s="48"/>
      <c r="CF494" s="48"/>
      <c r="CG494" s="48"/>
      <c r="CH494" s="48"/>
      <c r="CI494" s="48"/>
      <c r="CJ494" s="48"/>
      <c r="CK494" s="48"/>
      <c r="CL494" s="48"/>
      <c r="CM494" s="48"/>
      <c r="CN494" s="48"/>
      <c r="CO494" s="48"/>
      <c r="CP494" s="48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  <c r="DA494" s="48"/>
      <c r="DB494" s="48"/>
      <c r="DC494" s="48"/>
      <c r="DD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175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175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  <c r="CE495" s="48"/>
      <c r="CF495" s="48"/>
      <c r="CG495" s="48"/>
      <c r="CH495" s="48"/>
      <c r="CI495" s="48"/>
      <c r="CJ495" s="48"/>
      <c r="CK495" s="48"/>
      <c r="CL495" s="48"/>
      <c r="CM495" s="48"/>
      <c r="CN495" s="48"/>
      <c r="CO495" s="48"/>
      <c r="CP495" s="48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  <c r="DA495" s="48"/>
      <c r="DB495" s="48"/>
      <c r="DC495" s="48"/>
      <c r="DD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175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175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  <c r="CE496" s="48"/>
      <c r="CF496" s="48"/>
      <c r="CG496" s="48"/>
      <c r="CH496" s="48"/>
      <c r="CI496" s="48"/>
      <c r="CJ496" s="48"/>
      <c r="CK496" s="48"/>
      <c r="CL496" s="48"/>
      <c r="CM496" s="48"/>
      <c r="CN496" s="48"/>
      <c r="CO496" s="48"/>
      <c r="CP496" s="48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  <c r="DA496" s="48"/>
      <c r="DB496" s="48"/>
      <c r="DC496" s="48"/>
      <c r="DD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175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175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  <c r="CE497" s="48"/>
      <c r="CF497" s="48"/>
      <c r="CG497" s="48"/>
      <c r="CH497" s="48"/>
      <c r="CI497" s="48"/>
      <c r="CJ497" s="48"/>
      <c r="CK497" s="48"/>
      <c r="CL497" s="48"/>
      <c r="CM497" s="48"/>
      <c r="CN497" s="48"/>
      <c r="CO497" s="48"/>
      <c r="CP497" s="48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  <c r="DA497" s="48"/>
      <c r="DB497" s="48"/>
      <c r="DC497" s="48"/>
      <c r="DD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175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175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  <c r="CE498" s="48"/>
      <c r="CF498" s="48"/>
      <c r="CG498" s="48"/>
      <c r="CH498" s="48"/>
      <c r="CI498" s="48"/>
      <c r="CJ498" s="48"/>
      <c r="CK498" s="48"/>
      <c r="CL498" s="48"/>
      <c r="CM498" s="48"/>
      <c r="CN498" s="48"/>
      <c r="CO498" s="48"/>
      <c r="CP498" s="48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  <c r="DA498" s="48"/>
      <c r="DB498" s="48"/>
      <c r="DC498" s="48"/>
      <c r="DD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175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175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  <c r="CE499" s="48"/>
      <c r="CF499" s="48"/>
      <c r="CG499" s="48"/>
      <c r="CH499" s="48"/>
      <c r="CI499" s="48"/>
      <c r="CJ499" s="48"/>
      <c r="CK499" s="48"/>
      <c r="CL499" s="48"/>
      <c r="CM499" s="48"/>
      <c r="CN499" s="48"/>
      <c r="CO499" s="48"/>
      <c r="CP499" s="48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  <c r="DA499" s="48"/>
      <c r="DB499" s="48"/>
      <c r="DC499" s="48"/>
      <c r="DD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175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175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  <c r="CE500" s="48"/>
      <c r="CF500" s="48"/>
      <c r="CG500" s="48"/>
      <c r="CH500" s="48"/>
      <c r="CI500" s="48"/>
      <c r="CJ500" s="48"/>
      <c r="CK500" s="48"/>
      <c r="CL500" s="48"/>
      <c r="CM500" s="48"/>
      <c r="CN500" s="48"/>
      <c r="CO500" s="48"/>
      <c r="CP500" s="48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  <c r="DA500" s="48"/>
      <c r="DB500" s="48"/>
      <c r="DC500" s="48"/>
      <c r="DD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175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175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  <c r="CE501" s="48"/>
      <c r="CF501" s="48"/>
      <c r="CG501" s="48"/>
      <c r="CH501" s="48"/>
      <c r="CI501" s="48"/>
      <c r="CJ501" s="48"/>
      <c r="CK501" s="48"/>
      <c r="CL501" s="48"/>
      <c r="CM501" s="48"/>
      <c r="CN501" s="48"/>
      <c r="CO501" s="48"/>
      <c r="CP501" s="48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  <c r="DA501" s="48"/>
      <c r="DB501" s="48"/>
      <c r="DC501" s="48"/>
      <c r="DD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175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175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  <c r="CE502" s="48"/>
      <c r="CF502" s="48"/>
      <c r="CG502" s="48"/>
      <c r="CH502" s="48"/>
      <c r="CI502" s="48"/>
      <c r="CJ502" s="48"/>
      <c r="CK502" s="48"/>
      <c r="CL502" s="48"/>
      <c r="CM502" s="48"/>
      <c r="CN502" s="48"/>
      <c r="CO502" s="48"/>
      <c r="CP502" s="48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  <c r="DA502" s="48"/>
      <c r="DB502" s="48"/>
      <c r="DC502" s="48"/>
      <c r="DD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175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175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  <c r="CE503" s="48"/>
      <c r="CF503" s="48"/>
      <c r="CG503" s="48"/>
      <c r="CH503" s="48"/>
      <c r="CI503" s="48"/>
      <c r="CJ503" s="48"/>
      <c r="CK503" s="48"/>
      <c r="CL503" s="48"/>
      <c r="CM503" s="48"/>
      <c r="CN503" s="48"/>
      <c r="CO503" s="48"/>
      <c r="CP503" s="48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  <c r="DA503" s="48"/>
      <c r="DB503" s="48"/>
      <c r="DC503" s="48"/>
      <c r="DD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175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175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  <c r="CE504" s="48"/>
      <c r="CF504" s="48"/>
      <c r="CG504" s="48"/>
      <c r="CH504" s="48"/>
      <c r="CI504" s="48"/>
      <c r="CJ504" s="48"/>
      <c r="CK504" s="48"/>
      <c r="CL504" s="48"/>
      <c r="CM504" s="48"/>
      <c r="CN504" s="48"/>
      <c r="CO504" s="48"/>
      <c r="CP504" s="48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  <c r="DA504" s="48"/>
      <c r="DB504" s="48"/>
      <c r="DC504" s="48"/>
      <c r="DD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175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175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  <c r="CE505" s="48"/>
      <c r="CF505" s="48"/>
      <c r="CG505" s="48"/>
      <c r="CH505" s="48"/>
      <c r="CI505" s="48"/>
      <c r="CJ505" s="48"/>
      <c r="CK505" s="48"/>
      <c r="CL505" s="48"/>
      <c r="CM505" s="48"/>
      <c r="CN505" s="48"/>
      <c r="CO505" s="48"/>
      <c r="CP505" s="48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  <c r="DA505" s="48"/>
      <c r="DB505" s="48"/>
      <c r="DC505" s="48"/>
      <c r="DD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175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175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  <c r="CE506" s="48"/>
      <c r="CF506" s="48"/>
      <c r="CG506" s="48"/>
      <c r="CH506" s="48"/>
      <c r="CI506" s="48"/>
      <c r="CJ506" s="48"/>
      <c r="CK506" s="48"/>
      <c r="CL506" s="48"/>
      <c r="CM506" s="48"/>
      <c r="CN506" s="48"/>
      <c r="CO506" s="48"/>
      <c r="CP506" s="48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  <c r="DA506" s="48"/>
      <c r="DB506" s="48"/>
      <c r="DC506" s="48"/>
      <c r="DD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175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175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  <c r="CO507" s="48"/>
      <c r="CP507" s="48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175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175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  <c r="CE508" s="48"/>
      <c r="CF508" s="48"/>
      <c r="CG508" s="48"/>
      <c r="CH508" s="48"/>
      <c r="CI508" s="48"/>
      <c r="CJ508" s="48"/>
      <c r="CK508" s="48"/>
      <c r="CL508" s="48"/>
      <c r="CM508" s="48"/>
      <c r="CN508" s="48"/>
      <c r="CO508" s="48"/>
      <c r="CP508" s="48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  <c r="DA508" s="48"/>
      <c r="DB508" s="48"/>
      <c r="DC508" s="48"/>
      <c r="DD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175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175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  <c r="CE509" s="48"/>
      <c r="CF509" s="48"/>
      <c r="CG509" s="48"/>
      <c r="CH509" s="48"/>
      <c r="CI509" s="48"/>
      <c r="CJ509" s="48"/>
      <c r="CK509" s="48"/>
      <c r="CL509" s="48"/>
      <c r="CM509" s="48"/>
      <c r="CN509" s="48"/>
      <c r="CO509" s="48"/>
      <c r="CP509" s="48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  <c r="DA509" s="48"/>
      <c r="DB509" s="48"/>
      <c r="DC509" s="48"/>
      <c r="DD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175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175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  <c r="CE510" s="48"/>
      <c r="CF510" s="48"/>
      <c r="CG510" s="48"/>
      <c r="CH510" s="48"/>
      <c r="CI510" s="48"/>
      <c r="CJ510" s="48"/>
      <c r="CK510" s="48"/>
      <c r="CL510" s="48"/>
      <c r="CM510" s="48"/>
      <c r="CN510" s="48"/>
      <c r="CO510" s="48"/>
      <c r="CP510" s="48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  <c r="DA510" s="48"/>
      <c r="DB510" s="48"/>
      <c r="DC510" s="48"/>
      <c r="DD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175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175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  <c r="CE511" s="48"/>
      <c r="CF511" s="48"/>
      <c r="CG511" s="48"/>
      <c r="CH511" s="48"/>
      <c r="CI511" s="48"/>
      <c r="CJ511" s="48"/>
      <c r="CK511" s="48"/>
      <c r="CL511" s="48"/>
      <c r="CM511" s="48"/>
      <c r="CN511" s="48"/>
      <c r="CO511" s="48"/>
      <c r="CP511" s="48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  <c r="DA511" s="48"/>
      <c r="DB511" s="48"/>
      <c r="DC511" s="48"/>
      <c r="DD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175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175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  <c r="CE512" s="48"/>
      <c r="CF512" s="48"/>
      <c r="CG512" s="48"/>
      <c r="CH512" s="48"/>
      <c r="CI512" s="48"/>
      <c r="CJ512" s="48"/>
      <c r="CK512" s="48"/>
      <c r="CL512" s="48"/>
      <c r="CM512" s="48"/>
      <c r="CN512" s="48"/>
      <c r="CO512" s="48"/>
      <c r="CP512" s="48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  <c r="DA512" s="48"/>
      <c r="DB512" s="48"/>
      <c r="DC512" s="48"/>
      <c r="DD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175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175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  <c r="CE513" s="48"/>
      <c r="CF513" s="48"/>
      <c r="CG513" s="48"/>
      <c r="CH513" s="48"/>
      <c r="CI513" s="48"/>
      <c r="CJ513" s="48"/>
      <c r="CK513" s="48"/>
      <c r="CL513" s="48"/>
      <c r="CM513" s="48"/>
      <c r="CN513" s="48"/>
      <c r="CO513" s="48"/>
      <c r="CP513" s="48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  <c r="DA513" s="48"/>
      <c r="DB513" s="48"/>
      <c r="DC513" s="48"/>
      <c r="DD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175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175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  <c r="CE514" s="48"/>
      <c r="CF514" s="48"/>
      <c r="CG514" s="48"/>
      <c r="CH514" s="48"/>
      <c r="CI514" s="48"/>
      <c r="CJ514" s="48"/>
      <c r="CK514" s="48"/>
      <c r="CL514" s="48"/>
      <c r="CM514" s="48"/>
      <c r="CN514" s="48"/>
      <c r="CO514" s="48"/>
      <c r="CP514" s="48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  <c r="DA514" s="48"/>
      <c r="DB514" s="48"/>
      <c r="DC514" s="48"/>
      <c r="DD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175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175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  <c r="CE515" s="48"/>
      <c r="CF515" s="48"/>
      <c r="CG515" s="48"/>
      <c r="CH515" s="48"/>
      <c r="CI515" s="48"/>
      <c r="CJ515" s="48"/>
      <c r="CK515" s="48"/>
      <c r="CL515" s="48"/>
      <c r="CM515" s="48"/>
      <c r="CN515" s="48"/>
      <c r="CO515" s="48"/>
      <c r="CP515" s="48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  <c r="DA515" s="48"/>
      <c r="DB515" s="48"/>
      <c r="DC515" s="48"/>
      <c r="DD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175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175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  <c r="CO516" s="48"/>
      <c r="CP516" s="48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175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175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8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175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175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  <c r="CE518" s="48"/>
      <c r="CF518" s="48"/>
      <c r="CG518" s="48"/>
      <c r="CH518" s="48"/>
      <c r="CI518" s="48"/>
      <c r="CJ518" s="48"/>
      <c r="CK518" s="48"/>
      <c r="CL518" s="48"/>
      <c r="CM518" s="48"/>
      <c r="CN518" s="48"/>
      <c r="CO518" s="48"/>
      <c r="CP518" s="48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  <c r="DA518" s="48"/>
      <c r="DB518" s="48"/>
      <c r="DC518" s="48"/>
      <c r="DD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175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175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  <c r="CE519" s="48"/>
      <c r="CF519" s="48"/>
      <c r="CG519" s="48"/>
      <c r="CH519" s="48"/>
      <c r="CI519" s="48"/>
      <c r="CJ519" s="48"/>
      <c r="CK519" s="48"/>
      <c r="CL519" s="48"/>
      <c r="CM519" s="48"/>
      <c r="CN519" s="48"/>
      <c r="CO519" s="48"/>
      <c r="CP519" s="48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  <c r="DA519" s="48"/>
      <c r="DB519" s="48"/>
      <c r="DC519" s="48"/>
      <c r="DD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175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175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  <c r="CE520" s="48"/>
      <c r="CF520" s="48"/>
      <c r="CG520" s="48"/>
      <c r="CH520" s="48"/>
      <c r="CI520" s="48"/>
      <c r="CJ520" s="48"/>
      <c r="CK520" s="48"/>
      <c r="CL520" s="48"/>
      <c r="CM520" s="48"/>
      <c r="CN520" s="48"/>
      <c r="CO520" s="48"/>
      <c r="CP520" s="48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  <c r="DA520" s="48"/>
      <c r="DB520" s="48"/>
      <c r="DC520" s="48"/>
      <c r="DD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175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175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  <c r="CE521" s="48"/>
      <c r="CF521" s="48"/>
      <c r="CG521" s="48"/>
      <c r="CH521" s="48"/>
      <c r="CI521" s="48"/>
      <c r="CJ521" s="48"/>
      <c r="CK521" s="48"/>
      <c r="CL521" s="48"/>
      <c r="CM521" s="48"/>
      <c r="CN521" s="48"/>
      <c r="CO521" s="48"/>
      <c r="CP521" s="48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  <c r="DA521" s="48"/>
      <c r="DB521" s="48"/>
      <c r="DC521" s="48"/>
      <c r="DD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175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175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  <c r="CE522" s="48"/>
      <c r="CF522" s="48"/>
      <c r="CG522" s="48"/>
      <c r="CH522" s="48"/>
      <c r="CI522" s="48"/>
      <c r="CJ522" s="48"/>
      <c r="CK522" s="48"/>
      <c r="CL522" s="48"/>
      <c r="CM522" s="48"/>
      <c r="CN522" s="48"/>
      <c r="CO522" s="48"/>
      <c r="CP522" s="48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  <c r="DA522" s="48"/>
      <c r="DB522" s="48"/>
      <c r="DC522" s="48"/>
      <c r="DD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175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175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  <c r="CE523" s="48"/>
      <c r="CF523" s="48"/>
      <c r="CG523" s="48"/>
      <c r="CH523" s="48"/>
      <c r="CI523" s="48"/>
      <c r="CJ523" s="48"/>
      <c r="CK523" s="48"/>
      <c r="CL523" s="48"/>
      <c r="CM523" s="48"/>
      <c r="CN523" s="48"/>
      <c r="CO523" s="48"/>
      <c r="CP523" s="48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  <c r="DA523" s="48"/>
      <c r="DB523" s="48"/>
      <c r="DC523" s="48"/>
      <c r="DD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175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175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  <c r="CE524" s="48"/>
      <c r="CF524" s="48"/>
      <c r="CG524" s="48"/>
      <c r="CH524" s="48"/>
      <c r="CI524" s="48"/>
      <c r="CJ524" s="48"/>
      <c r="CK524" s="48"/>
      <c r="CL524" s="48"/>
      <c r="CM524" s="48"/>
      <c r="CN524" s="48"/>
      <c r="CO524" s="48"/>
      <c r="CP524" s="48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  <c r="DA524" s="48"/>
      <c r="DB524" s="48"/>
      <c r="DC524" s="48"/>
      <c r="DD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175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175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  <c r="CE525" s="48"/>
      <c r="CF525" s="48"/>
      <c r="CG525" s="48"/>
      <c r="CH525" s="48"/>
      <c r="CI525" s="48"/>
      <c r="CJ525" s="48"/>
      <c r="CK525" s="48"/>
      <c r="CL525" s="48"/>
      <c r="CM525" s="48"/>
      <c r="CN525" s="48"/>
      <c r="CO525" s="48"/>
      <c r="CP525" s="48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  <c r="DA525" s="48"/>
      <c r="DB525" s="48"/>
      <c r="DC525" s="48"/>
      <c r="DD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175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175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  <c r="CE526" s="48"/>
      <c r="CF526" s="48"/>
      <c r="CG526" s="48"/>
      <c r="CH526" s="48"/>
      <c r="CI526" s="48"/>
      <c r="CJ526" s="48"/>
      <c r="CK526" s="48"/>
      <c r="CL526" s="48"/>
      <c r="CM526" s="48"/>
      <c r="CN526" s="48"/>
      <c r="CO526" s="48"/>
      <c r="CP526" s="48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  <c r="DA526" s="48"/>
      <c r="DB526" s="48"/>
      <c r="DC526" s="48"/>
      <c r="DD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175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175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  <c r="CE527" s="48"/>
      <c r="CF527" s="48"/>
      <c r="CG527" s="48"/>
      <c r="CH527" s="48"/>
      <c r="CI527" s="48"/>
      <c r="CJ527" s="48"/>
      <c r="CK527" s="48"/>
      <c r="CL527" s="48"/>
      <c r="CM527" s="48"/>
      <c r="CN527" s="48"/>
      <c r="CO527" s="48"/>
      <c r="CP527" s="48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  <c r="DA527" s="48"/>
      <c r="DB527" s="48"/>
      <c r="DC527" s="48"/>
      <c r="DD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175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175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  <c r="CE528" s="48"/>
      <c r="CF528" s="48"/>
      <c r="CG528" s="48"/>
      <c r="CH528" s="48"/>
      <c r="CI528" s="48"/>
      <c r="CJ528" s="48"/>
      <c r="CK528" s="48"/>
      <c r="CL528" s="48"/>
      <c r="CM528" s="48"/>
      <c r="CN528" s="48"/>
      <c r="CO528" s="48"/>
      <c r="CP528" s="48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  <c r="DA528" s="48"/>
      <c r="DB528" s="48"/>
      <c r="DC528" s="48"/>
      <c r="DD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175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175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  <c r="CE529" s="48"/>
      <c r="CF529" s="48"/>
      <c r="CG529" s="48"/>
      <c r="CH529" s="48"/>
      <c r="CI529" s="48"/>
      <c r="CJ529" s="48"/>
      <c r="CK529" s="48"/>
      <c r="CL529" s="48"/>
      <c r="CM529" s="48"/>
      <c r="CN529" s="48"/>
      <c r="CO529" s="48"/>
      <c r="CP529" s="48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  <c r="DA529" s="48"/>
      <c r="DB529" s="48"/>
      <c r="DC529" s="48"/>
      <c r="DD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175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175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  <c r="CE530" s="48"/>
      <c r="CF530" s="48"/>
      <c r="CG530" s="48"/>
      <c r="CH530" s="48"/>
      <c r="CI530" s="48"/>
      <c r="CJ530" s="48"/>
      <c r="CK530" s="48"/>
      <c r="CL530" s="48"/>
      <c r="CM530" s="48"/>
      <c r="CN530" s="48"/>
      <c r="CO530" s="48"/>
      <c r="CP530" s="48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  <c r="DA530" s="48"/>
      <c r="DB530" s="48"/>
      <c r="DC530" s="48"/>
      <c r="DD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175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175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  <c r="CE531" s="48"/>
      <c r="CF531" s="48"/>
      <c r="CG531" s="48"/>
      <c r="CH531" s="48"/>
      <c r="CI531" s="48"/>
      <c r="CJ531" s="48"/>
      <c r="CK531" s="48"/>
      <c r="CL531" s="48"/>
      <c r="CM531" s="48"/>
      <c r="CN531" s="48"/>
      <c r="CO531" s="48"/>
      <c r="CP531" s="48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  <c r="DA531" s="48"/>
      <c r="DB531" s="48"/>
      <c r="DC531" s="48"/>
      <c r="DD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175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175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  <c r="CE532" s="48"/>
      <c r="CF532" s="48"/>
      <c r="CG532" s="48"/>
      <c r="CH532" s="48"/>
      <c r="CI532" s="48"/>
      <c r="CJ532" s="48"/>
      <c r="CK532" s="48"/>
      <c r="CL532" s="48"/>
      <c r="CM532" s="48"/>
      <c r="CN532" s="48"/>
      <c r="CO532" s="48"/>
      <c r="CP532" s="48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  <c r="DA532" s="48"/>
      <c r="DB532" s="48"/>
      <c r="DC532" s="48"/>
      <c r="DD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175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175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  <c r="CE533" s="48"/>
      <c r="CF533" s="48"/>
      <c r="CG533" s="48"/>
      <c r="CH533" s="48"/>
      <c r="CI533" s="48"/>
      <c r="CJ533" s="48"/>
      <c r="CK533" s="48"/>
      <c r="CL533" s="48"/>
      <c r="CM533" s="48"/>
      <c r="CN533" s="48"/>
      <c r="CO533" s="48"/>
      <c r="CP533" s="48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  <c r="DA533" s="48"/>
      <c r="DB533" s="48"/>
      <c r="DC533" s="48"/>
      <c r="DD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175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175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  <c r="CO534" s="48"/>
      <c r="CP534" s="48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175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175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  <c r="CE535" s="48"/>
      <c r="CF535" s="48"/>
      <c r="CG535" s="48"/>
      <c r="CH535" s="48"/>
      <c r="CI535" s="48"/>
      <c r="CJ535" s="48"/>
      <c r="CK535" s="48"/>
      <c r="CL535" s="48"/>
      <c r="CM535" s="48"/>
      <c r="CN535" s="48"/>
      <c r="CO535" s="48"/>
      <c r="CP535" s="48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  <c r="DA535" s="48"/>
      <c r="DB535" s="48"/>
      <c r="DC535" s="48"/>
      <c r="DD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175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175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  <c r="CO536" s="48"/>
      <c r="CP536" s="48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175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175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8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175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175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  <c r="CE538" s="48"/>
      <c r="CF538" s="48"/>
      <c r="CG538" s="48"/>
      <c r="CH538" s="48"/>
      <c r="CI538" s="48"/>
      <c r="CJ538" s="48"/>
      <c r="CK538" s="48"/>
      <c r="CL538" s="48"/>
      <c r="CM538" s="48"/>
      <c r="CN538" s="48"/>
      <c r="CO538" s="48"/>
      <c r="CP538" s="48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  <c r="DA538" s="48"/>
      <c r="DB538" s="48"/>
      <c r="DC538" s="48"/>
      <c r="DD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175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175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  <c r="CE539" s="48"/>
      <c r="CF539" s="48"/>
      <c r="CG539" s="48"/>
      <c r="CH539" s="48"/>
      <c r="CI539" s="48"/>
      <c r="CJ539" s="48"/>
      <c r="CK539" s="48"/>
      <c r="CL539" s="48"/>
      <c r="CM539" s="48"/>
      <c r="CN539" s="48"/>
      <c r="CO539" s="48"/>
      <c r="CP539" s="48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  <c r="DA539" s="48"/>
      <c r="DB539" s="48"/>
      <c r="DC539" s="48"/>
      <c r="DD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175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175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  <c r="CE540" s="48"/>
      <c r="CF540" s="48"/>
      <c r="CG540" s="48"/>
      <c r="CH540" s="48"/>
      <c r="CI540" s="48"/>
      <c r="CJ540" s="48"/>
      <c r="CK540" s="48"/>
      <c r="CL540" s="48"/>
      <c r="CM540" s="48"/>
      <c r="CN540" s="48"/>
      <c r="CO540" s="48"/>
      <c r="CP540" s="48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  <c r="DA540" s="48"/>
      <c r="DB540" s="48"/>
      <c r="DC540" s="48"/>
      <c r="DD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175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175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  <c r="CE541" s="48"/>
      <c r="CF541" s="48"/>
      <c r="CG541" s="48"/>
      <c r="CH541" s="48"/>
      <c r="CI541" s="48"/>
      <c r="CJ541" s="48"/>
      <c r="CK541" s="48"/>
      <c r="CL541" s="48"/>
      <c r="CM541" s="48"/>
      <c r="CN541" s="48"/>
      <c r="CO541" s="48"/>
      <c r="CP541" s="48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  <c r="DA541" s="48"/>
      <c r="DB541" s="48"/>
      <c r="DC541" s="48"/>
      <c r="DD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175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175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  <c r="CE542" s="48"/>
      <c r="CF542" s="48"/>
      <c r="CG542" s="48"/>
      <c r="CH542" s="48"/>
      <c r="CI542" s="48"/>
      <c r="CJ542" s="48"/>
      <c r="CK542" s="48"/>
      <c r="CL542" s="48"/>
      <c r="CM542" s="48"/>
      <c r="CN542" s="48"/>
      <c r="CO542" s="48"/>
      <c r="CP542" s="48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  <c r="DA542" s="48"/>
      <c r="DB542" s="48"/>
      <c r="DC542" s="48"/>
      <c r="DD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175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175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  <c r="CE543" s="48"/>
      <c r="CF543" s="48"/>
      <c r="CG543" s="48"/>
      <c r="CH543" s="48"/>
      <c r="CI543" s="48"/>
      <c r="CJ543" s="48"/>
      <c r="CK543" s="48"/>
      <c r="CL543" s="48"/>
      <c r="CM543" s="48"/>
      <c r="CN543" s="48"/>
      <c r="CO543" s="48"/>
      <c r="CP543" s="48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  <c r="DA543" s="48"/>
      <c r="DB543" s="48"/>
      <c r="DC543" s="48"/>
      <c r="DD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175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175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  <c r="CE544" s="48"/>
      <c r="CF544" s="48"/>
      <c r="CG544" s="48"/>
      <c r="CH544" s="48"/>
      <c r="CI544" s="48"/>
      <c r="CJ544" s="48"/>
      <c r="CK544" s="48"/>
      <c r="CL544" s="48"/>
      <c r="CM544" s="48"/>
      <c r="CN544" s="48"/>
      <c r="CO544" s="48"/>
      <c r="CP544" s="48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  <c r="DA544" s="48"/>
      <c r="DB544" s="48"/>
      <c r="DC544" s="48"/>
      <c r="DD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175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175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  <c r="CE545" s="48"/>
      <c r="CF545" s="48"/>
      <c r="CG545" s="48"/>
      <c r="CH545" s="48"/>
      <c r="CI545" s="48"/>
      <c r="CJ545" s="48"/>
      <c r="CK545" s="48"/>
      <c r="CL545" s="48"/>
      <c r="CM545" s="48"/>
      <c r="CN545" s="48"/>
      <c r="CO545" s="48"/>
      <c r="CP545" s="48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  <c r="DA545" s="48"/>
      <c r="DB545" s="48"/>
      <c r="DC545" s="48"/>
      <c r="DD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175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175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  <c r="CE546" s="48"/>
      <c r="CF546" s="48"/>
      <c r="CG546" s="48"/>
      <c r="CH546" s="48"/>
      <c r="CI546" s="48"/>
      <c r="CJ546" s="48"/>
      <c r="CK546" s="48"/>
      <c r="CL546" s="48"/>
      <c r="CM546" s="48"/>
      <c r="CN546" s="48"/>
      <c r="CO546" s="48"/>
      <c r="CP546" s="48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  <c r="DA546" s="48"/>
      <c r="DB546" s="48"/>
      <c r="DC546" s="48"/>
      <c r="DD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175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175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  <c r="CE547" s="48"/>
      <c r="CF547" s="48"/>
      <c r="CG547" s="48"/>
      <c r="CH547" s="48"/>
      <c r="CI547" s="48"/>
      <c r="CJ547" s="48"/>
      <c r="CK547" s="48"/>
      <c r="CL547" s="48"/>
      <c r="CM547" s="48"/>
      <c r="CN547" s="48"/>
      <c r="CO547" s="48"/>
      <c r="CP547" s="48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  <c r="DA547" s="48"/>
      <c r="DB547" s="48"/>
      <c r="DC547" s="48"/>
      <c r="DD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175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175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  <c r="CE548" s="48"/>
      <c r="CF548" s="48"/>
      <c r="CG548" s="48"/>
      <c r="CH548" s="48"/>
      <c r="CI548" s="48"/>
      <c r="CJ548" s="48"/>
      <c r="CK548" s="48"/>
      <c r="CL548" s="48"/>
      <c r="CM548" s="48"/>
      <c r="CN548" s="48"/>
      <c r="CO548" s="48"/>
      <c r="CP548" s="48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  <c r="DA548" s="48"/>
      <c r="DB548" s="48"/>
      <c r="DC548" s="48"/>
      <c r="DD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175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175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  <c r="CE549" s="48"/>
      <c r="CF549" s="48"/>
      <c r="CG549" s="48"/>
      <c r="CH549" s="48"/>
      <c r="CI549" s="48"/>
      <c r="CJ549" s="48"/>
      <c r="CK549" s="48"/>
      <c r="CL549" s="48"/>
      <c r="CM549" s="48"/>
      <c r="CN549" s="48"/>
      <c r="CO549" s="48"/>
      <c r="CP549" s="48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  <c r="DA549" s="48"/>
      <c r="DB549" s="48"/>
      <c r="DC549" s="48"/>
      <c r="DD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175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175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  <c r="CE550" s="48"/>
      <c r="CF550" s="48"/>
      <c r="CG550" s="48"/>
      <c r="CH550" s="48"/>
      <c r="CI550" s="48"/>
      <c r="CJ550" s="48"/>
      <c r="CK550" s="48"/>
      <c r="CL550" s="48"/>
      <c r="CM550" s="48"/>
      <c r="CN550" s="48"/>
      <c r="CO550" s="48"/>
      <c r="CP550" s="48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  <c r="DA550" s="48"/>
      <c r="DB550" s="48"/>
      <c r="DC550" s="48"/>
      <c r="DD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175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175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  <c r="CE551" s="48"/>
      <c r="CF551" s="48"/>
      <c r="CG551" s="48"/>
      <c r="CH551" s="48"/>
      <c r="CI551" s="48"/>
      <c r="CJ551" s="48"/>
      <c r="CK551" s="48"/>
      <c r="CL551" s="48"/>
      <c r="CM551" s="48"/>
      <c r="CN551" s="48"/>
      <c r="CO551" s="48"/>
      <c r="CP551" s="48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  <c r="DA551" s="48"/>
      <c r="DB551" s="48"/>
      <c r="DC551" s="48"/>
      <c r="DD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175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175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  <c r="CE552" s="48"/>
      <c r="CF552" s="48"/>
      <c r="CG552" s="48"/>
      <c r="CH552" s="48"/>
      <c r="CI552" s="48"/>
      <c r="CJ552" s="48"/>
      <c r="CK552" s="48"/>
      <c r="CL552" s="48"/>
      <c r="CM552" s="48"/>
      <c r="CN552" s="48"/>
      <c r="CO552" s="48"/>
      <c r="CP552" s="48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  <c r="DA552" s="48"/>
      <c r="DB552" s="48"/>
      <c r="DC552" s="48"/>
      <c r="DD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175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175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  <c r="CE553" s="48"/>
      <c r="CF553" s="48"/>
      <c r="CG553" s="48"/>
      <c r="CH553" s="48"/>
      <c r="CI553" s="48"/>
      <c r="CJ553" s="48"/>
      <c r="CK553" s="48"/>
      <c r="CL553" s="48"/>
      <c r="CM553" s="48"/>
      <c r="CN553" s="48"/>
      <c r="CO553" s="48"/>
      <c r="CP553" s="48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  <c r="DA553" s="48"/>
      <c r="DB553" s="48"/>
      <c r="DC553" s="48"/>
      <c r="DD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175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175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  <c r="CE554" s="48"/>
      <c r="CF554" s="48"/>
      <c r="CG554" s="48"/>
      <c r="CH554" s="48"/>
      <c r="CI554" s="48"/>
      <c r="CJ554" s="48"/>
      <c r="CK554" s="48"/>
      <c r="CL554" s="48"/>
      <c r="CM554" s="48"/>
      <c r="CN554" s="48"/>
      <c r="CO554" s="48"/>
      <c r="CP554" s="48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  <c r="DA554" s="48"/>
      <c r="DB554" s="48"/>
      <c r="DC554" s="48"/>
      <c r="DD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175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175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  <c r="BD555" s="48"/>
      <c r="BE555" s="48"/>
      <c r="BF555" s="48"/>
      <c r="BG555" s="48"/>
      <c r="BH555" s="48"/>
      <c r="BI555" s="48"/>
      <c r="BJ555" s="48"/>
      <c r="BK555" s="48"/>
      <c r="BL555" s="48"/>
      <c r="BM555" s="48"/>
      <c r="BN555" s="48"/>
      <c r="BO555" s="48"/>
      <c r="BP555" s="48"/>
      <c r="BQ555" s="48"/>
      <c r="BR555" s="48"/>
      <c r="BS555" s="48"/>
      <c r="BT555" s="48"/>
      <c r="BU555" s="48"/>
      <c r="BV555" s="48"/>
      <c r="BW555" s="48"/>
      <c r="BX555" s="48"/>
      <c r="BY555" s="48"/>
      <c r="BZ555" s="48"/>
      <c r="CA555" s="48"/>
      <c r="CB555" s="48"/>
      <c r="CC555" s="48"/>
      <c r="CD555" s="48"/>
      <c r="CE555" s="48"/>
      <c r="CF555" s="48"/>
      <c r="CG555" s="48"/>
      <c r="CH555" s="48"/>
      <c r="CI555" s="48"/>
      <c r="CJ555" s="48"/>
      <c r="CK555" s="48"/>
      <c r="CL555" s="48"/>
      <c r="CM555" s="48"/>
      <c r="CN555" s="48"/>
      <c r="CO555" s="48"/>
      <c r="CP555" s="48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  <c r="DA555" s="48"/>
      <c r="DB555" s="48"/>
      <c r="DC555" s="48"/>
      <c r="DD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175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175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8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175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175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  <c r="BD557" s="48"/>
      <c r="BE557" s="48"/>
      <c r="BF557" s="48"/>
      <c r="BG557" s="48"/>
      <c r="BH557" s="48"/>
      <c r="BI557" s="48"/>
      <c r="BJ557" s="48"/>
      <c r="BK557" s="48"/>
      <c r="BL557" s="48"/>
      <c r="BM557" s="48"/>
      <c r="BN557" s="48"/>
      <c r="BO557" s="48"/>
      <c r="BP557" s="48"/>
      <c r="BQ557" s="48"/>
      <c r="BR557" s="48"/>
      <c r="BS557" s="48"/>
      <c r="BT557" s="48"/>
      <c r="BU557" s="48"/>
      <c r="BV557" s="48"/>
      <c r="BW557" s="48"/>
      <c r="BX557" s="48"/>
      <c r="BY557" s="48"/>
      <c r="BZ557" s="48"/>
      <c r="CA557" s="48"/>
      <c r="CB557" s="48"/>
      <c r="CC557" s="48"/>
      <c r="CD557" s="48"/>
      <c r="CE557" s="48"/>
      <c r="CF557" s="48"/>
      <c r="CG557" s="48"/>
      <c r="CH557" s="48"/>
      <c r="CI557" s="48"/>
      <c r="CJ557" s="48"/>
      <c r="CK557" s="48"/>
      <c r="CL557" s="48"/>
      <c r="CM557" s="48"/>
      <c r="CN557" s="48"/>
      <c r="CO557" s="48"/>
      <c r="CP557" s="48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  <c r="DA557" s="48"/>
      <c r="DB557" s="48"/>
      <c r="DC557" s="48"/>
      <c r="DD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175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175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  <c r="CO558" s="48"/>
      <c r="CP558" s="48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175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175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  <c r="BD559" s="48"/>
      <c r="BE559" s="48"/>
      <c r="BF559" s="48"/>
      <c r="BG559" s="48"/>
      <c r="BH559" s="48"/>
      <c r="BI559" s="48"/>
      <c r="BJ559" s="48"/>
      <c r="BK559" s="48"/>
      <c r="BL559" s="48"/>
      <c r="BM559" s="48"/>
      <c r="BN559" s="48"/>
      <c r="BO559" s="48"/>
      <c r="BP559" s="48"/>
      <c r="BQ559" s="48"/>
      <c r="BR559" s="48"/>
      <c r="BS559" s="48"/>
      <c r="BT559" s="48"/>
      <c r="BU559" s="48"/>
      <c r="BV559" s="48"/>
      <c r="BW559" s="48"/>
      <c r="BX559" s="48"/>
      <c r="BY559" s="48"/>
      <c r="BZ559" s="48"/>
      <c r="CA559" s="48"/>
      <c r="CB559" s="48"/>
      <c r="CC559" s="48"/>
      <c r="CD559" s="48"/>
      <c r="CE559" s="48"/>
      <c r="CF559" s="48"/>
      <c r="CG559" s="48"/>
      <c r="CH559" s="48"/>
      <c r="CI559" s="48"/>
      <c r="CJ559" s="48"/>
      <c r="CK559" s="48"/>
      <c r="CL559" s="48"/>
      <c r="CM559" s="48"/>
      <c r="CN559" s="48"/>
      <c r="CO559" s="48"/>
      <c r="CP559" s="48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  <c r="DA559" s="48"/>
      <c r="DB559" s="48"/>
      <c r="DC559" s="48"/>
      <c r="DD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175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175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  <c r="BD560" s="48"/>
      <c r="BE560" s="48"/>
      <c r="BF560" s="48"/>
      <c r="BG560" s="48"/>
      <c r="BH560" s="48"/>
      <c r="BI560" s="48"/>
      <c r="BJ560" s="48"/>
      <c r="BK560" s="48"/>
      <c r="BL560" s="48"/>
      <c r="BM560" s="48"/>
      <c r="BN560" s="48"/>
      <c r="BO560" s="48"/>
      <c r="BP560" s="48"/>
      <c r="BQ560" s="48"/>
      <c r="BR560" s="48"/>
      <c r="BS560" s="48"/>
      <c r="BT560" s="48"/>
      <c r="BU560" s="48"/>
      <c r="BV560" s="48"/>
      <c r="BW560" s="48"/>
      <c r="BX560" s="48"/>
      <c r="BY560" s="48"/>
      <c r="BZ560" s="48"/>
      <c r="CA560" s="48"/>
      <c r="CB560" s="48"/>
      <c r="CC560" s="48"/>
      <c r="CD560" s="48"/>
      <c r="CE560" s="48"/>
      <c r="CF560" s="48"/>
      <c r="CG560" s="48"/>
      <c r="CH560" s="48"/>
      <c r="CI560" s="48"/>
      <c r="CJ560" s="48"/>
      <c r="CK560" s="48"/>
      <c r="CL560" s="48"/>
      <c r="CM560" s="48"/>
      <c r="CN560" s="48"/>
      <c r="CO560" s="48"/>
      <c r="CP560" s="48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  <c r="DA560" s="48"/>
      <c r="DB560" s="48"/>
      <c r="DC560" s="48"/>
      <c r="DD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175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175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  <c r="BD561" s="48"/>
      <c r="BE561" s="48"/>
      <c r="BF561" s="48"/>
      <c r="BG561" s="48"/>
      <c r="BH561" s="48"/>
      <c r="BI561" s="48"/>
      <c r="BJ561" s="48"/>
      <c r="BK561" s="48"/>
      <c r="BL561" s="48"/>
      <c r="BM561" s="48"/>
      <c r="BN561" s="48"/>
      <c r="BO561" s="48"/>
      <c r="BP561" s="48"/>
      <c r="BQ561" s="48"/>
      <c r="BR561" s="48"/>
      <c r="BS561" s="48"/>
      <c r="BT561" s="48"/>
      <c r="BU561" s="48"/>
      <c r="BV561" s="48"/>
      <c r="BW561" s="48"/>
      <c r="BX561" s="48"/>
      <c r="BY561" s="48"/>
      <c r="BZ561" s="48"/>
      <c r="CA561" s="48"/>
      <c r="CB561" s="48"/>
      <c r="CC561" s="48"/>
      <c r="CD561" s="48"/>
      <c r="CE561" s="48"/>
      <c r="CF561" s="48"/>
      <c r="CG561" s="48"/>
      <c r="CH561" s="48"/>
      <c r="CI561" s="48"/>
      <c r="CJ561" s="48"/>
      <c r="CK561" s="48"/>
      <c r="CL561" s="48"/>
      <c r="CM561" s="48"/>
      <c r="CN561" s="48"/>
      <c r="CO561" s="48"/>
      <c r="CP561" s="48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  <c r="DA561" s="48"/>
      <c r="DB561" s="48"/>
      <c r="DC561" s="48"/>
      <c r="DD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175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175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  <c r="BD562" s="48"/>
      <c r="BE562" s="48"/>
      <c r="BF562" s="48"/>
      <c r="BG562" s="48"/>
      <c r="BH562" s="48"/>
      <c r="BI562" s="48"/>
      <c r="BJ562" s="48"/>
      <c r="BK562" s="48"/>
      <c r="BL562" s="48"/>
      <c r="BM562" s="48"/>
      <c r="BN562" s="48"/>
      <c r="BO562" s="48"/>
      <c r="BP562" s="48"/>
      <c r="BQ562" s="48"/>
      <c r="BR562" s="48"/>
      <c r="BS562" s="48"/>
      <c r="BT562" s="48"/>
      <c r="BU562" s="48"/>
      <c r="BV562" s="48"/>
      <c r="BW562" s="48"/>
      <c r="BX562" s="48"/>
      <c r="BY562" s="48"/>
      <c r="BZ562" s="48"/>
      <c r="CA562" s="48"/>
      <c r="CB562" s="48"/>
      <c r="CC562" s="48"/>
      <c r="CD562" s="48"/>
      <c r="CE562" s="48"/>
      <c r="CF562" s="48"/>
      <c r="CG562" s="48"/>
      <c r="CH562" s="48"/>
      <c r="CI562" s="48"/>
      <c r="CJ562" s="48"/>
      <c r="CK562" s="48"/>
      <c r="CL562" s="48"/>
      <c r="CM562" s="48"/>
      <c r="CN562" s="48"/>
      <c r="CO562" s="48"/>
      <c r="CP562" s="48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  <c r="DA562" s="48"/>
      <c r="DB562" s="48"/>
      <c r="DC562" s="48"/>
      <c r="DD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175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175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  <c r="CO563" s="48"/>
      <c r="CP563" s="48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175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175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  <c r="BD564" s="48"/>
      <c r="BE564" s="48"/>
      <c r="BF564" s="48"/>
      <c r="BG564" s="48"/>
      <c r="BH564" s="48"/>
      <c r="BI564" s="48"/>
      <c r="BJ564" s="48"/>
      <c r="BK564" s="48"/>
      <c r="BL564" s="48"/>
      <c r="BM564" s="48"/>
      <c r="BN564" s="48"/>
      <c r="BO564" s="48"/>
      <c r="BP564" s="48"/>
      <c r="BQ564" s="48"/>
      <c r="BR564" s="48"/>
      <c r="BS564" s="48"/>
      <c r="BT564" s="48"/>
      <c r="BU564" s="48"/>
      <c r="BV564" s="48"/>
      <c r="BW564" s="48"/>
      <c r="BX564" s="48"/>
      <c r="BY564" s="48"/>
      <c r="BZ564" s="48"/>
      <c r="CA564" s="48"/>
      <c r="CB564" s="48"/>
      <c r="CC564" s="48"/>
      <c r="CD564" s="48"/>
      <c r="CE564" s="48"/>
      <c r="CF564" s="48"/>
      <c r="CG564" s="48"/>
      <c r="CH564" s="48"/>
      <c r="CI564" s="48"/>
      <c r="CJ564" s="48"/>
      <c r="CK564" s="48"/>
      <c r="CL564" s="48"/>
      <c r="CM564" s="48"/>
      <c r="CN564" s="48"/>
      <c r="CO564" s="48"/>
      <c r="CP564" s="48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  <c r="DA564" s="48"/>
      <c r="DB564" s="48"/>
      <c r="DC564" s="48"/>
      <c r="DD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175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175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  <c r="BD565" s="48"/>
      <c r="BE565" s="48"/>
      <c r="BF565" s="48"/>
      <c r="BG565" s="48"/>
      <c r="BH565" s="48"/>
      <c r="BI565" s="48"/>
      <c r="BJ565" s="48"/>
      <c r="BK565" s="48"/>
      <c r="BL565" s="48"/>
      <c r="BM565" s="48"/>
      <c r="BN565" s="48"/>
      <c r="BO565" s="48"/>
      <c r="BP565" s="48"/>
      <c r="BQ565" s="48"/>
      <c r="BR565" s="48"/>
      <c r="BS565" s="48"/>
      <c r="BT565" s="48"/>
      <c r="BU565" s="48"/>
      <c r="BV565" s="48"/>
      <c r="BW565" s="48"/>
      <c r="BX565" s="48"/>
      <c r="BY565" s="48"/>
      <c r="BZ565" s="48"/>
      <c r="CA565" s="48"/>
      <c r="CB565" s="48"/>
      <c r="CC565" s="48"/>
      <c r="CD565" s="48"/>
      <c r="CE565" s="48"/>
      <c r="CF565" s="48"/>
      <c r="CG565" s="48"/>
      <c r="CH565" s="48"/>
      <c r="CI565" s="48"/>
      <c r="CJ565" s="48"/>
      <c r="CK565" s="48"/>
      <c r="CL565" s="48"/>
      <c r="CM565" s="48"/>
      <c r="CN565" s="48"/>
      <c r="CO565" s="48"/>
      <c r="CP565" s="48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  <c r="DA565" s="48"/>
      <c r="DB565" s="48"/>
      <c r="DC565" s="48"/>
      <c r="DD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175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175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  <c r="CO566" s="48"/>
      <c r="CP566" s="48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175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175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  <c r="BD567" s="48"/>
      <c r="BE567" s="48"/>
      <c r="BF567" s="48"/>
      <c r="BG567" s="48"/>
      <c r="BH567" s="48"/>
      <c r="BI567" s="48"/>
      <c r="BJ567" s="48"/>
      <c r="BK567" s="48"/>
      <c r="BL567" s="48"/>
      <c r="BM567" s="48"/>
      <c r="BN567" s="48"/>
      <c r="BO567" s="48"/>
      <c r="BP567" s="48"/>
      <c r="BQ567" s="48"/>
      <c r="BR567" s="48"/>
      <c r="BS567" s="48"/>
      <c r="BT567" s="48"/>
      <c r="BU567" s="48"/>
      <c r="BV567" s="48"/>
      <c r="BW567" s="48"/>
      <c r="BX567" s="48"/>
      <c r="BY567" s="48"/>
      <c r="BZ567" s="48"/>
      <c r="CA567" s="48"/>
      <c r="CB567" s="48"/>
      <c r="CC567" s="48"/>
      <c r="CD567" s="48"/>
      <c r="CE567" s="48"/>
      <c r="CF567" s="48"/>
      <c r="CG567" s="48"/>
      <c r="CH567" s="48"/>
      <c r="CI567" s="48"/>
      <c r="CJ567" s="48"/>
      <c r="CK567" s="48"/>
      <c r="CL567" s="48"/>
      <c r="CM567" s="48"/>
      <c r="CN567" s="48"/>
      <c r="CO567" s="48"/>
      <c r="CP567" s="48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  <c r="DA567" s="48"/>
      <c r="DB567" s="48"/>
      <c r="DC567" s="48"/>
      <c r="DD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175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175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8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175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175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  <c r="BD569" s="48"/>
      <c r="BE569" s="48"/>
      <c r="BF569" s="48"/>
      <c r="BG569" s="48"/>
      <c r="BH569" s="48"/>
      <c r="BI569" s="48"/>
      <c r="BJ569" s="48"/>
      <c r="BK569" s="48"/>
      <c r="BL569" s="48"/>
      <c r="BM569" s="48"/>
      <c r="BN569" s="48"/>
      <c r="BO569" s="48"/>
      <c r="BP569" s="48"/>
      <c r="BQ569" s="48"/>
      <c r="BR569" s="48"/>
      <c r="BS569" s="48"/>
      <c r="BT569" s="48"/>
      <c r="BU569" s="48"/>
      <c r="BV569" s="48"/>
      <c r="BW569" s="48"/>
      <c r="BX569" s="48"/>
      <c r="BY569" s="48"/>
      <c r="BZ569" s="48"/>
      <c r="CA569" s="48"/>
      <c r="CB569" s="48"/>
      <c r="CC569" s="48"/>
      <c r="CD569" s="48"/>
      <c r="CE569" s="48"/>
      <c r="CF569" s="48"/>
      <c r="CG569" s="48"/>
      <c r="CH569" s="48"/>
      <c r="CI569" s="48"/>
      <c r="CJ569" s="48"/>
      <c r="CK569" s="48"/>
      <c r="CL569" s="48"/>
      <c r="CM569" s="48"/>
      <c r="CN569" s="48"/>
      <c r="CO569" s="48"/>
      <c r="CP569" s="48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  <c r="DA569" s="48"/>
      <c r="DB569" s="48"/>
      <c r="DC569" s="48"/>
      <c r="DD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175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175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  <c r="CO570" s="48"/>
      <c r="CP570" s="48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175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175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  <c r="BD571" s="48"/>
      <c r="BE571" s="48"/>
      <c r="BF571" s="48"/>
      <c r="BG571" s="48"/>
      <c r="BH571" s="48"/>
      <c r="BI571" s="48"/>
      <c r="BJ571" s="48"/>
      <c r="BK571" s="48"/>
      <c r="BL571" s="48"/>
      <c r="BM571" s="48"/>
      <c r="BN571" s="48"/>
      <c r="BO571" s="48"/>
      <c r="BP571" s="48"/>
      <c r="BQ571" s="48"/>
      <c r="BR571" s="48"/>
      <c r="BS571" s="48"/>
      <c r="BT571" s="48"/>
      <c r="BU571" s="48"/>
      <c r="BV571" s="48"/>
      <c r="BW571" s="48"/>
      <c r="BX571" s="48"/>
      <c r="BY571" s="48"/>
      <c r="BZ571" s="48"/>
      <c r="CA571" s="48"/>
      <c r="CB571" s="48"/>
      <c r="CC571" s="48"/>
      <c r="CD571" s="48"/>
      <c r="CE571" s="48"/>
      <c r="CF571" s="48"/>
      <c r="CG571" s="48"/>
      <c r="CH571" s="48"/>
      <c r="CI571" s="48"/>
      <c r="CJ571" s="48"/>
      <c r="CK571" s="48"/>
      <c r="CL571" s="48"/>
      <c r="CM571" s="48"/>
      <c r="CN571" s="48"/>
      <c r="CO571" s="48"/>
      <c r="CP571" s="48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  <c r="DA571" s="48"/>
      <c r="DB571" s="48"/>
      <c r="DC571" s="48"/>
      <c r="DD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175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175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  <c r="BD572" s="48"/>
      <c r="BE572" s="48"/>
      <c r="BF572" s="48"/>
      <c r="BG572" s="48"/>
      <c r="BH572" s="48"/>
      <c r="BI572" s="48"/>
      <c r="BJ572" s="48"/>
      <c r="BK572" s="48"/>
      <c r="BL572" s="48"/>
      <c r="BM572" s="48"/>
      <c r="BN572" s="48"/>
      <c r="BO572" s="48"/>
      <c r="BP572" s="48"/>
      <c r="BQ572" s="48"/>
      <c r="BR572" s="48"/>
      <c r="BS572" s="48"/>
      <c r="BT572" s="48"/>
      <c r="BU572" s="48"/>
      <c r="BV572" s="48"/>
      <c r="BW572" s="48"/>
      <c r="BX572" s="48"/>
      <c r="BY572" s="48"/>
      <c r="BZ572" s="48"/>
      <c r="CA572" s="48"/>
      <c r="CB572" s="48"/>
      <c r="CC572" s="48"/>
      <c r="CD572" s="48"/>
      <c r="CE572" s="48"/>
      <c r="CF572" s="48"/>
      <c r="CG572" s="48"/>
      <c r="CH572" s="48"/>
      <c r="CI572" s="48"/>
      <c r="CJ572" s="48"/>
      <c r="CK572" s="48"/>
      <c r="CL572" s="48"/>
      <c r="CM572" s="48"/>
      <c r="CN572" s="48"/>
      <c r="CO572" s="48"/>
      <c r="CP572" s="48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  <c r="DA572" s="48"/>
      <c r="DB572" s="48"/>
      <c r="DC572" s="48"/>
      <c r="DD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175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175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  <c r="BD573" s="48"/>
      <c r="BE573" s="48"/>
      <c r="BF573" s="48"/>
      <c r="BG573" s="48"/>
      <c r="BH573" s="48"/>
      <c r="BI573" s="48"/>
      <c r="BJ573" s="48"/>
      <c r="BK573" s="48"/>
      <c r="BL573" s="48"/>
      <c r="BM573" s="48"/>
      <c r="BN573" s="48"/>
      <c r="BO573" s="48"/>
      <c r="BP573" s="48"/>
      <c r="BQ573" s="48"/>
      <c r="BR573" s="48"/>
      <c r="BS573" s="48"/>
      <c r="BT573" s="48"/>
      <c r="BU573" s="48"/>
      <c r="BV573" s="48"/>
      <c r="BW573" s="48"/>
      <c r="BX573" s="48"/>
      <c r="BY573" s="48"/>
      <c r="BZ573" s="48"/>
      <c r="CA573" s="48"/>
      <c r="CB573" s="48"/>
      <c r="CC573" s="48"/>
      <c r="CD573" s="48"/>
      <c r="CE573" s="48"/>
      <c r="CF573" s="48"/>
      <c r="CG573" s="48"/>
      <c r="CH573" s="48"/>
      <c r="CI573" s="48"/>
      <c r="CJ573" s="48"/>
      <c r="CK573" s="48"/>
      <c r="CL573" s="48"/>
      <c r="CM573" s="48"/>
      <c r="CN573" s="48"/>
      <c r="CO573" s="48"/>
      <c r="CP573" s="48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  <c r="DA573" s="48"/>
      <c r="DB573" s="48"/>
      <c r="DC573" s="48"/>
      <c r="DD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175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175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  <c r="BD574" s="48"/>
      <c r="BE574" s="48"/>
      <c r="BF574" s="48"/>
      <c r="BG574" s="48"/>
      <c r="BH574" s="48"/>
      <c r="BI574" s="48"/>
      <c r="BJ574" s="48"/>
      <c r="BK574" s="48"/>
      <c r="BL574" s="48"/>
      <c r="BM574" s="48"/>
      <c r="BN574" s="48"/>
      <c r="BO574" s="48"/>
      <c r="BP574" s="48"/>
      <c r="BQ574" s="48"/>
      <c r="BR574" s="48"/>
      <c r="BS574" s="48"/>
      <c r="BT574" s="48"/>
      <c r="BU574" s="48"/>
      <c r="BV574" s="48"/>
      <c r="BW574" s="48"/>
      <c r="BX574" s="48"/>
      <c r="BY574" s="48"/>
      <c r="BZ574" s="48"/>
      <c r="CA574" s="48"/>
      <c r="CB574" s="48"/>
      <c r="CC574" s="48"/>
      <c r="CD574" s="48"/>
      <c r="CE574" s="48"/>
      <c r="CF574" s="48"/>
      <c r="CG574" s="48"/>
      <c r="CH574" s="48"/>
      <c r="CI574" s="48"/>
      <c r="CJ574" s="48"/>
      <c r="CK574" s="48"/>
      <c r="CL574" s="48"/>
      <c r="CM574" s="48"/>
      <c r="CN574" s="48"/>
      <c r="CO574" s="48"/>
      <c r="CP574" s="48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  <c r="DA574" s="48"/>
      <c r="DB574" s="48"/>
      <c r="DC574" s="48"/>
      <c r="DD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175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175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  <c r="BD575" s="48"/>
      <c r="BE575" s="48"/>
      <c r="BF575" s="48"/>
      <c r="BG575" s="48"/>
      <c r="BH575" s="48"/>
      <c r="BI575" s="48"/>
      <c r="BJ575" s="48"/>
      <c r="BK575" s="48"/>
      <c r="BL575" s="48"/>
      <c r="BM575" s="48"/>
      <c r="BN575" s="48"/>
      <c r="BO575" s="48"/>
      <c r="BP575" s="48"/>
      <c r="BQ575" s="48"/>
      <c r="BR575" s="48"/>
      <c r="BS575" s="48"/>
      <c r="BT575" s="48"/>
      <c r="BU575" s="48"/>
      <c r="BV575" s="48"/>
      <c r="BW575" s="48"/>
      <c r="BX575" s="48"/>
      <c r="BY575" s="48"/>
      <c r="BZ575" s="48"/>
      <c r="CA575" s="48"/>
      <c r="CB575" s="48"/>
      <c r="CC575" s="48"/>
      <c r="CD575" s="48"/>
      <c r="CE575" s="48"/>
      <c r="CF575" s="48"/>
      <c r="CG575" s="48"/>
      <c r="CH575" s="48"/>
      <c r="CI575" s="48"/>
      <c r="CJ575" s="48"/>
      <c r="CK575" s="48"/>
      <c r="CL575" s="48"/>
      <c r="CM575" s="48"/>
      <c r="CN575" s="48"/>
      <c r="CO575" s="48"/>
      <c r="CP575" s="48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  <c r="DA575" s="48"/>
      <c r="DB575" s="48"/>
      <c r="DC575" s="48"/>
      <c r="DD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175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175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  <c r="BD576" s="48"/>
      <c r="BE576" s="48"/>
      <c r="BF576" s="48"/>
      <c r="BG576" s="48"/>
      <c r="BH576" s="48"/>
      <c r="BI576" s="48"/>
      <c r="BJ576" s="48"/>
      <c r="BK576" s="48"/>
      <c r="BL576" s="48"/>
      <c r="BM576" s="48"/>
      <c r="BN576" s="48"/>
      <c r="BO576" s="48"/>
      <c r="BP576" s="48"/>
      <c r="BQ576" s="48"/>
      <c r="BR576" s="48"/>
      <c r="BS576" s="48"/>
      <c r="BT576" s="48"/>
      <c r="BU576" s="48"/>
      <c r="BV576" s="48"/>
      <c r="BW576" s="48"/>
      <c r="BX576" s="48"/>
      <c r="BY576" s="48"/>
      <c r="BZ576" s="48"/>
      <c r="CA576" s="48"/>
      <c r="CB576" s="48"/>
      <c r="CC576" s="48"/>
      <c r="CD576" s="48"/>
      <c r="CE576" s="48"/>
      <c r="CF576" s="48"/>
      <c r="CG576" s="48"/>
      <c r="CH576" s="48"/>
      <c r="CI576" s="48"/>
      <c r="CJ576" s="48"/>
      <c r="CK576" s="48"/>
      <c r="CL576" s="48"/>
      <c r="CM576" s="48"/>
      <c r="CN576" s="48"/>
      <c r="CO576" s="48"/>
      <c r="CP576" s="48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  <c r="DA576" s="48"/>
      <c r="DB576" s="48"/>
      <c r="DC576" s="48"/>
      <c r="DD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175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175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  <c r="BD577" s="48"/>
      <c r="BE577" s="48"/>
      <c r="BF577" s="48"/>
      <c r="BG577" s="48"/>
      <c r="BH577" s="48"/>
      <c r="BI577" s="48"/>
      <c r="BJ577" s="48"/>
      <c r="BK577" s="48"/>
      <c r="BL577" s="48"/>
      <c r="BM577" s="48"/>
      <c r="BN577" s="48"/>
      <c r="BO577" s="48"/>
      <c r="BP577" s="48"/>
      <c r="BQ577" s="48"/>
      <c r="BR577" s="48"/>
      <c r="BS577" s="48"/>
      <c r="BT577" s="48"/>
      <c r="BU577" s="48"/>
      <c r="BV577" s="48"/>
      <c r="BW577" s="48"/>
      <c r="BX577" s="48"/>
      <c r="BY577" s="48"/>
      <c r="BZ577" s="48"/>
      <c r="CA577" s="48"/>
      <c r="CB577" s="48"/>
      <c r="CC577" s="48"/>
      <c r="CD577" s="48"/>
      <c r="CE577" s="48"/>
      <c r="CF577" s="48"/>
      <c r="CG577" s="48"/>
      <c r="CH577" s="48"/>
      <c r="CI577" s="48"/>
      <c r="CJ577" s="48"/>
      <c r="CK577" s="48"/>
      <c r="CL577" s="48"/>
      <c r="CM577" s="48"/>
      <c r="CN577" s="48"/>
      <c r="CO577" s="48"/>
      <c r="CP577" s="48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  <c r="DA577" s="48"/>
      <c r="DB577" s="48"/>
      <c r="DC577" s="48"/>
      <c r="DD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175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175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  <c r="BD578" s="48"/>
      <c r="BE578" s="48"/>
      <c r="BF578" s="48"/>
      <c r="BG578" s="48"/>
      <c r="BH578" s="48"/>
      <c r="BI578" s="48"/>
      <c r="BJ578" s="48"/>
      <c r="BK578" s="48"/>
      <c r="BL578" s="48"/>
      <c r="BM578" s="48"/>
      <c r="BN578" s="48"/>
      <c r="BO578" s="48"/>
      <c r="BP578" s="48"/>
      <c r="BQ578" s="48"/>
      <c r="BR578" s="48"/>
      <c r="BS578" s="48"/>
      <c r="BT578" s="48"/>
      <c r="BU578" s="48"/>
      <c r="BV578" s="48"/>
      <c r="BW578" s="48"/>
      <c r="BX578" s="48"/>
      <c r="BY578" s="48"/>
      <c r="BZ578" s="48"/>
      <c r="CA578" s="48"/>
      <c r="CB578" s="48"/>
      <c r="CC578" s="48"/>
      <c r="CD578" s="48"/>
      <c r="CE578" s="48"/>
      <c r="CF578" s="48"/>
      <c r="CG578" s="48"/>
      <c r="CH578" s="48"/>
      <c r="CI578" s="48"/>
      <c r="CJ578" s="48"/>
      <c r="CK578" s="48"/>
      <c r="CL578" s="48"/>
      <c r="CM578" s="48"/>
      <c r="CN578" s="48"/>
      <c r="CO578" s="48"/>
      <c r="CP578" s="48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  <c r="DA578" s="48"/>
      <c r="DB578" s="48"/>
      <c r="DC578" s="48"/>
      <c r="DD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175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175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  <c r="BD579" s="48"/>
      <c r="BE579" s="48"/>
      <c r="BF579" s="48"/>
      <c r="BG579" s="48"/>
      <c r="BH579" s="48"/>
      <c r="BI579" s="48"/>
      <c r="BJ579" s="48"/>
      <c r="BK579" s="48"/>
      <c r="BL579" s="48"/>
      <c r="BM579" s="48"/>
      <c r="BN579" s="48"/>
      <c r="BO579" s="48"/>
      <c r="BP579" s="48"/>
      <c r="BQ579" s="48"/>
      <c r="BR579" s="48"/>
      <c r="BS579" s="48"/>
      <c r="BT579" s="48"/>
      <c r="BU579" s="48"/>
      <c r="BV579" s="48"/>
      <c r="BW579" s="48"/>
      <c r="BX579" s="48"/>
      <c r="BY579" s="48"/>
      <c r="BZ579" s="48"/>
      <c r="CA579" s="48"/>
      <c r="CB579" s="48"/>
      <c r="CC579" s="48"/>
      <c r="CD579" s="48"/>
      <c r="CE579" s="48"/>
      <c r="CF579" s="48"/>
      <c r="CG579" s="48"/>
      <c r="CH579" s="48"/>
      <c r="CI579" s="48"/>
      <c r="CJ579" s="48"/>
      <c r="CK579" s="48"/>
      <c r="CL579" s="48"/>
      <c r="CM579" s="48"/>
      <c r="CN579" s="48"/>
      <c r="CO579" s="48"/>
      <c r="CP579" s="48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  <c r="DA579" s="48"/>
      <c r="DB579" s="48"/>
      <c r="DC579" s="48"/>
      <c r="DD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175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175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8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175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175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  <c r="BD581" s="48"/>
      <c r="BE581" s="48"/>
      <c r="BF581" s="48"/>
      <c r="BG581" s="48"/>
      <c r="BH581" s="48"/>
      <c r="BI581" s="48"/>
      <c r="BJ581" s="48"/>
      <c r="BK581" s="48"/>
      <c r="BL581" s="48"/>
      <c r="BM581" s="48"/>
      <c r="BN581" s="48"/>
      <c r="BO581" s="48"/>
      <c r="BP581" s="48"/>
      <c r="BQ581" s="48"/>
      <c r="BR581" s="48"/>
      <c r="BS581" s="48"/>
      <c r="BT581" s="48"/>
      <c r="BU581" s="48"/>
      <c r="BV581" s="48"/>
      <c r="BW581" s="48"/>
      <c r="BX581" s="48"/>
      <c r="BY581" s="48"/>
      <c r="BZ581" s="48"/>
      <c r="CA581" s="48"/>
      <c r="CB581" s="48"/>
      <c r="CC581" s="48"/>
      <c r="CD581" s="48"/>
      <c r="CE581" s="48"/>
      <c r="CF581" s="48"/>
      <c r="CG581" s="48"/>
      <c r="CH581" s="48"/>
      <c r="CI581" s="48"/>
      <c r="CJ581" s="48"/>
      <c r="CK581" s="48"/>
      <c r="CL581" s="48"/>
      <c r="CM581" s="48"/>
      <c r="CN581" s="48"/>
      <c r="CO581" s="48"/>
      <c r="CP581" s="48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  <c r="DA581" s="48"/>
      <c r="DB581" s="48"/>
      <c r="DC581" s="48"/>
      <c r="DD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175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175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  <c r="BD582" s="48"/>
      <c r="BE582" s="48"/>
      <c r="BF582" s="48"/>
      <c r="BG582" s="48"/>
      <c r="BH582" s="48"/>
      <c r="BI582" s="48"/>
      <c r="BJ582" s="48"/>
      <c r="BK582" s="48"/>
      <c r="BL582" s="48"/>
      <c r="BM582" s="48"/>
      <c r="BN582" s="48"/>
      <c r="BO582" s="48"/>
      <c r="BP582" s="48"/>
      <c r="BQ582" s="48"/>
      <c r="BR582" s="48"/>
      <c r="BS582" s="48"/>
      <c r="BT582" s="48"/>
      <c r="BU582" s="48"/>
      <c r="BV582" s="48"/>
      <c r="BW582" s="48"/>
      <c r="BX582" s="48"/>
      <c r="BY582" s="48"/>
      <c r="BZ582" s="48"/>
      <c r="CA582" s="48"/>
      <c r="CB582" s="48"/>
      <c r="CC582" s="48"/>
      <c r="CD582" s="48"/>
      <c r="CE582" s="48"/>
      <c r="CF582" s="48"/>
      <c r="CG582" s="48"/>
      <c r="CH582" s="48"/>
      <c r="CI582" s="48"/>
      <c r="CJ582" s="48"/>
      <c r="CK582" s="48"/>
      <c r="CL582" s="48"/>
      <c r="CM582" s="48"/>
      <c r="CN582" s="48"/>
      <c r="CO582" s="48"/>
      <c r="CP582" s="48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  <c r="DA582" s="48"/>
      <c r="DB582" s="48"/>
      <c r="DC582" s="48"/>
      <c r="DD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175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175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  <c r="BD583" s="48"/>
      <c r="BE583" s="48"/>
      <c r="BF583" s="48"/>
      <c r="BG583" s="48"/>
      <c r="BH583" s="48"/>
      <c r="BI583" s="48"/>
      <c r="BJ583" s="48"/>
      <c r="BK583" s="48"/>
      <c r="BL583" s="48"/>
      <c r="BM583" s="48"/>
      <c r="BN583" s="48"/>
      <c r="BO583" s="48"/>
      <c r="BP583" s="48"/>
      <c r="BQ583" s="48"/>
      <c r="BR583" s="48"/>
      <c r="BS583" s="48"/>
      <c r="BT583" s="48"/>
      <c r="BU583" s="48"/>
      <c r="BV583" s="48"/>
      <c r="BW583" s="48"/>
      <c r="BX583" s="48"/>
      <c r="BY583" s="48"/>
      <c r="BZ583" s="48"/>
      <c r="CA583" s="48"/>
      <c r="CB583" s="48"/>
      <c r="CC583" s="48"/>
      <c r="CD583" s="48"/>
      <c r="CE583" s="48"/>
      <c r="CF583" s="48"/>
      <c r="CG583" s="48"/>
      <c r="CH583" s="48"/>
      <c r="CI583" s="48"/>
      <c r="CJ583" s="48"/>
      <c r="CK583" s="48"/>
      <c r="CL583" s="48"/>
      <c r="CM583" s="48"/>
      <c r="CN583" s="48"/>
      <c r="CO583" s="48"/>
      <c r="CP583" s="48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  <c r="DA583" s="48"/>
      <c r="DB583" s="48"/>
      <c r="DC583" s="48"/>
      <c r="DD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175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175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  <c r="BD584" s="48"/>
      <c r="BE584" s="48"/>
      <c r="BF584" s="48"/>
      <c r="BG584" s="48"/>
      <c r="BH584" s="48"/>
      <c r="BI584" s="48"/>
      <c r="BJ584" s="48"/>
      <c r="BK584" s="48"/>
      <c r="BL584" s="48"/>
      <c r="BM584" s="48"/>
      <c r="BN584" s="48"/>
      <c r="BO584" s="48"/>
      <c r="BP584" s="48"/>
      <c r="BQ584" s="48"/>
      <c r="BR584" s="48"/>
      <c r="BS584" s="48"/>
      <c r="BT584" s="48"/>
      <c r="BU584" s="48"/>
      <c r="BV584" s="48"/>
      <c r="BW584" s="48"/>
      <c r="BX584" s="48"/>
      <c r="BY584" s="48"/>
      <c r="BZ584" s="48"/>
      <c r="CA584" s="48"/>
      <c r="CB584" s="48"/>
      <c r="CC584" s="48"/>
      <c r="CD584" s="48"/>
      <c r="CE584" s="48"/>
      <c r="CF584" s="48"/>
      <c r="CG584" s="48"/>
      <c r="CH584" s="48"/>
      <c r="CI584" s="48"/>
      <c r="CJ584" s="48"/>
      <c r="CK584" s="48"/>
      <c r="CL584" s="48"/>
      <c r="CM584" s="48"/>
      <c r="CN584" s="48"/>
      <c r="CO584" s="48"/>
      <c r="CP584" s="48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  <c r="DA584" s="48"/>
      <c r="DB584" s="48"/>
      <c r="DC584" s="48"/>
      <c r="DD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175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175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  <c r="BD585" s="48"/>
      <c r="BE585" s="48"/>
      <c r="BF585" s="48"/>
      <c r="BG585" s="48"/>
      <c r="BH585" s="48"/>
      <c r="BI585" s="48"/>
      <c r="BJ585" s="48"/>
      <c r="BK585" s="48"/>
      <c r="BL585" s="48"/>
      <c r="BM585" s="48"/>
      <c r="BN585" s="48"/>
      <c r="BO585" s="48"/>
      <c r="BP585" s="48"/>
      <c r="BQ585" s="48"/>
      <c r="BR585" s="48"/>
      <c r="BS585" s="48"/>
      <c r="BT585" s="48"/>
      <c r="BU585" s="48"/>
      <c r="BV585" s="48"/>
      <c r="BW585" s="48"/>
      <c r="BX585" s="48"/>
      <c r="BY585" s="48"/>
      <c r="BZ585" s="48"/>
      <c r="CA585" s="48"/>
      <c r="CB585" s="48"/>
      <c r="CC585" s="48"/>
      <c r="CD585" s="48"/>
      <c r="CE585" s="48"/>
      <c r="CF585" s="48"/>
      <c r="CG585" s="48"/>
      <c r="CH585" s="48"/>
      <c r="CI585" s="48"/>
      <c r="CJ585" s="48"/>
      <c r="CK585" s="48"/>
      <c r="CL585" s="48"/>
      <c r="CM585" s="48"/>
      <c r="CN585" s="48"/>
      <c r="CO585" s="48"/>
      <c r="CP585" s="48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  <c r="DA585" s="48"/>
      <c r="DB585" s="48"/>
      <c r="DC585" s="48"/>
      <c r="DD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175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175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  <c r="BD586" s="48"/>
      <c r="BE586" s="48"/>
      <c r="BF586" s="48"/>
      <c r="BG586" s="48"/>
      <c r="BH586" s="48"/>
      <c r="BI586" s="48"/>
      <c r="BJ586" s="48"/>
      <c r="BK586" s="48"/>
      <c r="BL586" s="48"/>
      <c r="BM586" s="48"/>
      <c r="BN586" s="48"/>
      <c r="BO586" s="48"/>
      <c r="BP586" s="48"/>
      <c r="BQ586" s="48"/>
      <c r="BR586" s="48"/>
      <c r="BS586" s="48"/>
      <c r="BT586" s="48"/>
      <c r="BU586" s="48"/>
      <c r="BV586" s="48"/>
      <c r="BW586" s="48"/>
      <c r="BX586" s="48"/>
      <c r="BY586" s="48"/>
      <c r="BZ586" s="48"/>
      <c r="CA586" s="48"/>
      <c r="CB586" s="48"/>
      <c r="CC586" s="48"/>
      <c r="CD586" s="48"/>
      <c r="CE586" s="48"/>
      <c r="CF586" s="48"/>
      <c r="CG586" s="48"/>
      <c r="CH586" s="48"/>
      <c r="CI586" s="48"/>
      <c r="CJ586" s="48"/>
      <c r="CK586" s="48"/>
      <c r="CL586" s="48"/>
      <c r="CM586" s="48"/>
      <c r="CN586" s="48"/>
      <c r="CO586" s="48"/>
      <c r="CP586" s="48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  <c r="DA586" s="48"/>
      <c r="DB586" s="48"/>
      <c r="DC586" s="48"/>
      <c r="DD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175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175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  <c r="BD587" s="48"/>
      <c r="BE587" s="48"/>
      <c r="BF587" s="48"/>
      <c r="BG587" s="48"/>
      <c r="BH587" s="48"/>
      <c r="BI587" s="48"/>
      <c r="BJ587" s="48"/>
      <c r="BK587" s="48"/>
      <c r="BL587" s="48"/>
      <c r="BM587" s="48"/>
      <c r="BN587" s="48"/>
      <c r="BO587" s="48"/>
      <c r="BP587" s="48"/>
      <c r="BQ587" s="48"/>
      <c r="BR587" s="48"/>
      <c r="BS587" s="48"/>
      <c r="BT587" s="48"/>
      <c r="BU587" s="48"/>
      <c r="BV587" s="48"/>
      <c r="BW587" s="48"/>
      <c r="BX587" s="48"/>
      <c r="BY587" s="48"/>
      <c r="BZ587" s="48"/>
      <c r="CA587" s="48"/>
      <c r="CB587" s="48"/>
      <c r="CC587" s="48"/>
      <c r="CD587" s="48"/>
      <c r="CE587" s="48"/>
      <c r="CF587" s="48"/>
      <c r="CG587" s="48"/>
      <c r="CH587" s="48"/>
      <c r="CI587" s="48"/>
      <c r="CJ587" s="48"/>
      <c r="CK587" s="48"/>
      <c r="CL587" s="48"/>
      <c r="CM587" s="48"/>
      <c r="CN587" s="48"/>
      <c r="CO587" s="48"/>
      <c r="CP587" s="48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  <c r="DA587" s="48"/>
      <c r="DB587" s="48"/>
      <c r="DC587" s="48"/>
      <c r="DD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175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175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  <c r="BD588" s="48"/>
      <c r="BE588" s="48"/>
      <c r="BF588" s="48"/>
      <c r="BG588" s="48"/>
      <c r="BH588" s="48"/>
      <c r="BI588" s="48"/>
      <c r="BJ588" s="48"/>
      <c r="BK588" s="48"/>
      <c r="BL588" s="48"/>
      <c r="BM588" s="48"/>
      <c r="BN588" s="48"/>
      <c r="BO588" s="48"/>
      <c r="BP588" s="48"/>
      <c r="BQ588" s="48"/>
      <c r="BR588" s="48"/>
      <c r="BS588" s="48"/>
      <c r="BT588" s="48"/>
      <c r="BU588" s="48"/>
      <c r="BV588" s="48"/>
      <c r="BW588" s="48"/>
      <c r="BX588" s="48"/>
      <c r="BY588" s="48"/>
      <c r="BZ588" s="48"/>
      <c r="CA588" s="48"/>
      <c r="CB588" s="48"/>
      <c r="CC588" s="48"/>
      <c r="CD588" s="48"/>
      <c r="CE588" s="48"/>
      <c r="CF588" s="48"/>
      <c r="CG588" s="48"/>
      <c r="CH588" s="48"/>
      <c r="CI588" s="48"/>
      <c r="CJ588" s="48"/>
      <c r="CK588" s="48"/>
      <c r="CL588" s="48"/>
      <c r="CM588" s="48"/>
      <c r="CN588" s="48"/>
      <c r="CO588" s="48"/>
      <c r="CP588" s="48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  <c r="DA588" s="48"/>
      <c r="DB588" s="48"/>
      <c r="DC588" s="48"/>
      <c r="DD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175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175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  <c r="BD589" s="48"/>
      <c r="BE589" s="48"/>
      <c r="BF589" s="48"/>
      <c r="BG589" s="48"/>
      <c r="BH589" s="48"/>
      <c r="BI589" s="48"/>
      <c r="BJ589" s="48"/>
      <c r="BK589" s="48"/>
      <c r="BL589" s="48"/>
      <c r="BM589" s="48"/>
      <c r="BN589" s="48"/>
      <c r="BO589" s="48"/>
      <c r="BP589" s="48"/>
      <c r="BQ589" s="48"/>
      <c r="BR589" s="48"/>
      <c r="BS589" s="48"/>
      <c r="BT589" s="48"/>
      <c r="BU589" s="48"/>
      <c r="BV589" s="48"/>
      <c r="BW589" s="48"/>
      <c r="BX589" s="48"/>
      <c r="BY589" s="48"/>
      <c r="BZ589" s="48"/>
      <c r="CA589" s="48"/>
      <c r="CB589" s="48"/>
      <c r="CC589" s="48"/>
      <c r="CD589" s="48"/>
      <c r="CE589" s="48"/>
      <c r="CF589" s="48"/>
      <c r="CG589" s="48"/>
      <c r="CH589" s="48"/>
      <c r="CI589" s="48"/>
      <c r="CJ589" s="48"/>
      <c r="CK589" s="48"/>
      <c r="CL589" s="48"/>
      <c r="CM589" s="48"/>
      <c r="CN589" s="48"/>
      <c r="CO589" s="48"/>
      <c r="CP589" s="48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  <c r="DA589" s="48"/>
      <c r="DB589" s="48"/>
      <c r="DC589" s="48"/>
      <c r="DD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175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175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  <c r="BD590" s="48"/>
      <c r="BE590" s="48"/>
      <c r="BF590" s="48"/>
      <c r="BG590" s="48"/>
      <c r="BH590" s="48"/>
      <c r="BI590" s="48"/>
      <c r="BJ590" s="48"/>
      <c r="BK590" s="48"/>
      <c r="BL590" s="48"/>
      <c r="BM590" s="48"/>
      <c r="BN590" s="48"/>
      <c r="BO590" s="48"/>
      <c r="BP590" s="48"/>
      <c r="BQ590" s="48"/>
      <c r="BR590" s="48"/>
      <c r="BS590" s="48"/>
      <c r="BT590" s="48"/>
      <c r="BU590" s="48"/>
      <c r="BV590" s="48"/>
      <c r="BW590" s="48"/>
      <c r="BX590" s="48"/>
      <c r="BY590" s="48"/>
      <c r="BZ590" s="48"/>
      <c r="CA590" s="48"/>
      <c r="CB590" s="48"/>
      <c r="CC590" s="48"/>
      <c r="CD590" s="48"/>
      <c r="CE590" s="48"/>
      <c r="CF590" s="48"/>
      <c r="CG590" s="48"/>
      <c r="CH590" s="48"/>
      <c r="CI590" s="48"/>
      <c r="CJ590" s="48"/>
      <c r="CK590" s="48"/>
      <c r="CL590" s="48"/>
      <c r="CM590" s="48"/>
      <c r="CN590" s="48"/>
      <c r="CO590" s="48"/>
      <c r="CP590" s="48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  <c r="DA590" s="48"/>
      <c r="DB590" s="48"/>
      <c r="DC590" s="48"/>
      <c r="DD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175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175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  <c r="BD591" s="48"/>
      <c r="BE591" s="48"/>
      <c r="BF591" s="48"/>
      <c r="BG591" s="48"/>
      <c r="BH591" s="48"/>
      <c r="BI591" s="48"/>
      <c r="BJ591" s="48"/>
      <c r="BK591" s="48"/>
      <c r="BL591" s="48"/>
      <c r="BM591" s="48"/>
      <c r="BN591" s="48"/>
      <c r="BO591" s="48"/>
      <c r="BP591" s="48"/>
      <c r="BQ591" s="48"/>
      <c r="BR591" s="48"/>
      <c r="BS591" s="48"/>
      <c r="BT591" s="48"/>
      <c r="BU591" s="48"/>
      <c r="BV591" s="48"/>
      <c r="BW591" s="48"/>
      <c r="BX591" s="48"/>
      <c r="BY591" s="48"/>
      <c r="BZ591" s="48"/>
      <c r="CA591" s="48"/>
      <c r="CB591" s="48"/>
      <c r="CC591" s="48"/>
      <c r="CD591" s="48"/>
      <c r="CE591" s="48"/>
      <c r="CF591" s="48"/>
      <c r="CG591" s="48"/>
      <c r="CH591" s="48"/>
      <c r="CI591" s="48"/>
      <c r="CJ591" s="48"/>
      <c r="CK591" s="48"/>
      <c r="CL591" s="48"/>
      <c r="CM591" s="48"/>
      <c r="CN591" s="48"/>
      <c r="CO591" s="48"/>
      <c r="CP591" s="48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  <c r="DA591" s="48"/>
      <c r="DB591" s="48"/>
      <c r="DC591" s="48"/>
      <c r="DD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175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175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  <c r="BD592" s="48"/>
      <c r="BE592" s="48"/>
      <c r="BF592" s="48"/>
      <c r="BG592" s="48"/>
      <c r="BH592" s="48"/>
      <c r="BI592" s="48"/>
      <c r="BJ592" s="48"/>
      <c r="BK592" s="48"/>
      <c r="BL592" s="48"/>
      <c r="BM592" s="48"/>
      <c r="BN592" s="48"/>
      <c r="BO592" s="48"/>
      <c r="BP592" s="48"/>
      <c r="BQ592" s="48"/>
      <c r="BR592" s="48"/>
      <c r="BS592" s="48"/>
      <c r="BT592" s="48"/>
      <c r="BU592" s="48"/>
      <c r="BV592" s="48"/>
      <c r="BW592" s="48"/>
      <c r="BX592" s="48"/>
      <c r="BY592" s="48"/>
      <c r="BZ592" s="48"/>
      <c r="CA592" s="48"/>
      <c r="CB592" s="48"/>
      <c r="CC592" s="48"/>
      <c r="CD592" s="48"/>
      <c r="CE592" s="48"/>
      <c r="CF592" s="48"/>
      <c r="CG592" s="48"/>
      <c r="CH592" s="48"/>
      <c r="CI592" s="48"/>
      <c r="CJ592" s="48"/>
      <c r="CK592" s="48"/>
      <c r="CL592" s="48"/>
      <c r="CM592" s="48"/>
      <c r="CN592" s="48"/>
      <c r="CO592" s="48"/>
      <c r="CP592" s="48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  <c r="DA592" s="48"/>
      <c r="DB592" s="48"/>
      <c r="DC592" s="48"/>
      <c r="DD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175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175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  <c r="BD593" s="48"/>
      <c r="BE593" s="48"/>
      <c r="BF593" s="48"/>
      <c r="BG593" s="48"/>
      <c r="BH593" s="48"/>
      <c r="BI593" s="48"/>
      <c r="BJ593" s="48"/>
      <c r="BK593" s="48"/>
      <c r="BL593" s="48"/>
      <c r="BM593" s="48"/>
      <c r="BN593" s="48"/>
      <c r="BO593" s="48"/>
      <c r="BP593" s="48"/>
      <c r="BQ593" s="48"/>
      <c r="BR593" s="48"/>
      <c r="BS593" s="48"/>
      <c r="BT593" s="48"/>
      <c r="BU593" s="48"/>
      <c r="BV593" s="48"/>
      <c r="BW593" s="48"/>
      <c r="BX593" s="48"/>
      <c r="BY593" s="48"/>
      <c r="BZ593" s="48"/>
      <c r="CA593" s="48"/>
      <c r="CB593" s="48"/>
      <c r="CC593" s="48"/>
      <c r="CD593" s="48"/>
      <c r="CE593" s="48"/>
      <c r="CF593" s="48"/>
      <c r="CG593" s="48"/>
      <c r="CH593" s="48"/>
      <c r="CI593" s="48"/>
      <c r="CJ593" s="48"/>
      <c r="CK593" s="48"/>
      <c r="CL593" s="48"/>
      <c r="CM593" s="48"/>
      <c r="CN593" s="48"/>
      <c r="CO593" s="48"/>
      <c r="CP593" s="48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  <c r="DA593" s="48"/>
      <c r="DB593" s="48"/>
      <c r="DC593" s="48"/>
      <c r="DD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175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175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  <c r="BD594" s="48"/>
      <c r="BE594" s="48"/>
      <c r="BF594" s="48"/>
      <c r="BG594" s="48"/>
      <c r="BH594" s="48"/>
      <c r="BI594" s="48"/>
      <c r="BJ594" s="48"/>
      <c r="BK594" s="48"/>
      <c r="BL594" s="48"/>
      <c r="BM594" s="48"/>
      <c r="BN594" s="48"/>
      <c r="BO594" s="48"/>
      <c r="BP594" s="48"/>
      <c r="BQ594" s="48"/>
      <c r="BR594" s="48"/>
      <c r="BS594" s="48"/>
      <c r="BT594" s="48"/>
      <c r="BU594" s="48"/>
      <c r="BV594" s="48"/>
      <c r="BW594" s="48"/>
      <c r="BX594" s="48"/>
      <c r="BY594" s="48"/>
      <c r="BZ594" s="48"/>
      <c r="CA594" s="48"/>
      <c r="CB594" s="48"/>
      <c r="CC594" s="48"/>
      <c r="CD594" s="48"/>
      <c r="CE594" s="48"/>
      <c r="CF594" s="48"/>
      <c r="CG594" s="48"/>
      <c r="CH594" s="48"/>
      <c r="CI594" s="48"/>
      <c r="CJ594" s="48"/>
      <c r="CK594" s="48"/>
      <c r="CL594" s="48"/>
      <c r="CM594" s="48"/>
      <c r="CN594" s="48"/>
      <c r="CO594" s="48"/>
      <c r="CP594" s="48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  <c r="DA594" s="48"/>
      <c r="DB594" s="48"/>
      <c r="DC594" s="48"/>
      <c r="DD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175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175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  <c r="BD595" s="48"/>
      <c r="BE595" s="48"/>
      <c r="BF595" s="48"/>
      <c r="BG595" s="48"/>
      <c r="BH595" s="48"/>
      <c r="BI595" s="48"/>
      <c r="BJ595" s="48"/>
      <c r="BK595" s="48"/>
      <c r="BL595" s="48"/>
      <c r="BM595" s="48"/>
      <c r="BN595" s="48"/>
      <c r="BO595" s="48"/>
      <c r="BP595" s="48"/>
      <c r="BQ595" s="48"/>
      <c r="BR595" s="48"/>
      <c r="BS595" s="48"/>
      <c r="BT595" s="48"/>
      <c r="BU595" s="48"/>
      <c r="BV595" s="48"/>
      <c r="BW595" s="48"/>
      <c r="BX595" s="48"/>
      <c r="BY595" s="48"/>
      <c r="BZ595" s="48"/>
      <c r="CA595" s="48"/>
      <c r="CB595" s="48"/>
      <c r="CC595" s="48"/>
      <c r="CD595" s="48"/>
      <c r="CE595" s="48"/>
      <c r="CF595" s="48"/>
      <c r="CG595" s="48"/>
      <c r="CH595" s="48"/>
      <c r="CI595" s="48"/>
      <c r="CJ595" s="48"/>
      <c r="CK595" s="48"/>
      <c r="CL595" s="48"/>
      <c r="CM595" s="48"/>
      <c r="CN595" s="48"/>
      <c r="CO595" s="48"/>
      <c r="CP595" s="48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  <c r="DA595" s="48"/>
      <c r="DB595" s="48"/>
      <c r="DC595" s="48"/>
      <c r="DD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175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175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  <c r="BD596" s="48"/>
      <c r="BE596" s="48"/>
      <c r="BF596" s="48"/>
      <c r="BG596" s="48"/>
      <c r="BH596" s="48"/>
      <c r="BI596" s="48"/>
      <c r="BJ596" s="48"/>
      <c r="BK596" s="48"/>
      <c r="BL596" s="48"/>
      <c r="BM596" s="48"/>
      <c r="BN596" s="48"/>
      <c r="BO596" s="48"/>
      <c r="BP596" s="48"/>
      <c r="BQ596" s="48"/>
      <c r="BR596" s="48"/>
      <c r="BS596" s="48"/>
      <c r="BT596" s="48"/>
      <c r="BU596" s="48"/>
      <c r="BV596" s="48"/>
      <c r="BW596" s="48"/>
      <c r="BX596" s="48"/>
      <c r="BY596" s="48"/>
      <c r="BZ596" s="48"/>
      <c r="CA596" s="48"/>
      <c r="CB596" s="48"/>
      <c r="CC596" s="48"/>
      <c r="CD596" s="48"/>
      <c r="CE596" s="48"/>
      <c r="CF596" s="48"/>
      <c r="CG596" s="48"/>
      <c r="CH596" s="48"/>
      <c r="CI596" s="48"/>
      <c r="CJ596" s="48"/>
      <c r="CK596" s="48"/>
      <c r="CL596" s="48"/>
      <c r="CM596" s="48"/>
      <c r="CN596" s="48"/>
      <c r="CO596" s="48"/>
      <c r="CP596" s="48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  <c r="DA596" s="48"/>
      <c r="DB596" s="48"/>
      <c r="DC596" s="48"/>
      <c r="DD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175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175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  <c r="BD597" s="48"/>
      <c r="BE597" s="48"/>
      <c r="BF597" s="48"/>
      <c r="BG597" s="48"/>
      <c r="BH597" s="48"/>
      <c r="BI597" s="48"/>
      <c r="BJ597" s="48"/>
      <c r="BK597" s="48"/>
      <c r="BL597" s="48"/>
      <c r="BM597" s="48"/>
      <c r="BN597" s="48"/>
      <c r="BO597" s="48"/>
      <c r="BP597" s="48"/>
      <c r="BQ597" s="48"/>
      <c r="BR597" s="48"/>
      <c r="BS597" s="48"/>
      <c r="BT597" s="48"/>
      <c r="BU597" s="48"/>
      <c r="BV597" s="48"/>
      <c r="BW597" s="48"/>
      <c r="BX597" s="48"/>
      <c r="BY597" s="48"/>
      <c r="BZ597" s="48"/>
      <c r="CA597" s="48"/>
      <c r="CB597" s="48"/>
      <c r="CC597" s="48"/>
      <c r="CD597" s="48"/>
      <c r="CE597" s="48"/>
      <c r="CF597" s="48"/>
      <c r="CG597" s="48"/>
      <c r="CH597" s="48"/>
      <c r="CI597" s="48"/>
      <c r="CJ597" s="48"/>
      <c r="CK597" s="48"/>
      <c r="CL597" s="48"/>
      <c r="CM597" s="48"/>
      <c r="CN597" s="48"/>
      <c r="CO597" s="48"/>
      <c r="CP597" s="48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  <c r="DA597" s="48"/>
      <c r="DB597" s="48"/>
      <c r="DC597" s="48"/>
      <c r="DD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175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175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  <c r="BD598" s="48"/>
      <c r="BE598" s="48"/>
      <c r="BF598" s="48"/>
      <c r="BG598" s="48"/>
      <c r="BH598" s="48"/>
      <c r="BI598" s="48"/>
      <c r="BJ598" s="48"/>
      <c r="BK598" s="48"/>
      <c r="BL598" s="48"/>
      <c r="BM598" s="48"/>
      <c r="BN598" s="48"/>
      <c r="BO598" s="48"/>
      <c r="BP598" s="48"/>
      <c r="BQ598" s="48"/>
      <c r="BR598" s="48"/>
      <c r="BS598" s="48"/>
      <c r="BT598" s="48"/>
      <c r="BU598" s="48"/>
      <c r="BV598" s="48"/>
      <c r="BW598" s="48"/>
      <c r="BX598" s="48"/>
      <c r="BY598" s="48"/>
      <c r="BZ598" s="48"/>
      <c r="CA598" s="48"/>
      <c r="CB598" s="48"/>
      <c r="CC598" s="48"/>
      <c r="CD598" s="48"/>
      <c r="CE598" s="48"/>
      <c r="CF598" s="48"/>
      <c r="CG598" s="48"/>
      <c r="CH598" s="48"/>
      <c r="CI598" s="48"/>
      <c r="CJ598" s="48"/>
      <c r="CK598" s="48"/>
      <c r="CL598" s="48"/>
      <c r="CM598" s="48"/>
      <c r="CN598" s="48"/>
      <c r="CO598" s="48"/>
      <c r="CP598" s="48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  <c r="DA598" s="48"/>
      <c r="DB598" s="48"/>
      <c r="DC598" s="48"/>
      <c r="DD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175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175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  <c r="BD599" s="48"/>
      <c r="BE599" s="48"/>
      <c r="BF599" s="48"/>
      <c r="BG599" s="48"/>
      <c r="BH599" s="48"/>
      <c r="BI599" s="48"/>
      <c r="BJ599" s="48"/>
      <c r="BK599" s="48"/>
      <c r="BL599" s="48"/>
      <c r="BM599" s="48"/>
      <c r="BN599" s="48"/>
      <c r="BO599" s="48"/>
      <c r="BP599" s="48"/>
      <c r="BQ599" s="48"/>
      <c r="BR599" s="48"/>
      <c r="BS599" s="48"/>
      <c r="BT599" s="48"/>
      <c r="BU599" s="48"/>
      <c r="BV599" s="48"/>
      <c r="BW599" s="48"/>
      <c r="BX599" s="48"/>
      <c r="BY599" s="48"/>
      <c r="BZ599" s="48"/>
      <c r="CA599" s="48"/>
      <c r="CB599" s="48"/>
      <c r="CC599" s="48"/>
      <c r="CD599" s="48"/>
      <c r="CE599" s="48"/>
      <c r="CF599" s="48"/>
      <c r="CG599" s="48"/>
      <c r="CH599" s="48"/>
      <c r="CI599" s="48"/>
      <c r="CJ599" s="48"/>
      <c r="CK599" s="48"/>
      <c r="CL599" s="48"/>
      <c r="CM599" s="48"/>
      <c r="CN599" s="48"/>
      <c r="CO599" s="48"/>
      <c r="CP599" s="48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  <c r="DA599" s="48"/>
      <c r="DB599" s="48"/>
      <c r="DC599" s="48"/>
      <c r="DD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175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175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  <c r="BD600" s="48"/>
      <c r="BE600" s="48"/>
      <c r="BF600" s="48"/>
      <c r="BG600" s="48"/>
      <c r="BH600" s="48"/>
      <c r="BI600" s="48"/>
      <c r="BJ600" s="48"/>
      <c r="BK600" s="48"/>
      <c r="BL600" s="48"/>
      <c r="BM600" s="48"/>
      <c r="BN600" s="48"/>
      <c r="BO600" s="48"/>
      <c r="BP600" s="48"/>
      <c r="BQ600" s="48"/>
      <c r="BR600" s="48"/>
      <c r="BS600" s="48"/>
      <c r="BT600" s="48"/>
      <c r="BU600" s="48"/>
      <c r="BV600" s="48"/>
      <c r="BW600" s="48"/>
      <c r="BX600" s="48"/>
      <c r="BY600" s="48"/>
      <c r="BZ600" s="48"/>
      <c r="CA600" s="48"/>
      <c r="CB600" s="48"/>
      <c r="CC600" s="48"/>
      <c r="CD600" s="48"/>
      <c r="CE600" s="48"/>
      <c r="CF600" s="48"/>
      <c r="CG600" s="48"/>
      <c r="CH600" s="48"/>
      <c r="CI600" s="48"/>
      <c r="CJ600" s="48"/>
      <c r="CK600" s="48"/>
      <c r="CL600" s="48"/>
      <c r="CM600" s="48"/>
      <c r="CN600" s="48"/>
      <c r="CO600" s="48"/>
      <c r="CP600" s="48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  <c r="DA600" s="48"/>
      <c r="DB600" s="48"/>
      <c r="DC600" s="48"/>
      <c r="DD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175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175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  <c r="BD601" s="48"/>
      <c r="BE601" s="48"/>
      <c r="BF601" s="48"/>
      <c r="BG601" s="48"/>
      <c r="BH601" s="48"/>
      <c r="BI601" s="48"/>
      <c r="BJ601" s="48"/>
      <c r="BK601" s="48"/>
      <c r="BL601" s="48"/>
      <c r="BM601" s="48"/>
      <c r="BN601" s="48"/>
      <c r="BO601" s="48"/>
      <c r="BP601" s="48"/>
      <c r="BQ601" s="48"/>
      <c r="BR601" s="48"/>
      <c r="BS601" s="48"/>
      <c r="BT601" s="48"/>
      <c r="BU601" s="48"/>
      <c r="BV601" s="48"/>
      <c r="BW601" s="48"/>
      <c r="BX601" s="48"/>
      <c r="BY601" s="48"/>
      <c r="BZ601" s="48"/>
      <c r="CA601" s="48"/>
      <c r="CB601" s="48"/>
      <c r="CC601" s="48"/>
      <c r="CD601" s="48"/>
      <c r="CE601" s="48"/>
      <c r="CF601" s="48"/>
      <c r="CG601" s="48"/>
      <c r="CH601" s="48"/>
      <c r="CI601" s="48"/>
      <c r="CJ601" s="48"/>
      <c r="CK601" s="48"/>
      <c r="CL601" s="48"/>
      <c r="CM601" s="48"/>
      <c r="CN601" s="48"/>
      <c r="CO601" s="48"/>
      <c r="CP601" s="48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  <c r="DA601" s="48"/>
      <c r="DB601" s="48"/>
      <c r="DC601" s="48"/>
      <c r="DD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175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175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  <c r="BD602" s="48"/>
      <c r="BE602" s="48"/>
      <c r="BF602" s="48"/>
      <c r="BG602" s="48"/>
      <c r="BH602" s="48"/>
      <c r="BI602" s="48"/>
      <c r="BJ602" s="48"/>
      <c r="BK602" s="48"/>
      <c r="BL602" s="48"/>
      <c r="BM602" s="48"/>
      <c r="BN602" s="48"/>
      <c r="BO602" s="48"/>
      <c r="BP602" s="48"/>
      <c r="BQ602" s="48"/>
      <c r="BR602" s="48"/>
      <c r="BS602" s="48"/>
      <c r="BT602" s="48"/>
      <c r="BU602" s="48"/>
      <c r="BV602" s="48"/>
      <c r="BW602" s="48"/>
      <c r="BX602" s="48"/>
      <c r="BY602" s="48"/>
      <c r="BZ602" s="48"/>
      <c r="CA602" s="48"/>
      <c r="CB602" s="48"/>
      <c r="CC602" s="48"/>
      <c r="CD602" s="48"/>
      <c r="CE602" s="48"/>
      <c r="CF602" s="48"/>
      <c r="CG602" s="48"/>
      <c r="CH602" s="48"/>
      <c r="CI602" s="48"/>
      <c r="CJ602" s="48"/>
      <c r="CK602" s="48"/>
      <c r="CL602" s="48"/>
      <c r="CM602" s="48"/>
      <c r="CN602" s="48"/>
      <c r="CO602" s="48"/>
      <c r="CP602" s="48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  <c r="DA602" s="48"/>
      <c r="DB602" s="48"/>
      <c r="DC602" s="48"/>
      <c r="DD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175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175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  <c r="BD603" s="48"/>
      <c r="BE603" s="48"/>
      <c r="BF603" s="48"/>
      <c r="BG603" s="48"/>
      <c r="BH603" s="48"/>
      <c r="BI603" s="48"/>
      <c r="BJ603" s="48"/>
      <c r="BK603" s="48"/>
      <c r="BL603" s="48"/>
      <c r="BM603" s="48"/>
      <c r="BN603" s="48"/>
      <c r="BO603" s="48"/>
      <c r="BP603" s="48"/>
      <c r="BQ603" s="48"/>
      <c r="BR603" s="48"/>
      <c r="BS603" s="48"/>
      <c r="BT603" s="48"/>
      <c r="BU603" s="48"/>
      <c r="BV603" s="48"/>
      <c r="BW603" s="48"/>
      <c r="BX603" s="48"/>
      <c r="BY603" s="48"/>
      <c r="BZ603" s="48"/>
      <c r="CA603" s="48"/>
      <c r="CB603" s="48"/>
      <c r="CC603" s="48"/>
      <c r="CD603" s="48"/>
      <c r="CE603" s="48"/>
      <c r="CF603" s="48"/>
      <c r="CG603" s="48"/>
      <c r="CH603" s="48"/>
      <c r="CI603" s="48"/>
      <c r="CJ603" s="48"/>
      <c r="CK603" s="48"/>
      <c r="CL603" s="48"/>
      <c r="CM603" s="48"/>
      <c r="CN603" s="48"/>
      <c r="CO603" s="48"/>
      <c r="CP603" s="48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  <c r="DA603" s="48"/>
      <c r="DB603" s="48"/>
      <c r="DC603" s="48"/>
      <c r="DD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175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175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  <c r="BD604" s="48"/>
      <c r="BE604" s="48"/>
      <c r="BF604" s="48"/>
      <c r="BG604" s="48"/>
      <c r="BH604" s="48"/>
      <c r="BI604" s="48"/>
      <c r="BJ604" s="48"/>
      <c r="BK604" s="48"/>
      <c r="BL604" s="48"/>
      <c r="BM604" s="48"/>
      <c r="BN604" s="48"/>
      <c r="BO604" s="48"/>
      <c r="BP604" s="48"/>
      <c r="BQ604" s="48"/>
      <c r="BR604" s="48"/>
      <c r="BS604" s="48"/>
      <c r="BT604" s="48"/>
      <c r="BU604" s="48"/>
      <c r="BV604" s="48"/>
      <c r="BW604" s="48"/>
      <c r="BX604" s="48"/>
      <c r="BY604" s="48"/>
      <c r="BZ604" s="48"/>
      <c r="CA604" s="48"/>
      <c r="CB604" s="48"/>
      <c r="CC604" s="48"/>
      <c r="CD604" s="48"/>
      <c r="CE604" s="48"/>
      <c r="CF604" s="48"/>
      <c r="CG604" s="48"/>
      <c r="CH604" s="48"/>
      <c r="CI604" s="48"/>
      <c r="CJ604" s="48"/>
      <c r="CK604" s="48"/>
      <c r="CL604" s="48"/>
      <c r="CM604" s="48"/>
      <c r="CN604" s="48"/>
      <c r="CO604" s="48"/>
      <c r="CP604" s="48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  <c r="DA604" s="48"/>
      <c r="DB604" s="48"/>
      <c r="DC604" s="48"/>
      <c r="DD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175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175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  <c r="CO605" s="48"/>
      <c r="CP605" s="48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175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175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8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175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175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  <c r="BD607" s="48"/>
      <c r="BE607" s="48"/>
      <c r="BF607" s="48"/>
      <c r="BG607" s="48"/>
      <c r="BH607" s="48"/>
      <c r="BI607" s="48"/>
      <c r="BJ607" s="48"/>
      <c r="BK607" s="48"/>
      <c r="BL607" s="48"/>
      <c r="BM607" s="48"/>
      <c r="BN607" s="48"/>
      <c r="BO607" s="48"/>
      <c r="BP607" s="48"/>
      <c r="BQ607" s="48"/>
      <c r="BR607" s="48"/>
      <c r="BS607" s="48"/>
      <c r="BT607" s="48"/>
      <c r="BU607" s="48"/>
      <c r="BV607" s="48"/>
      <c r="BW607" s="48"/>
      <c r="BX607" s="48"/>
      <c r="BY607" s="48"/>
      <c r="BZ607" s="48"/>
      <c r="CA607" s="48"/>
      <c r="CB607" s="48"/>
      <c r="CC607" s="48"/>
      <c r="CD607" s="48"/>
      <c r="CE607" s="48"/>
      <c r="CF607" s="48"/>
      <c r="CG607" s="48"/>
      <c r="CH607" s="48"/>
      <c r="CI607" s="48"/>
      <c r="CJ607" s="48"/>
      <c r="CK607" s="48"/>
      <c r="CL607" s="48"/>
      <c r="CM607" s="48"/>
      <c r="CN607" s="48"/>
      <c r="CO607" s="48"/>
      <c r="CP607" s="48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  <c r="DA607" s="48"/>
      <c r="DB607" s="48"/>
      <c r="DC607" s="48"/>
      <c r="DD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175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175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  <c r="BD608" s="48"/>
      <c r="BE608" s="48"/>
      <c r="BF608" s="48"/>
      <c r="BG608" s="48"/>
      <c r="BH608" s="48"/>
      <c r="BI608" s="48"/>
      <c r="BJ608" s="48"/>
      <c r="BK608" s="48"/>
      <c r="BL608" s="48"/>
      <c r="BM608" s="48"/>
      <c r="BN608" s="48"/>
      <c r="BO608" s="48"/>
      <c r="BP608" s="48"/>
      <c r="BQ608" s="48"/>
      <c r="BR608" s="48"/>
      <c r="BS608" s="48"/>
      <c r="BT608" s="48"/>
      <c r="BU608" s="48"/>
      <c r="BV608" s="48"/>
      <c r="BW608" s="48"/>
      <c r="BX608" s="48"/>
      <c r="BY608" s="48"/>
      <c r="BZ608" s="48"/>
      <c r="CA608" s="48"/>
      <c r="CB608" s="48"/>
      <c r="CC608" s="48"/>
      <c r="CD608" s="48"/>
      <c r="CE608" s="48"/>
      <c r="CF608" s="48"/>
      <c r="CG608" s="48"/>
      <c r="CH608" s="48"/>
      <c r="CI608" s="48"/>
      <c r="CJ608" s="48"/>
      <c r="CK608" s="48"/>
      <c r="CL608" s="48"/>
      <c r="CM608" s="48"/>
      <c r="CN608" s="48"/>
      <c r="CO608" s="48"/>
      <c r="CP608" s="48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  <c r="DA608" s="48"/>
      <c r="DB608" s="48"/>
      <c r="DC608" s="48"/>
      <c r="DD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175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175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  <c r="CO609" s="48"/>
      <c r="CP609" s="48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175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175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  <c r="BD610" s="48"/>
      <c r="BE610" s="48"/>
      <c r="BF610" s="48"/>
      <c r="BG610" s="48"/>
      <c r="BH610" s="48"/>
      <c r="BI610" s="48"/>
      <c r="BJ610" s="48"/>
      <c r="BK610" s="48"/>
      <c r="BL610" s="48"/>
      <c r="BM610" s="48"/>
      <c r="BN610" s="48"/>
      <c r="BO610" s="48"/>
      <c r="BP610" s="48"/>
      <c r="BQ610" s="48"/>
      <c r="BR610" s="48"/>
      <c r="BS610" s="48"/>
      <c r="BT610" s="48"/>
      <c r="BU610" s="48"/>
      <c r="BV610" s="48"/>
      <c r="BW610" s="48"/>
      <c r="BX610" s="48"/>
      <c r="BY610" s="48"/>
      <c r="BZ610" s="48"/>
      <c r="CA610" s="48"/>
      <c r="CB610" s="48"/>
      <c r="CC610" s="48"/>
      <c r="CD610" s="48"/>
      <c r="CE610" s="48"/>
      <c r="CF610" s="48"/>
      <c r="CG610" s="48"/>
      <c r="CH610" s="48"/>
      <c r="CI610" s="48"/>
      <c r="CJ610" s="48"/>
      <c r="CK610" s="48"/>
      <c r="CL610" s="48"/>
      <c r="CM610" s="48"/>
      <c r="CN610" s="48"/>
      <c r="CO610" s="48"/>
      <c r="CP610" s="48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  <c r="DA610" s="48"/>
      <c r="DB610" s="48"/>
      <c r="DC610" s="48"/>
      <c r="DD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175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175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  <c r="BD611" s="48"/>
      <c r="BE611" s="48"/>
      <c r="BF611" s="48"/>
      <c r="BG611" s="48"/>
      <c r="BH611" s="48"/>
      <c r="BI611" s="48"/>
      <c r="BJ611" s="48"/>
      <c r="BK611" s="48"/>
      <c r="BL611" s="48"/>
      <c r="BM611" s="48"/>
      <c r="BN611" s="48"/>
      <c r="BO611" s="48"/>
      <c r="BP611" s="48"/>
      <c r="BQ611" s="48"/>
      <c r="BR611" s="48"/>
      <c r="BS611" s="48"/>
      <c r="BT611" s="48"/>
      <c r="BU611" s="48"/>
      <c r="BV611" s="48"/>
      <c r="BW611" s="48"/>
      <c r="BX611" s="48"/>
      <c r="BY611" s="48"/>
      <c r="BZ611" s="48"/>
      <c r="CA611" s="48"/>
      <c r="CB611" s="48"/>
      <c r="CC611" s="48"/>
      <c r="CD611" s="48"/>
      <c r="CE611" s="48"/>
      <c r="CF611" s="48"/>
      <c r="CG611" s="48"/>
      <c r="CH611" s="48"/>
      <c r="CI611" s="48"/>
      <c r="CJ611" s="48"/>
      <c r="CK611" s="48"/>
      <c r="CL611" s="48"/>
      <c r="CM611" s="48"/>
      <c r="CN611" s="48"/>
      <c r="CO611" s="48"/>
      <c r="CP611" s="48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  <c r="DA611" s="48"/>
      <c r="DB611" s="48"/>
      <c r="DC611" s="48"/>
      <c r="DD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175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175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  <c r="BD612" s="48"/>
      <c r="BE612" s="48"/>
      <c r="BF612" s="48"/>
      <c r="BG612" s="48"/>
      <c r="BH612" s="48"/>
      <c r="BI612" s="48"/>
      <c r="BJ612" s="48"/>
      <c r="BK612" s="48"/>
      <c r="BL612" s="48"/>
      <c r="BM612" s="48"/>
      <c r="BN612" s="48"/>
      <c r="BO612" s="48"/>
      <c r="BP612" s="48"/>
      <c r="BQ612" s="48"/>
      <c r="BR612" s="48"/>
      <c r="BS612" s="48"/>
      <c r="BT612" s="48"/>
      <c r="BU612" s="48"/>
      <c r="BV612" s="48"/>
      <c r="BW612" s="48"/>
      <c r="BX612" s="48"/>
      <c r="BY612" s="48"/>
      <c r="BZ612" s="48"/>
      <c r="CA612" s="48"/>
      <c r="CB612" s="48"/>
      <c r="CC612" s="48"/>
      <c r="CD612" s="48"/>
      <c r="CE612" s="48"/>
      <c r="CF612" s="48"/>
      <c r="CG612" s="48"/>
      <c r="CH612" s="48"/>
      <c r="CI612" s="48"/>
      <c r="CJ612" s="48"/>
      <c r="CK612" s="48"/>
      <c r="CL612" s="48"/>
      <c r="CM612" s="48"/>
      <c r="CN612" s="48"/>
      <c r="CO612" s="48"/>
      <c r="CP612" s="48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  <c r="DA612" s="48"/>
      <c r="DB612" s="48"/>
      <c r="DC612" s="48"/>
      <c r="DD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175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175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  <c r="BD613" s="48"/>
      <c r="BE613" s="48"/>
      <c r="BF613" s="48"/>
      <c r="BG613" s="48"/>
      <c r="BH613" s="48"/>
      <c r="BI613" s="48"/>
      <c r="BJ613" s="48"/>
      <c r="BK613" s="48"/>
      <c r="BL613" s="48"/>
      <c r="BM613" s="48"/>
      <c r="BN613" s="48"/>
      <c r="BO613" s="48"/>
      <c r="BP613" s="48"/>
      <c r="BQ613" s="48"/>
      <c r="BR613" s="48"/>
      <c r="BS613" s="48"/>
      <c r="BT613" s="48"/>
      <c r="BU613" s="48"/>
      <c r="BV613" s="48"/>
      <c r="BW613" s="48"/>
      <c r="BX613" s="48"/>
      <c r="BY613" s="48"/>
      <c r="BZ613" s="48"/>
      <c r="CA613" s="48"/>
      <c r="CB613" s="48"/>
      <c r="CC613" s="48"/>
      <c r="CD613" s="48"/>
      <c r="CE613" s="48"/>
      <c r="CF613" s="48"/>
      <c r="CG613" s="48"/>
      <c r="CH613" s="48"/>
      <c r="CI613" s="48"/>
      <c r="CJ613" s="48"/>
      <c r="CK613" s="48"/>
      <c r="CL613" s="48"/>
      <c r="CM613" s="48"/>
      <c r="CN613" s="48"/>
      <c r="CO613" s="48"/>
      <c r="CP613" s="48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  <c r="DA613" s="48"/>
      <c r="DB613" s="48"/>
      <c r="DC613" s="48"/>
      <c r="DD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175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175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  <c r="BD614" s="48"/>
      <c r="BE614" s="48"/>
      <c r="BF614" s="48"/>
      <c r="BG614" s="48"/>
      <c r="BH614" s="48"/>
      <c r="BI614" s="48"/>
      <c r="BJ614" s="48"/>
      <c r="BK614" s="48"/>
      <c r="BL614" s="48"/>
      <c r="BM614" s="48"/>
      <c r="BN614" s="48"/>
      <c r="BO614" s="48"/>
      <c r="BP614" s="48"/>
      <c r="BQ614" s="48"/>
      <c r="BR614" s="48"/>
      <c r="BS614" s="48"/>
      <c r="BT614" s="48"/>
      <c r="BU614" s="48"/>
      <c r="BV614" s="48"/>
      <c r="BW614" s="48"/>
      <c r="BX614" s="48"/>
      <c r="BY614" s="48"/>
      <c r="BZ614" s="48"/>
      <c r="CA614" s="48"/>
      <c r="CB614" s="48"/>
      <c r="CC614" s="48"/>
      <c r="CD614" s="48"/>
      <c r="CE614" s="48"/>
      <c r="CF614" s="48"/>
      <c r="CG614" s="48"/>
      <c r="CH614" s="48"/>
      <c r="CI614" s="48"/>
      <c r="CJ614" s="48"/>
      <c r="CK614" s="48"/>
      <c r="CL614" s="48"/>
      <c r="CM614" s="48"/>
      <c r="CN614" s="48"/>
      <c r="CO614" s="48"/>
      <c r="CP614" s="48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  <c r="DA614" s="48"/>
      <c r="DB614" s="48"/>
      <c r="DC614" s="48"/>
      <c r="DD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175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175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  <c r="CO615" s="48"/>
      <c r="CP615" s="48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175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175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  <c r="BD616" s="48"/>
      <c r="BE616" s="48"/>
      <c r="BF616" s="48"/>
      <c r="BG616" s="48"/>
      <c r="BH616" s="48"/>
      <c r="BI616" s="48"/>
      <c r="BJ616" s="48"/>
      <c r="BK616" s="48"/>
      <c r="BL616" s="48"/>
      <c r="BM616" s="48"/>
      <c r="BN616" s="48"/>
      <c r="BO616" s="48"/>
      <c r="BP616" s="48"/>
      <c r="BQ616" s="48"/>
      <c r="BR616" s="48"/>
      <c r="BS616" s="48"/>
      <c r="BT616" s="48"/>
      <c r="BU616" s="48"/>
      <c r="BV616" s="48"/>
      <c r="BW616" s="48"/>
      <c r="BX616" s="48"/>
      <c r="BY616" s="48"/>
      <c r="BZ616" s="48"/>
      <c r="CA616" s="48"/>
      <c r="CB616" s="48"/>
      <c r="CC616" s="48"/>
      <c r="CD616" s="48"/>
      <c r="CE616" s="48"/>
      <c r="CF616" s="48"/>
      <c r="CG616" s="48"/>
      <c r="CH616" s="48"/>
      <c r="CI616" s="48"/>
      <c r="CJ616" s="48"/>
      <c r="CK616" s="48"/>
      <c r="CL616" s="48"/>
      <c r="CM616" s="48"/>
      <c r="CN616" s="48"/>
      <c r="CO616" s="48"/>
      <c r="CP616" s="48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  <c r="DA616" s="48"/>
      <c r="DB616" s="48"/>
      <c r="DC616" s="48"/>
      <c r="DD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175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175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  <c r="BD617" s="48"/>
      <c r="BE617" s="48"/>
      <c r="BF617" s="48"/>
      <c r="BG617" s="48"/>
      <c r="BH617" s="48"/>
      <c r="BI617" s="48"/>
      <c r="BJ617" s="48"/>
      <c r="BK617" s="48"/>
      <c r="BL617" s="48"/>
      <c r="BM617" s="48"/>
      <c r="BN617" s="48"/>
      <c r="BO617" s="48"/>
      <c r="BP617" s="48"/>
      <c r="BQ617" s="48"/>
      <c r="BR617" s="48"/>
      <c r="BS617" s="48"/>
      <c r="BT617" s="48"/>
      <c r="BU617" s="48"/>
      <c r="BV617" s="48"/>
      <c r="BW617" s="48"/>
      <c r="BX617" s="48"/>
      <c r="BY617" s="48"/>
      <c r="BZ617" s="48"/>
      <c r="CA617" s="48"/>
      <c r="CB617" s="48"/>
      <c r="CC617" s="48"/>
      <c r="CD617" s="48"/>
      <c r="CE617" s="48"/>
      <c r="CF617" s="48"/>
      <c r="CG617" s="48"/>
      <c r="CH617" s="48"/>
      <c r="CI617" s="48"/>
      <c r="CJ617" s="48"/>
      <c r="CK617" s="48"/>
      <c r="CL617" s="48"/>
      <c r="CM617" s="48"/>
      <c r="CN617" s="48"/>
      <c r="CO617" s="48"/>
      <c r="CP617" s="48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  <c r="DA617" s="48"/>
      <c r="DB617" s="48"/>
      <c r="DC617" s="48"/>
      <c r="DD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175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175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  <c r="BD618" s="48"/>
      <c r="BE618" s="48"/>
      <c r="BF618" s="48"/>
      <c r="BG618" s="48"/>
      <c r="BH618" s="48"/>
      <c r="BI618" s="48"/>
      <c r="BJ618" s="48"/>
      <c r="BK618" s="48"/>
      <c r="BL618" s="48"/>
      <c r="BM618" s="48"/>
      <c r="BN618" s="48"/>
      <c r="BO618" s="48"/>
      <c r="BP618" s="48"/>
      <c r="BQ618" s="48"/>
      <c r="BR618" s="48"/>
      <c r="BS618" s="48"/>
      <c r="BT618" s="48"/>
      <c r="BU618" s="48"/>
      <c r="BV618" s="48"/>
      <c r="BW618" s="48"/>
      <c r="BX618" s="48"/>
      <c r="BY618" s="48"/>
      <c r="BZ618" s="48"/>
      <c r="CA618" s="48"/>
      <c r="CB618" s="48"/>
      <c r="CC618" s="48"/>
      <c r="CD618" s="48"/>
      <c r="CE618" s="48"/>
      <c r="CF618" s="48"/>
      <c r="CG618" s="48"/>
      <c r="CH618" s="48"/>
      <c r="CI618" s="48"/>
      <c r="CJ618" s="48"/>
      <c r="CK618" s="48"/>
      <c r="CL618" s="48"/>
      <c r="CM618" s="48"/>
      <c r="CN618" s="48"/>
      <c r="CO618" s="48"/>
      <c r="CP618" s="48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  <c r="DA618" s="48"/>
      <c r="DB618" s="48"/>
      <c r="DC618" s="48"/>
      <c r="DD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175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175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  <c r="BD619" s="48"/>
      <c r="BE619" s="48"/>
      <c r="BF619" s="48"/>
      <c r="BG619" s="48"/>
      <c r="BH619" s="48"/>
      <c r="BI619" s="48"/>
      <c r="BJ619" s="48"/>
      <c r="BK619" s="48"/>
      <c r="BL619" s="48"/>
      <c r="BM619" s="48"/>
      <c r="BN619" s="48"/>
      <c r="BO619" s="48"/>
      <c r="BP619" s="48"/>
      <c r="BQ619" s="48"/>
      <c r="BR619" s="48"/>
      <c r="BS619" s="48"/>
      <c r="BT619" s="48"/>
      <c r="BU619" s="48"/>
      <c r="BV619" s="48"/>
      <c r="BW619" s="48"/>
      <c r="BX619" s="48"/>
      <c r="BY619" s="48"/>
      <c r="BZ619" s="48"/>
      <c r="CA619" s="48"/>
      <c r="CB619" s="48"/>
      <c r="CC619" s="48"/>
      <c r="CD619" s="48"/>
      <c r="CE619" s="48"/>
      <c r="CF619" s="48"/>
      <c r="CG619" s="48"/>
      <c r="CH619" s="48"/>
      <c r="CI619" s="48"/>
      <c r="CJ619" s="48"/>
      <c r="CK619" s="48"/>
      <c r="CL619" s="48"/>
      <c r="CM619" s="48"/>
      <c r="CN619" s="48"/>
      <c r="CO619" s="48"/>
      <c r="CP619" s="48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  <c r="DA619" s="48"/>
      <c r="DB619" s="48"/>
      <c r="DC619" s="48"/>
      <c r="DD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175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175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  <c r="BD620" s="48"/>
      <c r="BE620" s="48"/>
      <c r="BF620" s="48"/>
      <c r="BG620" s="48"/>
      <c r="BH620" s="48"/>
      <c r="BI620" s="48"/>
      <c r="BJ620" s="48"/>
      <c r="BK620" s="48"/>
      <c r="BL620" s="48"/>
      <c r="BM620" s="48"/>
      <c r="BN620" s="48"/>
      <c r="BO620" s="48"/>
      <c r="BP620" s="48"/>
      <c r="BQ620" s="48"/>
      <c r="BR620" s="48"/>
      <c r="BS620" s="48"/>
      <c r="BT620" s="48"/>
      <c r="BU620" s="48"/>
      <c r="BV620" s="48"/>
      <c r="BW620" s="48"/>
      <c r="BX620" s="48"/>
      <c r="BY620" s="48"/>
      <c r="BZ620" s="48"/>
      <c r="CA620" s="48"/>
      <c r="CB620" s="48"/>
      <c r="CC620" s="48"/>
      <c r="CD620" s="48"/>
      <c r="CE620" s="48"/>
      <c r="CF620" s="48"/>
      <c r="CG620" s="48"/>
      <c r="CH620" s="48"/>
      <c r="CI620" s="48"/>
      <c r="CJ620" s="48"/>
      <c r="CK620" s="48"/>
      <c r="CL620" s="48"/>
      <c r="CM620" s="48"/>
      <c r="CN620" s="48"/>
      <c r="CO620" s="48"/>
      <c r="CP620" s="48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  <c r="DA620" s="48"/>
      <c r="DB620" s="48"/>
      <c r="DC620" s="48"/>
      <c r="DD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175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175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  <c r="BD621" s="48"/>
      <c r="BE621" s="48"/>
      <c r="BF621" s="48"/>
      <c r="BG621" s="48"/>
      <c r="BH621" s="48"/>
      <c r="BI621" s="48"/>
      <c r="BJ621" s="48"/>
      <c r="BK621" s="48"/>
      <c r="BL621" s="48"/>
      <c r="BM621" s="48"/>
      <c r="BN621" s="48"/>
      <c r="BO621" s="48"/>
      <c r="BP621" s="48"/>
      <c r="BQ621" s="48"/>
      <c r="BR621" s="48"/>
      <c r="BS621" s="48"/>
      <c r="BT621" s="48"/>
      <c r="BU621" s="48"/>
      <c r="BV621" s="48"/>
      <c r="BW621" s="48"/>
      <c r="BX621" s="48"/>
      <c r="BY621" s="48"/>
      <c r="BZ621" s="48"/>
      <c r="CA621" s="48"/>
      <c r="CB621" s="48"/>
      <c r="CC621" s="48"/>
      <c r="CD621" s="48"/>
      <c r="CE621" s="48"/>
      <c r="CF621" s="48"/>
      <c r="CG621" s="48"/>
      <c r="CH621" s="48"/>
      <c r="CI621" s="48"/>
      <c r="CJ621" s="48"/>
      <c r="CK621" s="48"/>
      <c r="CL621" s="48"/>
      <c r="CM621" s="48"/>
      <c r="CN621" s="48"/>
      <c r="CO621" s="48"/>
      <c r="CP621" s="48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  <c r="DA621" s="48"/>
      <c r="DB621" s="48"/>
      <c r="DC621" s="48"/>
      <c r="DD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175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175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  <c r="BD622" s="48"/>
      <c r="BE622" s="48"/>
      <c r="BF622" s="48"/>
      <c r="BG622" s="48"/>
      <c r="BH622" s="48"/>
      <c r="BI622" s="48"/>
      <c r="BJ622" s="48"/>
      <c r="BK622" s="48"/>
      <c r="BL622" s="48"/>
      <c r="BM622" s="48"/>
      <c r="BN622" s="48"/>
      <c r="BO622" s="48"/>
      <c r="BP622" s="48"/>
      <c r="BQ622" s="48"/>
      <c r="BR622" s="48"/>
      <c r="BS622" s="48"/>
      <c r="BT622" s="48"/>
      <c r="BU622" s="48"/>
      <c r="BV622" s="48"/>
      <c r="BW622" s="48"/>
      <c r="BX622" s="48"/>
      <c r="BY622" s="48"/>
      <c r="BZ622" s="48"/>
      <c r="CA622" s="48"/>
      <c r="CB622" s="48"/>
      <c r="CC622" s="48"/>
      <c r="CD622" s="48"/>
      <c r="CE622" s="48"/>
      <c r="CF622" s="48"/>
      <c r="CG622" s="48"/>
      <c r="CH622" s="48"/>
      <c r="CI622" s="48"/>
      <c r="CJ622" s="48"/>
      <c r="CK622" s="48"/>
      <c r="CL622" s="48"/>
      <c r="CM622" s="48"/>
      <c r="CN622" s="48"/>
      <c r="CO622" s="48"/>
      <c r="CP622" s="48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  <c r="DA622" s="48"/>
      <c r="DB622" s="48"/>
      <c r="DC622" s="48"/>
      <c r="DD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175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175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  <c r="BD623" s="48"/>
      <c r="BE623" s="48"/>
      <c r="BF623" s="48"/>
      <c r="BG623" s="48"/>
      <c r="BH623" s="48"/>
      <c r="BI623" s="48"/>
      <c r="BJ623" s="48"/>
      <c r="BK623" s="48"/>
      <c r="BL623" s="48"/>
      <c r="BM623" s="48"/>
      <c r="BN623" s="48"/>
      <c r="BO623" s="48"/>
      <c r="BP623" s="48"/>
      <c r="BQ623" s="48"/>
      <c r="BR623" s="48"/>
      <c r="BS623" s="48"/>
      <c r="BT623" s="48"/>
      <c r="BU623" s="48"/>
      <c r="BV623" s="48"/>
      <c r="BW623" s="48"/>
      <c r="BX623" s="48"/>
      <c r="BY623" s="48"/>
      <c r="BZ623" s="48"/>
      <c r="CA623" s="48"/>
      <c r="CB623" s="48"/>
      <c r="CC623" s="48"/>
      <c r="CD623" s="48"/>
      <c r="CE623" s="48"/>
      <c r="CF623" s="48"/>
      <c r="CG623" s="48"/>
      <c r="CH623" s="48"/>
      <c r="CI623" s="48"/>
      <c r="CJ623" s="48"/>
      <c r="CK623" s="48"/>
      <c r="CL623" s="48"/>
      <c r="CM623" s="48"/>
      <c r="CN623" s="48"/>
      <c r="CO623" s="48"/>
      <c r="CP623" s="48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  <c r="DA623" s="48"/>
      <c r="DB623" s="48"/>
      <c r="DC623" s="48"/>
      <c r="DD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175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175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  <c r="CO624" s="48"/>
      <c r="CP624" s="48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175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175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  <c r="BD625" s="48"/>
      <c r="BE625" s="48"/>
      <c r="BF625" s="48"/>
      <c r="BG625" s="48"/>
      <c r="BH625" s="48"/>
      <c r="BI625" s="48"/>
      <c r="BJ625" s="48"/>
      <c r="BK625" s="48"/>
      <c r="BL625" s="48"/>
      <c r="BM625" s="48"/>
      <c r="BN625" s="48"/>
      <c r="BO625" s="48"/>
      <c r="BP625" s="48"/>
      <c r="BQ625" s="48"/>
      <c r="BR625" s="48"/>
      <c r="BS625" s="48"/>
      <c r="BT625" s="48"/>
      <c r="BU625" s="48"/>
      <c r="BV625" s="48"/>
      <c r="BW625" s="48"/>
      <c r="BX625" s="48"/>
      <c r="BY625" s="48"/>
      <c r="BZ625" s="48"/>
      <c r="CA625" s="48"/>
      <c r="CB625" s="48"/>
      <c r="CC625" s="48"/>
      <c r="CD625" s="48"/>
      <c r="CE625" s="48"/>
      <c r="CF625" s="48"/>
      <c r="CG625" s="48"/>
      <c r="CH625" s="48"/>
      <c r="CI625" s="48"/>
      <c r="CJ625" s="48"/>
      <c r="CK625" s="48"/>
      <c r="CL625" s="48"/>
      <c r="CM625" s="48"/>
      <c r="CN625" s="48"/>
      <c r="CO625" s="48"/>
      <c r="CP625" s="48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  <c r="DA625" s="48"/>
      <c r="DB625" s="48"/>
      <c r="DC625" s="48"/>
      <c r="DD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175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175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  <c r="BD626" s="48"/>
      <c r="BE626" s="48"/>
      <c r="BF626" s="48"/>
      <c r="BG626" s="48"/>
      <c r="BH626" s="48"/>
      <c r="BI626" s="48"/>
      <c r="BJ626" s="48"/>
      <c r="BK626" s="48"/>
      <c r="BL626" s="48"/>
      <c r="BM626" s="48"/>
      <c r="BN626" s="48"/>
      <c r="BO626" s="48"/>
      <c r="BP626" s="48"/>
      <c r="BQ626" s="48"/>
      <c r="BR626" s="48"/>
      <c r="BS626" s="48"/>
      <c r="BT626" s="48"/>
      <c r="BU626" s="48"/>
      <c r="BV626" s="48"/>
      <c r="BW626" s="48"/>
      <c r="BX626" s="48"/>
      <c r="BY626" s="48"/>
      <c r="BZ626" s="48"/>
      <c r="CA626" s="48"/>
      <c r="CB626" s="48"/>
      <c r="CC626" s="48"/>
      <c r="CD626" s="48"/>
      <c r="CE626" s="48"/>
      <c r="CF626" s="48"/>
      <c r="CG626" s="48"/>
      <c r="CH626" s="48"/>
      <c r="CI626" s="48"/>
      <c r="CJ626" s="48"/>
      <c r="CK626" s="48"/>
      <c r="CL626" s="48"/>
      <c r="CM626" s="48"/>
      <c r="CN626" s="48"/>
      <c r="CO626" s="48"/>
      <c r="CP626" s="48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  <c r="DA626" s="48"/>
      <c r="DB626" s="48"/>
      <c r="DC626" s="48"/>
      <c r="DD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175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175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  <c r="BD627" s="48"/>
      <c r="BE627" s="48"/>
      <c r="BF627" s="48"/>
      <c r="BG627" s="48"/>
      <c r="BH627" s="48"/>
      <c r="BI627" s="48"/>
      <c r="BJ627" s="48"/>
      <c r="BK627" s="48"/>
      <c r="BL627" s="48"/>
      <c r="BM627" s="48"/>
      <c r="BN627" s="48"/>
      <c r="BO627" s="48"/>
      <c r="BP627" s="48"/>
      <c r="BQ627" s="48"/>
      <c r="BR627" s="48"/>
      <c r="BS627" s="48"/>
      <c r="BT627" s="48"/>
      <c r="BU627" s="48"/>
      <c r="BV627" s="48"/>
      <c r="BW627" s="48"/>
      <c r="BX627" s="48"/>
      <c r="BY627" s="48"/>
      <c r="BZ627" s="48"/>
      <c r="CA627" s="48"/>
      <c r="CB627" s="48"/>
      <c r="CC627" s="48"/>
      <c r="CD627" s="48"/>
      <c r="CE627" s="48"/>
      <c r="CF627" s="48"/>
      <c r="CG627" s="48"/>
      <c r="CH627" s="48"/>
      <c r="CI627" s="48"/>
      <c r="CJ627" s="48"/>
      <c r="CK627" s="48"/>
      <c r="CL627" s="48"/>
      <c r="CM627" s="48"/>
      <c r="CN627" s="48"/>
      <c r="CO627" s="48"/>
      <c r="CP627" s="48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  <c r="DA627" s="48"/>
      <c r="DB627" s="48"/>
      <c r="DC627" s="48"/>
      <c r="DD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175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175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  <c r="BD628" s="48"/>
      <c r="BE628" s="48"/>
      <c r="BF628" s="48"/>
      <c r="BG628" s="48"/>
      <c r="BH628" s="48"/>
      <c r="BI628" s="48"/>
      <c r="BJ628" s="48"/>
      <c r="BK628" s="48"/>
      <c r="BL628" s="48"/>
      <c r="BM628" s="48"/>
      <c r="BN628" s="48"/>
      <c r="BO628" s="48"/>
      <c r="BP628" s="48"/>
      <c r="BQ628" s="48"/>
      <c r="BR628" s="48"/>
      <c r="BS628" s="48"/>
      <c r="BT628" s="48"/>
      <c r="BU628" s="48"/>
      <c r="BV628" s="48"/>
      <c r="BW628" s="48"/>
      <c r="BX628" s="48"/>
      <c r="BY628" s="48"/>
      <c r="BZ628" s="48"/>
      <c r="CA628" s="48"/>
      <c r="CB628" s="48"/>
      <c r="CC628" s="48"/>
      <c r="CD628" s="48"/>
      <c r="CE628" s="48"/>
      <c r="CF628" s="48"/>
      <c r="CG628" s="48"/>
      <c r="CH628" s="48"/>
      <c r="CI628" s="48"/>
      <c r="CJ628" s="48"/>
      <c r="CK628" s="48"/>
      <c r="CL628" s="48"/>
      <c r="CM628" s="48"/>
      <c r="CN628" s="48"/>
      <c r="CO628" s="48"/>
      <c r="CP628" s="48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  <c r="DA628" s="48"/>
      <c r="DB628" s="48"/>
      <c r="DC628" s="48"/>
      <c r="DD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175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175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  <c r="BD629" s="48"/>
      <c r="BE629" s="48"/>
      <c r="BF629" s="48"/>
      <c r="BG629" s="48"/>
      <c r="BH629" s="48"/>
      <c r="BI629" s="48"/>
      <c r="BJ629" s="48"/>
      <c r="BK629" s="48"/>
      <c r="BL629" s="48"/>
      <c r="BM629" s="48"/>
      <c r="BN629" s="48"/>
      <c r="BO629" s="48"/>
      <c r="BP629" s="48"/>
      <c r="BQ629" s="48"/>
      <c r="BR629" s="48"/>
      <c r="BS629" s="48"/>
      <c r="BT629" s="48"/>
      <c r="BU629" s="48"/>
      <c r="BV629" s="48"/>
      <c r="BW629" s="48"/>
      <c r="BX629" s="48"/>
      <c r="BY629" s="48"/>
      <c r="BZ629" s="48"/>
      <c r="CA629" s="48"/>
      <c r="CB629" s="48"/>
      <c r="CC629" s="48"/>
      <c r="CD629" s="48"/>
      <c r="CE629" s="48"/>
      <c r="CF629" s="48"/>
      <c r="CG629" s="48"/>
      <c r="CH629" s="48"/>
      <c r="CI629" s="48"/>
      <c r="CJ629" s="48"/>
      <c r="CK629" s="48"/>
      <c r="CL629" s="48"/>
      <c r="CM629" s="48"/>
      <c r="CN629" s="48"/>
      <c r="CO629" s="48"/>
      <c r="CP629" s="48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  <c r="DA629" s="48"/>
      <c r="DB629" s="48"/>
      <c r="DC629" s="48"/>
      <c r="DD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175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175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  <c r="BD630" s="48"/>
      <c r="BE630" s="48"/>
      <c r="BF630" s="48"/>
      <c r="BG630" s="48"/>
      <c r="BH630" s="48"/>
      <c r="BI630" s="48"/>
      <c r="BJ630" s="48"/>
      <c r="BK630" s="48"/>
      <c r="BL630" s="48"/>
      <c r="BM630" s="48"/>
      <c r="BN630" s="48"/>
      <c r="BO630" s="48"/>
      <c r="BP630" s="48"/>
      <c r="BQ630" s="48"/>
      <c r="BR630" s="48"/>
      <c r="BS630" s="48"/>
      <c r="BT630" s="48"/>
      <c r="BU630" s="48"/>
      <c r="BV630" s="48"/>
      <c r="BW630" s="48"/>
      <c r="BX630" s="48"/>
      <c r="BY630" s="48"/>
      <c r="BZ630" s="48"/>
      <c r="CA630" s="48"/>
      <c r="CB630" s="48"/>
      <c r="CC630" s="48"/>
      <c r="CD630" s="48"/>
      <c r="CE630" s="48"/>
      <c r="CF630" s="48"/>
      <c r="CG630" s="48"/>
      <c r="CH630" s="48"/>
      <c r="CI630" s="48"/>
      <c r="CJ630" s="48"/>
      <c r="CK630" s="48"/>
      <c r="CL630" s="48"/>
      <c r="CM630" s="48"/>
      <c r="CN630" s="48"/>
      <c r="CO630" s="48"/>
      <c r="CP630" s="48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  <c r="DA630" s="48"/>
      <c r="DB630" s="48"/>
      <c r="DC630" s="48"/>
      <c r="DD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175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175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  <c r="BD631" s="48"/>
      <c r="BE631" s="48"/>
      <c r="BF631" s="48"/>
      <c r="BG631" s="48"/>
      <c r="BH631" s="48"/>
      <c r="BI631" s="48"/>
      <c r="BJ631" s="48"/>
      <c r="BK631" s="48"/>
      <c r="BL631" s="48"/>
      <c r="BM631" s="48"/>
      <c r="BN631" s="48"/>
      <c r="BO631" s="48"/>
      <c r="BP631" s="48"/>
      <c r="BQ631" s="48"/>
      <c r="BR631" s="48"/>
      <c r="BS631" s="48"/>
      <c r="BT631" s="48"/>
      <c r="BU631" s="48"/>
      <c r="BV631" s="48"/>
      <c r="BW631" s="48"/>
      <c r="BX631" s="48"/>
      <c r="BY631" s="48"/>
      <c r="BZ631" s="48"/>
      <c r="CA631" s="48"/>
      <c r="CB631" s="48"/>
      <c r="CC631" s="48"/>
      <c r="CD631" s="48"/>
      <c r="CE631" s="48"/>
      <c r="CF631" s="48"/>
      <c r="CG631" s="48"/>
      <c r="CH631" s="48"/>
      <c r="CI631" s="48"/>
      <c r="CJ631" s="48"/>
      <c r="CK631" s="48"/>
      <c r="CL631" s="48"/>
      <c r="CM631" s="48"/>
      <c r="CN631" s="48"/>
      <c r="CO631" s="48"/>
      <c r="CP631" s="48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  <c r="DA631" s="48"/>
      <c r="DB631" s="48"/>
      <c r="DC631" s="48"/>
      <c r="DD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175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175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  <c r="BD632" s="48"/>
      <c r="BE632" s="48"/>
      <c r="BF632" s="48"/>
      <c r="BG632" s="48"/>
      <c r="BH632" s="48"/>
      <c r="BI632" s="48"/>
      <c r="BJ632" s="48"/>
      <c r="BK632" s="48"/>
      <c r="BL632" s="48"/>
      <c r="BM632" s="48"/>
      <c r="BN632" s="48"/>
      <c r="BO632" s="48"/>
      <c r="BP632" s="48"/>
      <c r="BQ632" s="48"/>
      <c r="BR632" s="48"/>
      <c r="BS632" s="48"/>
      <c r="BT632" s="48"/>
      <c r="BU632" s="48"/>
      <c r="BV632" s="48"/>
      <c r="BW632" s="48"/>
      <c r="BX632" s="48"/>
      <c r="BY632" s="48"/>
      <c r="BZ632" s="48"/>
      <c r="CA632" s="48"/>
      <c r="CB632" s="48"/>
      <c r="CC632" s="48"/>
      <c r="CD632" s="48"/>
      <c r="CE632" s="48"/>
      <c r="CF632" s="48"/>
      <c r="CG632" s="48"/>
      <c r="CH632" s="48"/>
      <c r="CI632" s="48"/>
      <c r="CJ632" s="48"/>
      <c r="CK632" s="48"/>
      <c r="CL632" s="48"/>
      <c r="CM632" s="48"/>
      <c r="CN632" s="48"/>
      <c r="CO632" s="48"/>
      <c r="CP632" s="48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  <c r="DA632" s="48"/>
      <c r="DB632" s="48"/>
      <c r="DC632" s="48"/>
      <c r="DD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175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175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  <c r="BD633" s="48"/>
      <c r="BE633" s="48"/>
      <c r="BF633" s="48"/>
      <c r="BG633" s="48"/>
      <c r="BH633" s="48"/>
      <c r="BI633" s="48"/>
      <c r="BJ633" s="48"/>
      <c r="BK633" s="48"/>
      <c r="BL633" s="48"/>
      <c r="BM633" s="48"/>
      <c r="BN633" s="48"/>
      <c r="BO633" s="48"/>
      <c r="BP633" s="48"/>
      <c r="BQ633" s="48"/>
      <c r="BR633" s="48"/>
      <c r="BS633" s="48"/>
      <c r="BT633" s="48"/>
      <c r="BU633" s="48"/>
      <c r="BV633" s="48"/>
      <c r="BW633" s="48"/>
      <c r="BX633" s="48"/>
      <c r="BY633" s="48"/>
      <c r="BZ633" s="48"/>
      <c r="CA633" s="48"/>
      <c r="CB633" s="48"/>
      <c r="CC633" s="48"/>
      <c r="CD633" s="48"/>
      <c r="CE633" s="48"/>
      <c r="CF633" s="48"/>
      <c r="CG633" s="48"/>
      <c r="CH633" s="48"/>
      <c r="CI633" s="48"/>
      <c r="CJ633" s="48"/>
      <c r="CK633" s="48"/>
      <c r="CL633" s="48"/>
      <c r="CM633" s="48"/>
      <c r="CN633" s="48"/>
      <c r="CO633" s="48"/>
      <c r="CP633" s="48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  <c r="DA633" s="48"/>
      <c r="DB633" s="48"/>
      <c r="DC633" s="48"/>
      <c r="DD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175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175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  <c r="BD634" s="48"/>
      <c r="BE634" s="48"/>
      <c r="BF634" s="48"/>
      <c r="BG634" s="48"/>
      <c r="BH634" s="48"/>
      <c r="BI634" s="48"/>
      <c r="BJ634" s="48"/>
      <c r="BK634" s="48"/>
      <c r="BL634" s="48"/>
      <c r="BM634" s="48"/>
      <c r="BN634" s="48"/>
      <c r="BO634" s="48"/>
      <c r="BP634" s="48"/>
      <c r="BQ634" s="48"/>
      <c r="BR634" s="48"/>
      <c r="BS634" s="48"/>
      <c r="BT634" s="48"/>
      <c r="BU634" s="48"/>
      <c r="BV634" s="48"/>
      <c r="BW634" s="48"/>
      <c r="BX634" s="48"/>
      <c r="BY634" s="48"/>
      <c r="BZ634" s="48"/>
      <c r="CA634" s="48"/>
      <c r="CB634" s="48"/>
      <c r="CC634" s="48"/>
      <c r="CD634" s="48"/>
      <c r="CE634" s="48"/>
      <c r="CF634" s="48"/>
      <c r="CG634" s="48"/>
      <c r="CH634" s="48"/>
      <c r="CI634" s="48"/>
      <c r="CJ634" s="48"/>
      <c r="CK634" s="48"/>
      <c r="CL634" s="48"/>
      <c r="CM634" s="48"/>
      <c r="CN634" s="48"/>
      <c r="CO634" s="48"/>
      <c r="CP634" s="48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  <c r="DA634" s="48"/>
      <c r="DB634" s="48"/>
      <c r="DC634" s="48"/>
      <c r="DD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175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175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  <c r="BD635" s="48"/>
      <c r="BE635" s="48"/>
      <c r="BF635" s="48"/>
      <c r="BG635" s="48"/>
      <c r="BH635" s="48"/>
      <c r="BI635" s="48"/>
      <c r="BJ635" s="48"/>
      <c r="BK635" s="48"/>
      <c r="BL635" s="48"/>
      <c r="BM635" s="48"/>
      <c r="BN635" s="48"/>
      <c r="BO635" s="48"/>
      <c r="BP635" s="48"/>
      <c r="BQ635" s="48"/>
      <c r="BR635" s="48"/>
      <c r="BS635" s="48"/>
      <c r="BT635" s="48"/>
      <c r="BU635" s="48"/>
      <c r="BV635" s="48"/>
      <c r="BW635" s="48"/>
      <c r="BX635" s="48"/>
      <c r="BY635" s="48"/>
      <c r="BZ635" s="48"/>
      <c r="CA635" s="48"/>
      <c r="CB635" s="48"/>
      <c r="CC635" s="48"/>
      <c r="CD635" s="48"/>
      <c r="CE635" s="48"/>
      <c r="CF635" s="48"/>
      <c r="CG635" s="48"/>
      <c r="CH635" s="48"/>
      <c r="CI635" s="48"/>
      <c r="CJ635" s="48"/>
      <c r="CK635" s="48"/>
      <c r="CL635" s="48"/>
      <c r="CM635" s="48"/>
      <c r="CN635" s="48"/>
      <c r="CO635" s="48"/>
      <c r="CP635" s="48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  <c r="DA635" s="48"/>
      <c r="DB635" s="48"/>
      <c r="DC635" s="48"/>
      <c r="DD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175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175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  <c r="CO636" s="48"/>
      <c r="CP636" s="48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175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175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8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175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175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8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175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175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  <c r="BD639" s="48"/>
      <c r="BE639" s="48"/>
      <c r="BF639" s="48"/>
      <c r="BG639" s="48"/>
      <c r="BH639" s="48"/>
      <c r="BI639" s="48"/>
      <c r="BJ639" s="48"/>
      <c r="BK639" s="48"/>
      <c r="BL639" s="48"/>
      <c r="BM639" s="48"/>
      <c r="BN639" s="48"/>
      <c r="BO639" s="48"/>
      <c r="BP639" s="48"/>
      <c r="BQ639" s="48"/>
      <c r="BR639" s="48"/>
      <c r="BS639" s="48"/>
      <c r="BT639" s="48"/>
      <c r="BU639" s="48"/>
      <c r="BV639" s="48"/>
      <c r="BW639" s="48"/>
      <c r="BX639" s="48"/>
      <c r="BY639" s="48"/>
      <c r="BZ639" s="48"/>
      <c r="CA639" s="48"/>
      <c r="CB639" s="48"/>
      <c r="CC639" s="48"/>
      <c r="CD639" s="48"/>
      <c r="CE639" s="48"/>
      <c r="CF639" s="48"/>
      <c r="CG639" s="48"/>
      <c r="CH639" s="48"/>
      <c r="CI639" s="48"/>
      <c r="CJ639" s="48"/>
      <c r="CK639" s="48"/>
      <c r="CL639" s="48"/>
      <c r="CM639" s="48"/>
      <c r="CN639" s="48"/>
      <c r="CO639" s="48"/>
      <c r="CP639" s="48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  <c r="DA639" s="48"/>
      <c r="DB639" s="48"/>
      <c r="DC639" s="48"/>
      <c r="DD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175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175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8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175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175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  <c r="BD641" s="48"/>
      <c r="BE641" s="48"/>
      <c r="BF641" s="48"/>
      <c r="BG641" s="48"/>
      <c r="BH641" s="48"/>
      <c r="BI641" s="48"/>
      <c r="BJ641" s="48"/>
      <c r="BK641" s="48"/>
      <c r="BL641" s="48"/>
      <c r="BM641" s="48"/>
      <c r="BN641" s="48"/>
      <c r="BO641" s="48"/>
      <c r="BP641" s="48"/>
      <c r="BQ641" s="48"/>
      <c r="BR641" s="48"/>
      <c r="BS641" s="48"/>
      <c r="BT641" s="48"/>
      <c r="BU641" s="48"/>
      <c r="BV641" s="48"/>
      <c r="BW641" s="48"/>
      <c r="BX641" s="48"/>
      <c r="BY641" s="48"/>
      <c r="BZ641" s="48"/>
      <c r="CA641" s="48"/>
      <c r="CB641" s="48"/>
      <c r="CC641" s="48"/>
      <c r="CD641" s="48"/>
      <c r="CE641" s="48"/>
      <c r="CF641" s="48"/>
      <c r="CG641" s="48"/>
      <c r="CH641" s="48"/>
      <c r="CI641" s="48"/>
      <c r="CJ641" s="48"/>
      <c r="CK641" s="48"/>
      <c r="CL641" s="48"/>
      <c r="CM641" s="48"/>
      <c r="CN641" s="48"/>
      <c r="CO641" s="48"/>
      <c r="CP641" s="48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  <c r="DA641" s="48"/>
      <c r="DB641" s="48"/>
      <c r="DC641" s="48"/>
      <c r="DD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175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175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  <c r="BD642" s="48"/>
      <c r="BE642" s="48"/>
      <c r="BF642" s="48"/>
      <c r="BG642" s="48"/>
      <c r="BH642" s="48"/>
      <c r="BI642" s="48"/>
      <c r="BJ642" s="48"/>
      <c r="BK642" s="48"/>
      <c r="BL642" s="48"/>
      <c r="BM642" s="48"/>
      <c r="BN642" s="48"/>
      <c r="BO642" s="48"/>
      <c r="BP642" s="48"/>
      <c r="BQ642" s="48"/>
      <c r="BR642" s="48"/>
      <c r="BS642" s="48"/>
      <c r="BT642" s="48"/>
      <c r="BU642" s="48"/>
      <c r="BV642" s="48"/>
      <c r="BW642" s="48"/>
      <c r="BX642" s="48"/>
      <c r="BY642" s="48"/>
      <c r="BZ642" s="48"/>
      <c r="CA642" s="48"/>
      <c r="CB642" s="48"/>
      <c r="CC642" s="48"/>
      <c r="CD642" s="48"/>
      <c r="CE642" s="48"/>
      <c r="CF642" s="48"/>
      <c r="CG642" s="48"/>
      <c r="CH642" s="48"/>
      <c r="CI642" s="48"/>
      <c r="CJ642" s="48"/>
      <c r="CK642" s="48"/>
      <c r="CL642" s="48"/>
      <c r="CM642" s="48"/>
      <c r="CN642" s="48"/>
      <c r="CO642" s="48"/>
      <c r="CP642" s="48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  <c r="DA642" s="48"/>
      <c r="DB642" s="48"/>
      <c r="DC642" s="48"/>
      <c r="DD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175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175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  <c r="BD643" s="48"/>
      <c r="BE643" s="48"/>
      <c r="BF643" s="48"/>
      <c r="BG643" s="48"/>
      <c r="BH643" s="48"/>
      <c r="BI643" s="48"/>
      <c r="BJ643" s="48"/>
      <c r="BK643" s="48"/>
      <c r="BL643" s="48"/>
      <c r="BM643" s="48"/>
      <c r="BN643" s="48"/>
      <c r="BO643" s="48"/>
      <c r="BP643" s="48"/>
      <c r="BQ643" s="48"/>
      <c r="BR643" s="48"/>
      <c r="BS643" s="48"/>
      <c r="BT643" s="48"/>
      <c r="BU643" s="48"/>
      <c r="BV643" s="48"/>
      <c r="BW643" s="48"/>
      <c r="BX643" s="48"/>
      <c r="BY643" s="48"/>
      <c r="BZ643" s="48"/>
      <c r="CA643" s="48"/>
      <c r="CB643" s="48"/>
      <c r="CC643" s="48"/>
      <c r="CD643" s="48"/>
      <c r="CE643" s="48"/>
      <c r="CF643" s="48"/>
      <c r="CG643" s="48"/>
      <c r="CH643" s="48"/>
      <c r="CI643" s="48"/>
      <c r="CJ643" s="48"/>
      <c r="CK643" s="48"/>
      <c r="CL643" s="48"/>
      <c r="CM643" s="48"/>
      <c r="CN643" s="48"/>
      <c r="CO643" s="48"/>
      <c r="CP643" s="48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  <c r="DA643" s="48"/>
      <c r="DB643" s="48"/>
      <c r="DC643" s="48"/>
      <c r="DD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175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175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  <c r="BD644" s="48"/>
      <c r="BE644" s="48"/>
      <c r="BF644" s="48"/>
      <c r="BG644" s="48"/>
      <c r="BH644" s="48"/>
      <c r="BI644" s="48"/>
      <c r="BJ644" s="48"/>
      <c r="BK644" s="48"/>
      <c r="BL644" s="48"/>
      <c r="BM644" s="48"/>
      <c r="BN644" s="48"/>
      <c r="BO644" s="48"/>
      <c r="BP644" s="48"/>
      <c r="BQ644" s="48"/>
      <c r="BR644" s="48"/>
      <c r="BS644" s="48"/>
      <c r="BT644" s="48"/>
      <c r="BU644" s="48"/>
      <c r="BV644" s="48"/>
      <c r="BW644" s="48"/>
      <c r="BX644" s="48"/>
      <c r="BY644" s="48"/>
      <c r="BZ644" s="48"/>
      <c r="CA644" s="48"/>
      <c r="CB644" s="48"/>
      <c r="CC644" s="48"/>
      <c r="CD644" s="48"/>
      <c r="CE644" s="48"/>
      <c r="CF644" s="48"/>
      <c r="CG644" s="48"/>
      <c r="CH644" s="48"/>
      <c r="CI644" s="48"/>
      <c r="CJ644" s="48"/>
      <c r="CK644" s="48"/>
      <c r="CL644" s="48"/>
      <c r="CM644" s="48"/>
      <c r="CN644" s="48"/>
      <c r="CO644" s="48"/>
      <c r="CP644" s="48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  <c r="DA644" s="48"/>
      <c r="DB644" s="48"/>
      <c r="DC644" s="48"/>
      <c r="DD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175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175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  <c r="BD645" s="48"/>
      <c r="BE645" s="48"/>
      <c r="BF645" s="48"/>
      <c r="BG645" s="48"/>
      <c r="BH645" s="48"/>
      <c r="BI645" s="48"/>
      <c r="BJ645" s="48"/>
      <c r="BK645" s="48"/>
      <c r="BL645" s="48"/>
      <c r="BM645" s="48"/>
      <c r="BN645" s="48"/>
      <c r="BO645" s="48"/>
      <c r="BP645" s="48"/>
      <c r="BQ645" s="48"/>
      <c r="BR645" s="48"/>
      <c r="BS645" s="48"/>
      <c r="BT645" s="48"/>
      <c r="BU645" s="48"/>
      <c r="BV645" s="48"/>
      <c r="BW645" s="48"/>
      <c r="BX645" s="48"/>
      <c r="BY645" s="48"/>
      <c r="BZ645" s="48"/>
      <c r="CA645" s="48"/>
      <c r="CB645" s="48"/>
      <c r="CC645" s="48"/>
      <c r="CD645" s="48"/>
      <c r="CE645" s="48"/>
      <c r="CF645" s="48"/>
      <c r="CG645" s="48"/>
      <c r="CH645" s="48"/>
      <c r="CI645" s="48"/>
      <c r="CJ645" s="48"/>
      <c r="CK645" s="48"/>
      <c r="CL645" s="48"/>
      <c r="CM645" s="48"/>
      <c r="CN645" s="48"/>
      <c r="CO645" s="48"/>
      <c r="CP645" s="48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  <c r="DA645" s="48"/>
      <c r="DB645" s="48"/>
      <c r="DC645" s="48"/>
      <c r="DD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175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175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  <c r="BD646" s="48"/>
      <c r="BE646" s="48"/>
      <c r="BF646" s="48"/>
      <c r="BG646" s="48"/>
      <c r="BH646" s="48"/>
      <c r="BI646" s="48"/>
      <c r="BJ646" s="48"/>
      <c r="BK646" s="48"/>
      <c r="BL646" s="48"/>
      <c r="BM646" s="48"/>
      <c r="BN646" s="48"/>
      <c r="BO646" s="48"/>
      <c r="BP646" s="48"/>
      <c r="BQ646" s="48"/>
      <c r="BR646" s="48"/>
      <c r="BS646" s="48"/>
      <c r="BT646" s="48"/>
      <c r="BU646" s="48"/>
      <c r="BV646" s="48"/>
      <c r="BW646" s="48"/>
      <c r="BX646" s="48"/>
      <c r="BY646" s="48"/>
      <c r="BZ646" s="48"/>
      <c r="CA646" s="48"/>
      <c r="CB646" s="48"/>
      <c r="CC646" s="48"/>
      <c r="CD646" s="48"/>
      <c r="CE646" s="48"/>
      <c r="CF646" s="48"/>
      <c r="CG646" s="48"/>
      <c r="CH646" s="48"/>
      <c r="CI646" s="48"/>
      <c r="CJ646" s="48"/>
      <c r="CK646" s="48"/>
      <c r="CL646" s="48"/>
      <c r="CM646" s="48"/>
      <c r="CN646" s="48"/>
      <c r="CO646" s="48"/>
      <c r="CP646" s="48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  <c r="DA646" s="48"/>
      <c r="DB646" s="48"/>
      <c r="DC646" s="48"/>
      <c r="DD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175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175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  <c r="BD647" s="48"/>
      <c r="BE647" s="48"/>
      <c r="BF647" s="48"/>
      <c r="BG647" s="48"/>
      <c r="BH647" s="48"/>
      <c r="BI647" s="48"/>
      <c r="BJ647" s="48"/>
      <c r="BK647" s="48"/>
      <c r="BL647" s="48"/>
      <c r="BM647" s="48"/>
      <c r="BN647" s="48"/>
      <c r="BO647" s="48"/>
      <c r="BP647" s="48"/>
      <c r="BQ647" s="48"/>
      <c r="BR647" s="48"/>
      <c r="BS647" s="48"/>
      <c r="BT647" s="48"/>
      <c r="BU647" s="48"/>
      <c r="BV647" s="48"/>
      <c r="BW647" s="48"/>
      <c r="BX647" s="48"/>
      <c r="BY647" s="48"/>
      <c r="BZ647" s="48"/>
      <c r="CA647" s="48"/>
      <c r="CB647" s="48"/>
      <c r="CC647" s="48"/>
      <c r="CD647" s="48"/>
      <c r="CE647" s="48"/>
      <c r="CF647" s="48"/>
      <c r="CG647" s="48"/>
      <c r="CH647" s="48"/>
      <c r="CI647" s="48"/>
      <c r="CJ647" s="48"/>
      <c r="CK647" s="48"/>
      <c r="CL647" s="48"/>
      <c r="CM647" s="48"/>
      <c r="CN647" s="48"/>
      <c r="CO647" s="48"/>
      <c r="CP647" s="48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  <c r="DA647" s="48"/>
      <c r="DB647" s="48"/>
      <c r="DC647" s="48"/>
      <c r="DD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175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175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  <c r="CO648" s="48"/>
      <c r="CP648" s="48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175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175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  <c r="BD649" s="48"/>
      <c r="BE649" s="48"/>
      <c r="BF649" s="48"/>
      <c r="BG649" s="48"/>
      <c r="BH649" s="48"/>
      <c r="BI649" s="48"/>
      <c r="BJ649" s="48"/>
      <c r="BK649" s="48"/>
      <c r="BL649" s="48"/>
      <c r="BM649" s="48"/>
      <c r="BN649" s="48"/>
      <c r="BO649" s="48"/>
      <c r="BP649" s="48"/>
      <c r="BQ649" s="48"/>
      <c r="BR649" s="48"/>
      <c r="BS649" s="48"/>
      <c r="BT649" s="48"/>
      <c r="BU649" s="48"/>
      <c r="BV649" s="48"/>
      <c r="BW649" s="48"/>
      <c r="BX649" s="48"/>
      <c r="BY649" s="48"/>
      <c r="BZ649" s="48"/>
      <c r="CA649" s="48"/>
      <c r="CB649" s="48"/>
      <c r="CC649" s="48"/>
      <c r="CD649" s="48"/>
      <c r="CE649" s="48"/>
      <c r="CF649" s="48"/>
      <c r="CG649" s="48"/>
      <c r="CH649" s="48"/>
      <c r="CI649" s="48"/>
      <c r="CJ649" s="48"/>
      <c r="CK649" s="48"/>
      <c r="CL649" s="48"/>
      <c r="CM649" s="48"/>
      <c r="CN649" s="48"/>
      <c r="CO649" s="48"/>
      <c r="CP649" s="48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  <c r="DA649" s="48"/>
      <c r="DB649" s="48"/>
      <c r="DC649" s="48"/>
      <c r="DD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175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175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  <c r="CO650" s="48"/>
      <c r="CP650" s="48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175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175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  <c r="BD651" s="48"/>
      <c r="BE651" s="48"/>
      <c r="BF651" s="48"/>
      <c r="BG651" s="48"/>
      <c r="BH651" s="48"/>
      <c r="BI651" s="48"/>
      <c r="BJ651" s="48"/>
      <c r="BK651" s="48"/>
      <c r="BL651" s="48"/>
      <c r="BM651" s="48"/>
      <c r="BN651" s="48"/>
      <c r="BO651" s="48"/>
      <c r="BP651" s="48"/>
      <c r="BQ651" s="48"/>
      <c r="BR651" s="48"/>
      <c r="BS651" s="48"/>
      <c r="BT651" s="48"/>
      <c r="BU651" s="48"/>
      <c r="BV651" s="48"/>
      <c r="BW651" s="48"/>
      <c r="BX651" s="48"/>
      <c r="BY651" s="48"/>
      <c r="BZ651" s="48"/>
      <c r="CA651" s="48"/>
      <c r="CB651" s="48"/>
      <c r="CC651" s="48"/>
      <c r="CD651" s="48"/>
      <c r="CE651" s="48"/>
      <c r="CF651" s="48"/>
      <c r="CG651" s="48"/>
      <c r="CH651" s="48"/>
      <c r="CI651" s="48"/>
      <c r="CJ651" s="48"/>
      <c r="CK651" s="48"/>
      <c r="CL651" s="48"/>
      <c r="CM651" s="48"/>
      <c r="CN651" s="48"/>
      <c r="CO651" s="48"/>
      <c r="CP651" s="48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  <c r="DA651" s="48"/>
      <c r="DB651" s="48"/>
      <c r="DC651" s="48"/>
      <c r="DD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175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175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  <c r="BD652" s="48"/>
      <c r="BE652" s="48"/>
      <c r="BF652" s="48"/>
      <c r="BG652" s="48"/>
      <c r="BH652" s="48"/>
      <c r="BI652" s="48"/>
      <c r="BJ652" s="48"/>
      <c r="BK652" s="48"/>
      <c r="BL652" s="48"/>
      <c r="BM652" s="48"/>
      <c r="BN652" s="48"/>
      <c r="BO652" s="48"/>
      <c r="BP652" s="48"/>
      <c r="BQ652" s="48"/>
      <c r="BR652" s="48"/>
      <c r="BS652" s="48"/>
      <c r="BT652" s="48"/>
      <c r="BU652" s="48"/>
      <c r="BV652" s="48"/>
      <c r="BW652" s="48"/>
      <c r="BX652" s="48"/>
      <c r="BY652" s="48"/>
      <c r="BZ652" s="48"/>
      <c r="CA652" s="48"/>
      <c r="CB652" s="48"/>
      <c r="CC652" s="48"/>
      <c r="CD652" s="48"/>
      <c r="CE652" s="48"/>
      <c r="CF652" s="48"/>
      <c r="CG652" s="48"/>
      <c r="CH652" s="48"/>
      <c r="CI652" s="48"/>
      <c r="CJ652" s="48"/>
      <c r="CK652" s="48"/>
      <c r="CL652" s="48"/>
      <c r="CM652" s="48"/>
      <c r="CN652" s="48"/>
      <c r="CO652" s="48"/>
      <c r="CP652" s="48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  <c r="DA652" s="48"/>
      <c r="DB652" s="48"/>
      <c r="DC652" s="48"/>
      <c r="DD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175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175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  <c r="BD653" s="48"/>
      <c r="BE653" s="48"/>
      <c r="BF653" s="48"/>
      <c r="BG653" s="48"/>
      <c r="BH653" s="48"/>
      <c r="BI653" s="48"/>
      <c r="BJ653" s="48"/>
      <c r="BK653" s="48"/>
      <c r="BL653" s="48"/>
      <c r="BM653" s="48"/>
      <c r="BN653" s="48"/>
      <c r="BO653" s="48"/>
      <c r="BP653" s="48"/>
      <c r="BQ653" s="48"/>
      <c r="BR653" s="48"/>
      <c r="BS653" s="48"/>
      <c r="BT653" s="48"/>
      <c r="BU653" s="48"/>
      <c r="BV653" s="48"/>
      <c r="BW653" s="48"/>
      <c r="BX653" s="48"/>
      <c r="BY653" s="48"/>
      <c r="BZ653" s="48"/>
      <c r="CA653" s="48"/>
      <c r="CB653" s="48"/>
      <c r="CC653" s="48"/>
      <c r="CD653" s="48"/>
      <c r="CE653" s="48"/>
      <c r="CF653" s="48"/>
      <c r="CG653" s="48"/>
      <c r="CH653" s="48"/>
      <c r="CI653" s="48"/>
      <c r="CJ653" s="48"/>
      <c r="CK653" s="48"/>
      <c r="CL653" s="48"/>
      <c r="CM653" s="48"/>
      <c r="CN653" s="48"/>
      <c r="CO653" s="48"/>
      <c r="CP653" s="48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  <c r="DA653" s="48"/>
      <c r="DB653" s="48"/>
      <c r="DC653" s="48"/>
      <c r="DD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175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175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  <c r="CO654" s="48"/>
      <c r="CP654" s="48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175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175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  <c r="BD655" s="48"/>
      <c r="BE655" s="48"/>
      <c r="BF655" s="48"/>
      <c r="BG655" s="48"/>
      <c r="BH655" s="48"/>
      <c r="BI655" s="48"/>
      <c r="BJ655" s="48"/>
      <c r="BK655" s="48"/>
      <c r="BL655" s="48"/>
      <c r="BM655" s="48"/>
      <c r="BN655" s="48"/>
      <c r="BO655" s="48"/>
      <c r="BP655" s="48"/>
      <c r="BQ655" s="48"/>
      <c r="BR655" s="48"/>
      <c r="BS655" s="48"/>
      <c r="BT655" s="48"/>
      <c r="BU655" s="48"/>
      <c r="BV655" s="48"/>
      <c r="BW655" s="48"/>
      <c r="BX655" s="48"/>
      <c r="BY655" s="48"/>
      <c r="BZ655" s="48"/>
      <c r="CA655" s="48"/>
      <c r="CB655" s="48"/>
      <c r="CC655" s="48"/>
      <c r="CD655" s="48"/>
      <c r="CE655" s="48"/>
      <c r="CF655" s="48"/>
      <c r="CG655" s="48"/>
      <c r="CH655" s="48"/>
      <c r="CI655" s="48"/>
      <c r="CJ655" s="48"/>
      <c r="CK655" s="48"/>
      <c r="CL655" s="48"/>
      <c r="CM655" s="48"/>
      <c r="CN655" s="48"/>
      <c r="CO655" s="48"/>
      <c r="CP655" s="48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  <c r="DA655" s="48"/>
      <c r="DB655" s="48"/>
      <c r="DC655" s="48"/>
      <c r="DD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175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175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  <c r="CO656" s="48"/>
      <c r="CP656" s="48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175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175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  <c r="BD657" s="48"/>
      <c r="BE657" s="48"/>
      <c r="BF657" s="48"/>
      <c r="BG657" s="48"/>
      <c r="BH657" s="48"/>
      <c r="BI657" s="48"/>
      <c r="BJ657" s="48"/>
      <c r="BK657" s="48"/>
      <c r="BL657" s="48"/>
      <c r="BM657" s="48"/>
      <c r="BN657" s="48"/>
      <c r="BO657" s="48"/>
      <c r="BP657" s="48"/>
      <c r="BQ657" s="48"/>
      <c r="BR657" s="48"/>
      <c r="BS657" s="48"/>
      <c r="BT657" s="48"/>
      <c r="BU657" s="48"/>
      <c r="BV657" s="48"/>
      <c r="BW657" s="48"/>
      <c r="BX657" s="48"/>
      <c r="BY657" s="48"/>
      <c r="BZ657" s="48"/>
      <c r="CA657" s="48"/>
      <c r="CB657" s="48"/>
      <c r="CC657" s="48"/>
      <c r="CD657" s="48"/>
      <c r="CE657" s="48"/>
      <c r="CF657" s="48"/>
      <c r="CG657" s="48"/>
      <c r="CH657" s="48"/>
      <c r="CI657" s="48"/>
      <c r="CJ657" s="48"/>
      <c r="CK657" s="48"/>
      <c r="CL657" s="48"/>
      <c r="CM657" s="48"/>
      <c r="CN657" s="48"/>
      <c r="CO657" s="48"/>
      <c r="CP657" s="48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  <c r="DA657" s="48"/>
      <c r="DB657" s="48"/>
      <c r="DC657" s="48"/>
      <c r="DD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175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175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/>
      <c r="BJ658" s="48"/>
      <c r="BK658" s="48"/>
      <c r="BL658" s="48"/>
      <c r="BM658" s="48"/>
      <c r="BN658" s="48"/>
      <c r="BO658" s="48"/>
      <c r="BP658" s="48"/>
      <c r="BQ658" s="48"/>
      <c r="BR658" s="48"/>
      <c r="BS658" s="48"/>
      <c r="BT658" s="48"/>
      <c r="BU658" s="48"/>
      <c r="BV658" s="48"/>
      <c r="BW658" s="48"/>
      <c r="BX658" s="48"/>
      <c r="BY658" s="48"/>
      <c r="BZ658" s="48"/>
      <c r="CA658" s="48"/>
      <c r="CB658" s="48"/>
      <c r="CC658" s="48"/>
      <c r="CD658" s="48"/>
      <c r="CE658" s="48"/>
      <c r="CF658" s="48"/>
      <c r="CG658" s="48"/>
      <c r="CH658" s="48"/>
      <c r="CI658" s="48"/>
      <c r="CJ658" s="48"/>
      <c r="CK658" s="48"/>
      <c r="CL658" s="48"/>
      <c r="CM658" s="48"/>
      <c r="CN658" s="48"/>
      <c r="CO658" s="48"/>
      <c r="CP658" s="48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  <c r="DA658" s="48"/>
      <c r="DB658" s="48"/>
      <c r="DC658" s="48"/>
      <c r="DD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175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175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  <c r="BD659" s="48"/>
      <c r="BE659" s="48"/>
      <c r="BF659" s="48"/>
      <c r="BG659" s="48"/>
      <c r="BH659" s="48"/>
      <c r="BI659" s="48"/>
      <c r="BJ659" s="48"/>
      <c r="BK659" s="48"/>
      <c r="BL659" s="48"/>
      <c r="BM659" s="48"/>
      <c r="BN659" s="48"/>
      <c r="BO659" s="48"/>
      <c r="BP659" s="48"/>
      <c r="BQ659" s="48"/>
      <c r="BR659" s="48"/>
      <c r="BS659" s="48"/>
      <c r="BT659" s="48"/>
      <c r="BU659" s="48"/>
      <c r="BV659" s="48"/>
      <c r="BW659" s="48"/>
      <c r="BX659" s="48"/>
      <c r="BY659" s="48"/>
      <c r="BZ659" s="48"/>
      <c r="CA659" s="48"/>
      <c r="CB659" s="48"/>
      <c r="CC659" s="48"/>
      <c r="CD659" s="48"/>
      <c r="CE659" s="48"/>
      <c r="CF659" s="48"/>
      <c r="CG659" s="48"/>
      <c r="CH659" s="48"/>
      <c r="CI659" s="48"/>
      <c r="CJ659" s="48"/>
      <c r="CK659" s="48"/>
      <c r="CL659" s="48"/>
      <c r="CM659" s="48"/>
      <c r="CN659" s="48"/>
      <c r="CO659" s="48"/>
      <c r="CP659" s="48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  <c r="DA659" s="48"/>
      <c r="DB659" s="48"/>
      <c r="DC659" s="48"/>
      <c r="DD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175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175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  <c r="BD660" s="48"/>
      <c r="BE660" s="48"/>
      <c r="BF660" s="48"/>
      <c r="BG660" s="48"/>
      <c r="BH660" s="48"/>
      <c r="BI660" s="48"/>
      <c r="BJ660" s="48"/>
      <c r="BK660" s="48"/>
      <c r="BL660" s="48"/>
      <c r="BM660" s="48"/>
      <c r="BN660" s="48"/>
      <c r="BO660" s="48"/>
      <c r="BP660" s="48"/>
      <c r="BQ660" s="48"/>
      <c r="BR660" s="48"/>
      <c r="BS660" s="48"/>
      <c r="BT660" s="48"/>
      <c r="BU660" s="48"/>
      <c r="BV660" s="48"/>
      <c r="BW660" s="48"/>
      <c r="BX660" s="48"/>
      <c r="BY660" s="48"/>
      <c r="BZ660" s="48"/>
      <c r="CA660" s="48"/>
      <c r="CB660" s="48"/>
      <c r="CC660" s="48"/>
      <c r="CD660" s="48"/>
      <c r="CE660" s="48"/>
      <c r="CF660" s="48"/>
      <c r="CG660" s="48"/>
      <c r="CH660" s="48"/>
      <c r="CI660" s="48"/>
      <c r="CJ660" s="48"/>
      <c r="CK660" s="48"/>
      <c r="CL660" s="48"/>
      <c r="CM660" s="48"/>
      <c r="CN660" s="48"/>
      <c r="CO660" s="48"/>
      <c r="CP660" s="48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  <c r="DA660" s="48"/>
      <c r="DB660" s="48"/>
      <c r="DC660" s="48"/>
      <c r="DD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175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175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  <c r="BD661" s="48"/>
      <c r="BE661" s="48"/>
      <c r="BF661" s="48"/>
      <c r="BG661" s="48"/>
      <c r="BH661" s="48"/>
      <c r="BI661" s="48"/>
      <c r="BJ661" s="48"/>
      <c r="BK661" s="48"/>
      <c r="BL661" s="48"/>
      <c r="BM661" s="48"/>
      <c r="BN661" s="48"/>
      <c r="BO661" s="48"/>
      <c r="BP661" s="48"/>
      <c r="BQ661" s="48"/>
      <c r="BR661" s="48"/>
      <c r="BS661" s="48"/>
      <c r="BT661" s="48"/>
      <c r="BU661" s="48"/>
      <c r="BV661" s="48"/>
      <c r="BW661" s="48"/>
      <c r="BX661" s="48"/>
      <c r="BY661" s="48"/>
      <c r="BZ661" s="48"/>
      <c r="CA661" s="48"/>
      <c r="CB661" s="48"/>
      <c r="CC661" s="48"/>
      <c r="CD661" s="48"/>
      <c r="CE661" s="48"/>
      <c r="CF661" s="48"/>
      <c r="CG661" s="48"/>
      <c r="CH661" s="48"/>
      <c r="CI661" s="48"/>
      <c r="CJ661" s="48"/>
      <c r="CK661" s="48"/>
      <c r="CL661" s="48"/>
      <c r="CM661" s="48"/>
      <c r="CN661" s="48"/>
      <c r="CO661" s="48"/>
      <c r="CP661" s="48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  <c r="DA661" s="48"/>
      <c r="DB661" s="48"/>
      <c r="DC661" s="48"/>
      <c r="DD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175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175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  <c r="CO662" s="48"/>
      <c r="CP662" s="48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175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175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  <c r="BD663" s="48"/>
      <c r="BE663" s="48"/>
      <c r="BF663" s="48"/>
      <c r="BG663" s="48"/>
      <c r="BH663" s="48"/>
      <c r="BI663" s="48"/>
      <c r="BJ663" s="48"/>
      <c r="BK663" s="48"/>
      <c r="BL663" s="48"/>
      <c r="BM663" s="48"/>
      <c r="BN663" s="48"/>
      <c r="BO663" s="48"/>
      <c r="BP663" s="48"/>
      <c r="BQ663" s="48"/>
      <c r="BR663" s="48"/>
      <c r="BS663" s="48"/>
      <c r="BT663" s="48"/>
      <c r="BU663" s="48"/>
      <c r="BV663" s="48"/>
      <c r="BW663" s="48"/>
      <c r="BX663" s="48"/>
      <c r="BY663" s="48"/>
      <c r="BZ663" s="48"/>
      <c r="CA663" s="48"/>
      <c r="CB663" s="48"/>
      <c r="CC663" s="48"/>
      <c r="CD663" s="48"/>
      <c r="CE663" s="48"/>
      <c r="CF663" s="48"/>
      <c r="CG663" s="48"/>
      <c r="CH663" s="48"/>
      <c r="CI663" s="48"/>
      <c r="CJ663" s="48"/>
      <c r="CK663" s="48"/>
      <c r="CL663" s="48"/>
      <c r="CM663" s="48"/>
      <c r="CN663" s="48"/>
      <c r="CO663" s="48"/>
      <c r="CP663" s="48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  <c r="DA663" s="48"/>
      <c r="DB663" s="48"/>
      <c r="DC663" s="48"/>
      <c r="DD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175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175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  <c r="BD664" s="48"/>
      <c r="BE664" s="48"/>
      <c r="BF664" s="48"/>
      <c r="BG664" s="48"/>
      <c r="BH664" s="48"/>
      <c r="BI664" s="48"/>
      <c r="BJ664" s="48"/>
      <c r="BK664" s="48"/>
      <c r="BL664" s="48"/>
      <c r="BM664" s="48"/>
      <c r="BN664" s="48"/>
      <c r="BO664" s="48"/>
      <c r="BP664" s="48"/>
      <c r="BQ664" s="48"/>
      <c r="BR664" s="48"/>
      <c r="BS664" s="48"/>
      <c r="BT664" s="48"/>
      <c r="BU664" s="48"/>
      <c r="BV664" s="48"/>
      <c r="BW664" s="48"/>
      <c r="BX664" s="48"/>
      <c r="BY664" s="48"/>
      <c r="BZ664" s="48"/>
      <c r="CA664" s="48"/>
      <c r="CB664" s="48"/>
      <c r="CC664" s="48"/>
      <c r="CD664" s="48"/>
      <c r="CE664" s="48"/>
      <c r="CF664" s="48"/>
      <c r="CG664" s="48"/>
      <c r="CH664" s="48"/>
      <c r="CI664" s="48"/>
      <c r="CJ664" s="48"/>
      <c r="CK664" s="48"/>
      <c r="CL664" s="48"/>
      <c r="CM664" s="48"/>
      <c r="CN664" s="48"/>
      <c r="CO664" s="48"/>
      <c r="CP664" s="48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  <c r="DA664" s="48"/>
      <c r="DB664" s="48"/>
      <c r="DC664" s="48"/>
      <c r="DD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175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175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  <c r="BD665" s="48"/>
      <c r="BE665" s="48"/>
      <c r="BF665" s="48"/>
      <c r="BG665" s="48"/>
      <c r="BH665" s="48"/>
      <c r="BI665" s="48"/>
      <c r="BJ665" s="48"/>
      <c r="BK665" s="48"/>
      <c r="BL665" s="48"/>
      <c r="BM665" s="48"/>
      <c r="BN665" s="48"/>
      <c r="BO665" s="48"/>
      <c r="BP665" s="48"/>
      <c r="BQ665" s="48"/>
      <c r="BR665" s="48"/>
      <c r="BS665" s="48"/>
      <c r="BT665" s="48"/>
      <c r="BU665" s="48"/>
      <c r="BV665" s="48"/>
      <c r="BW665" s="48"/>
      <c r="BX665" s="48"/>
      <c r="BY665" s="48"/>
      <c r="BZ665" s="48"/>
      <c r="CA665" s="48"/>
      <c r="CB665" s="48"/>
      <c r="CC665" s="48"/>
      <c r="CD665" s="48"/>
      <c r="CE665" s="48"/>
      <c r="CF665" s="48"/>
      <c r="CG665" s="48"/>
      <c r="CH665" s="48"/>
      <c r="CI665" s="48"/>
      <c r="CJ665" s="48"/>
      <c r="CK665" s="48"/>
      <c r="CL665" s="48"/>
      <c r="CM665" s="48"/>
      <c r="CN665" s="48"/>
      <c r="CO665" s="48"/>
      <c r="CP665" s="48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  <c r="DA665" s="48"/>
      <c r="DB665" s="48"/>
      <c r="DC665" s="48"/>
      <c r="DD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175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175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  <c r="BD666" s="48"/>
      <c r="BE666" s="48"/>
      <c r="BF666" s="48"/>
      <c r="BG666" s="48"/>
      <c r="BH666" s="48"/>
      <c r="BI666" s="48"/>
      <c r="BJ666" s="48"/>
      <c r="BK666" s="48"/>
      <c r="BL666" s="48"/>
      <c r="BM666" s="48"/>
      <c r="BN666" s="48"/>
      <c r="BO666" s="48"/>
      <c r="BP666" s="48"/>
      <c r="BQ666" s="48"/>
      <c r="BR666" s="48"/>
      <c r="BS666" s="48"/>
      <c r="BT666" s="48"/>
      <c r="BU666" s="48"/>
      <c r="BV666" s="48"/>
      <c r="BW666" s="48"/>
      <c r="BX666" s="48"/>
      <c r="BY666" s="48"/>
      <c r="BZ666" s="48"/>
      <c r="CA666" s="48"/>
      <c r="CB666" s="48"/>
      <c r="CC666" s="48"/>
      <c r="CD666" s="48"/>
      <c r="CE666" s="48"/>
      <c r="CF666" s="48"/>
      <c r="CG666" s="48"/>
      <c r="CH666" s="48"/>
      <c r="CI666" s="48"/>
      <c r="CJ666" s="48"/>
      <c r="CK666" s="48"/>
      <c r="CL666" s="48"/>
      <c r="CM666" s="48"/>
      <c r="CN666" s="48"/>
      <c r="CO666" s="48"/>
      <c r="CP666" s="48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  <c r="DA666" s="48"/>
      <c r="DB666" s="48"/>
      <c r="DC666" s="48"/>
      <c r="DD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175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175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  <c r="BD667" s="48"/>
      <c r="BE667" s="48"/>
      <c r="BF667" s="48"/>
      <c r="BG667" s="48"/>
      <c r="BH667" s="48"/>
      <c r="BI667" s="48"/>
      <c r="BJ667" s="48"/>
      <c r="BK667" s="48"/>
      <c r="BL667" s="48"/>
      <c r="BM667" s="48"/>
      <c r="BN667" s="48"/>
      <c r="BO667" s="48"/>
      <c r="BP667" s="48"/>
      <c r="BQ667" s="48"/>
      <c r="BR667" s="48"/>
      <c r="BS667" s="48"/>
      <c r="BT667" s="48"/>
      <c r="BU667" s="48"/>
      <c r="BV667" s="48"/>
      <c r="BW667" s="48"/>
      <c r="BX667" s="48"/>
      <c r="BY667" s="48"/>
      <c r="BZ667" s="48"/>
      <c r="CA667" s="48"/>
      <c r="CB667" s="48"/>
      <c r="CC667" s="48"/>
      <c r="CD667" s="48"/>
      <c r="CE667" s="48"/>
      <c r="CF667" s="48"/>
      <c r="CG667" s="48"/>
      <c r="CH667" s="48"/>
      <c r="CI667" s="48"/>
      <c r="CJ667" s="48"/>
      <c r="CK667" s="48"/>
      <c r="CL667" s="48"/>
      <c r="CM667" s="48"/>
      <c r="CN667" s="48"/>
      <c r="CO667" s="48"/>
      <c r="CP667" s="48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  <c r="DA667" s="48"/>
      <c r="DB667" s="48"/>
      <c r="DC667" s="48"/>
      <c r="DD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175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175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  <c r="BD668" s="48"/>
      <c r="BE668" s="48"/>
      <c r="BF668" s="48"/>
      <c r="BG668" s="48"/>
      <c r="BH668" s="48"/>
      <c r="BI668" s="48"/>
      <c r="BJ668" s="48"/>
      <c r="BK668" s="48"/>
      <c r="BL668" s="48"/>
      <c r="BM668" s="48"/>
      <c r="BN668" s="48"/>
      <c r="BO668" s="48"/>
      <c r="BP668" s="48"/>
      <c r="BQ668" s="48"/>
      <c r="BR668" s="48"/>
      <c r="BS668" s="48"/>
      <c r="BT668" s="48"/>
      <c r="BU668" s="48"/>
      <c r="BV668" s="48"/>
      <c r="BW668" s="48"/>
      <c r="BX668" s="48"/>
      <c r="BY668" s="48"/>
      <c r="BZ668" s="48"/>
      <c r="CA668" s="48"/>
      <c r="CB668" s="48"/>
      <c r="CC668" s="48"/>
      <c r="CD668" s="48"/>
      <c r="CE668" s="48"/>
      <c r="CF668" s="48"/>
      <c r="CG668" s="48"/>
      <c r="CH668" s="48"/>
      <c r="CI668" s="48"/>
      <c r="CJ668" s="48"/>
      <c r="CK668" s="48"/>
      <c r="CL668" s="48"/>
      <c r="CM668" s="48"/>
      <c r="CN668" s="48"/>
      <c r="CO668" s="48"/>
      <c r="CP668" s="48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  <c r="DA668" s="48"/>
      <c r="DB668" s="48"/>
      <c r="DC668" s="48"/>
      <c r="DD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175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175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  <c r="BD669" s="48"/>
      <c r="BE669" s="48"/>
      <c r="BF669" s="48"/>
      <c r="BG669" s="48"/>
      <c r="BH669" s="48"/>
      <c r="BI669" s="48"/>
      <c r="BJ669" s="48"/>
      <c r="BK669" s="48"/>
      <c r="BL669" s="48"/>
      <c r="BM669" s="48"/>
      <c r="BN669" s="48"/>
      <c r="BO669" s="48"/>
      <c r="BP669" s="48"/>
      <c r="BQ669" s="48"/>
      <c r="BR669" s="48"/>
      <c r="BS669" s="48"/>
      <c r="BT669" s="48"/>
      <c r="BU669" s="48"/>
      <c r="BV669" s="48"/>
      <c r="BW669" s="48"/>
      <c r="BX669" s="48"/>
      <c r="BY669" s="48"/>
      <c r="BZ669" s="48"/>
      <c r="CA669" s="48"/>
      <c r="CB669" s="48"/>
      <c r="CC669" s="48"/>
      <c r="CD669" s="48"/>
      <c r="CE669" s="48"/>
      <c r="CF669" s="48"/>
      <c r="CG669" s="48"/>
      <c r="CH669" s="48"/>
      <c r="CI669" s="48"/>
      <c r="CJ669" s="48"/>
      <c r="CK669" s="48"/>
      <c r="CL669" s="48"/>
      <c r="CM669" s="48"/>
      <c r="CN669" s="48"/>
      <c r="CO669" s="48"/>
      <c r="CP669" s="48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  <c r="DA669" s="48"/>
      <c r="DB669" s="48"/>
      <c r="DC669" s="48"/>
      <c r="DD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175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175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8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175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175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  <c r="BD671" s="48"/>
      <c r="BE671" s="48"/>
      <c r="BF671" s="48"/>
      <c r="BG671" s="48"/>
      <c r="BH671" s="48"/>
      <c r="BI671" s="48"/>
      <c r="BJ671" s="48"/>
      <c r="BK671" s="48"/>
      <c r="BL671" s="48"/>
      <c r="BM671" s="48"/>
      <c r="BN671" s="48"/>
      <c r="BO671" s="48"/>
      <c r="BP671" s="48"/>
      <c r="BQ671" s="48"/>
      <c r="BR671" s="48"/>
      <c r="BS671" s="48"/>
      <c r="BT671" s="48"/>
      <c r="BU671" s="48"/>
      <c r="BV671" s="48"/>
      <c r="BW671" s="48"/>
      <c r="BX671" s="48"/>
      <c r="BY671" s="48"/>
      <c r="BZ671" s="48"/>
      <c r="CA671" s="48"/>
      <c r="CB671" s="48"/>
      <c r="CC671" s="48"/>
      <c r="CD671" s="48"/>
      <c r="CE671" s="48"/>
      <c r="CF671" s="48"/>
      <c r="CG671" s="48"/>
      <c r="CH671" s="48"/>
      <c r="CI671" s="48"/>
      <c r="CJ671" s="48"/>
      <c r="CK671" s="48"/>
      <c r="CL671" s="48"/>
      <c r="CM671" s="48"/>
      <c r="CN671" s="48"/>
      <c r="CO671" s="48"/>
      <c r="CP671" s="48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  <c r="DA671" s="48"/>
      <c r="DB671" s="48"/>
      <c r="DC671" s="48"/>
      <c r="DD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175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175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  <c r="BD672" s="48"/>
      <c r="BE672" s="48"/>
      <c r="BF672" s="48"/>
      <c r="BG672" s="48"/>
      <c r="BH672" s="48"/>
      <c r="BI672" s="48"/>
      <c r="BJ672" s="48"/>
      <c r="BK672" s="48"/>
      <c r="BL672" s="48"/>
      <c r="BM672" s="48"/>
      <c r="BN672" s="48"/>
      <c r="BO672" s="48"/>
      <c r="BP672" s="48"/>
      <c r="BQ672" s="48"/>
      <c r="BR672" s="48"/>
      <c r="BS672" s="48"/>
      <c r="BT672" s="48"/>
      <c r="BU672" s="48"/>
      <c r="BV672" s="48"/>
      <c r="BW672" s="48"/>
      <c r="BX672" s="48"/>
      <c r="BY672" s="48"/>
      <c r="BZ672" s="48"/>
      <c r="CA672" s="48"/>
      <c r="CB672" s="48"/>
      <c r="CC672" s="48"/>
      <c r="CD672" s="48"/>
      <c r="CE672" s="48"/>
      <c r="CF672" s="48"/>
      <c r="CG672" s="48"/>
      <c r="CH672" s="48"/>
      <c r="CI672" s="48"/>
      <c r="CJ672" s="48"/>
      <c r="CK672" s="48"/>
      <c r="CL672" s="48"/>
      <c r="CM672" s="48"/>
      <c r="CN672" s="48"/>
      <c r="CO672" s="48"/>
      <c r="CP672" s="48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  <c r="DA672" s="48"/>
      <c r="DB672" s="48"/>
      <c r="DC672" s="48"/>
      <c r="DD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175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175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  <c r="BD673" s="48"/>
      <c r="BE673" s="48"/>
      <c r="BF673" s="48"/>
      <c r="BG673" s="48"/>
      <c r="BH673" s="48"/>
      <c r="BI673" s="48"/>
      <c r="BJ673" s="48"/>
      <c r="BK673" s="48"/>
      <c r="BL673" s="48"/>
      <c r="BM673" s="48"/>
      <c r="BN673" s="48"/>
      <c r="BO673" s="48"/>
      <c r="BP673" s="48"/>
      <c r="BQ673" s="48"/>
      <c r="BR673" s="48"/>
      <c r="BS673" s="48"/>
      <c r="BT673" s="48"/>
      <c r="BU673" s="48"/>
      <c r="BV673" s="48"/>
      <c r="BW673" s="48"/>
      <c r="BX673" s="48"/>
      <c r="BY673" s="48"/>
      <c r="BZ673" s="48"/>
      <c r="CA673" s="48"/>
      <c r="CB673" s="48"/>
      <c r="CC673" s="48"/>
      <c r="CD673" s="48"/>
      <c r="CE673" s="48"/>
      <c r="CF673" s="48"/>
      <c r="CG673" s="48"/>
      <c r="CH673" s="48"/>
      <c r="CI673" s="48"/>
      <c r="CJ673" s="48"/>
      <c r="CK673" s="48"/>
      <c r="CL673" s="48"/>
      <c r="CM673" s="48"/>
      <c r="CN673" s="48"/>
      <c r="CO673" s="48"/>
      <c r="CP673" s="48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  <c r="DA673" s="48"/>
      <c r="DB673" s="48"/>
      <c r="DC673" s="48"/>
      <c r="DD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175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175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  <c r="BD674" s="48"/>
      <c r="BE674" s="48"/>
      <c r="BF674" s="48"/>
      <c r="BG674" s="48"/>
      <c r="BH674" s="48"/>
      <c r="BI674" s="48"/>
      <c r="BJ674" s="48"/>
      <c r="BK674" s="48"/>
      <c r="BL674" s="48"/>
      <c r="BM674" s="48"/>
      <c r="BN674" s="48"/>
      <c r="BO674" s="48"/>
      <c r="BP674" s="48"/>
      <c r="BQ674" s="48"/>
      <c r="BR674" s="48"/>
      <c r="BS674" s="48"/>
      <c r="BT674" s="48"/>
      <c r="BU674" s="48"/>
      <c r="BV674" s="48"/>
      <c r="BW674" s="48"/>
      <c r="BX674" s="48"/>
      <c r="BY674" s="48"/>
      <c r="BZ674" s="48"/>
      <c r="CA674" s="48"/>
      <c r="CB674" s="48"/>
      <c r="CC674" s="48"/>
      <c r="CD674" s="48"/>
      <c r="CE674" s="48"/>
      <c r="CF674" s="48"/>
      <c r="CG674" s="48"/>
      <c r="CH674" s="48"/>
      <c r="CI674" s="48"/>
      <c r="CJ674" s="48"/>
      <c r="CK674" s="48"/>
      <c r="CL674" s="48"/>
      <c r="CM674" s="48"/>
      <c r="CN674" s="48"/>
      <c r="CO674" s="48"/>
      <c r="CP674" s="48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  <c r="DA674" s="48"/>
      <c r="DB674" s="48"/>
      <c r="DC674" s="48"/>
      <c r="DD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175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175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  <c r="BD675" s="48"/>
      <c r="BE675" s="48"/>
      <c r="BF675" s="48"/>
      <c r="BG675" s="48"/>
      <c r="BH675" s="48"/>
      <c r="BI675" s="48"/>
      <c r="BJ675" s="48"/>
      <c r="BK675" s="48"/>
      <c r="BL675" s="48"/>
      <c r="BM675" s="48"/>
      <c r="BN675" s="48"/>
      <c r="BO675" s="48"/>
      <c r="BP675" s="48"/>
      <c r="BQ675" s="48"/>
      <c r="BR675" s="48"/>
      <c r="BS675" s="48"/>
      <c r="BT675" s="48"/>
      <c r="BU675" s="48"/>
      <c r="BV675" s="48"/>
      <c r="BW675" s="48"/>
      <c r="BX675" s="48"/>
      <c r="BY675" s="48"/>
      <c r="BZ675" s="48"/>
      <c r="CA675" s="48"/>
      <c r="CB675" s="48"/>
      <c r="CC675" s="48"/>
      <c r="CD675" s="48"/>
      <c r="CE675" s="48"/>
      <c r="CF675" s="48"/>
      <c r="CG675" s="48"/>
      <c r="CH675" s="48"/>
      <c r="CI675" s="48"/>
      <c r="CJ675" s="48"/>
      <c r="CK675" s="48"/>
      <c r="CL675" s="48"/>
      <c r="CM675" s="48"/>
      <c r="CN675" s="48"/>
      <c r="CO675" s="48"/>
      <c r="CP675" s="48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  <c r="DA675" s="48"/>
      <c r="DB675" s="48"/>
      <c r="DC675" s="48"/>
      <c r="DD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175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175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  <c r="BD676" s="48"/>
      <c r="BE676" s="48"/>
      <c r="BF676" s="48"/>
      <c r="BG676" s="48"/>
      <c r="BH676" s="48"/>
      <c r="BI676" s="48"/>
      <c r="BJ676" s="48"/>
      <c r="BK676" s="48"/>
      <c r="BL676" s="48"/>
      <c r="BM676" s="48"/>
      <c r="BN676" s="48"/>
      <c r="BO676" s="48"/>
      <c r="BP676" s="48"/>
      <c r="BQ676" s="48"/>
      <c r="BR676" s="48"/>
      <c r="BS676" s="48"/>
      <c r="BT676" s="48"/>
      <c r="BU676" s="48"/>
      <c r="BV676" s="48"/>
      <c r="BW676" s="48"/>
      <c r="BX676" s="48"/>
      <c r="BY676" s="48"/>
      <c r="BZ676" s="48"/>
      <c r="CA676" s="48"/>
      <c r="CB676" s="48"/>
      <c r="CC676" s="48"/>
      <c r="CD676" s="48"/>
      <c r="CE676" s="48"/>
      <c r="CF676" s="48"/>
      <c r="CG676" s="48"/>
      <c r="CH676" s="48"/>
      <c r="CI676" s="48"/>
      <c r="CJ676" s="48"/>
      <c r="CK676" s="48"/>
      <c r="CL676" s="48"/>
      <c r="CM676" s="48"/>
      <c r="CN676" s="48"/>
      <c r="CO676" s="48"/>
      <c r="CP676" s="48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  <c r="DA676" s="48"/>
      <c r="DB676" s="48"/>
      <c r="DC676" s="48"/>
      <c r="DD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175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175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  <c r="CO677" s="48"/>
      <c r="CP677" s="48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175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175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  <c r="BD678" s="48"/>
      <c r="BE678" s="48"/>
      <c r="BF678" s="48"/>
      <c r="BG678" s="48"/>
      <c r="BH678" s="48"/>
      <c r="BI678" s="48"/>
      <c r="BJ678" s="48"/>
      <c r="BK678" s="48"/>
      <c r="BL678" s="48"/>
      <c r="BM678" s="48"/>
      <c r="BN678" s="48"/>
      <c r="BO678" s="48"/>
      <c r="BP678" s="48"/>
      <c r="BQ678" s="48"/>
      <c r="BR678" s="48"/>
      <c r="BS678" s="48"/>
      <c r="BT678" s="48"/>
      <c r="BU678" s="48"/>
      <c r="BV678" s="48"/>
      <c r="BW678" s="48"/>
      <c r="BX678" s="48"/>
      <c r="BY678" s="48"/>
      <c r="BZ678" s="48"/>
      <c r="CA678" s="48"/>
      <c r="CB678" s="48"/>
      <c r="CC678" s="48"/>
      <c r="CD678" s="48"/>
      <c r="CE678" s="48"/>
      <c r="CF678" s="48"/>
      <c r="CG678" s="48"/>
      <c r="CH678" s="48"/>
      <c r="CI678" s="48"/>
      <c r="CJ678" s="48"/>
      <c r="CK678" s="48"/>
      <c r="CL678" s="48"/>
      <c r="CM678" s="48"/>
      <c r="CN678" s="48"/>
      <c r="CO678" s="48"/>
      <c r="CP678" s="48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  <c r="DA678" s="48"/>
      <c r="DB678" s="48"/>
      <c r="DC678" s="48"/>
      <c r="DD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175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175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8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175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175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  <c r="BD680" s="48"/>
      <c r="BE680" s="48"/>
      <c r="BF680" s="48"/>
      <c r="BG680" s="48"/>
      <c r="BH680" s="48"/>
      <c r="BI680" s="48"/>
      <c r="BJ680" s="48"/>
      <c r="BK680" s="48"/>
      <c r="BL680" s="48"/>
      <c r="BM680" s="48"/>
      <c r="BN680" s="48"/>
      <c r="BO680" s="48"/>
      <c r="BP680" s="48"/>
      <c r="BQ680" s="48"/>
      <c r="BR680" s="48"/>
      <c r="BS680" s="48"/>
      <c r="BT680" s="48"/>
      <c r="BU680" s="48"/>
      <c r="BV680" s="48"/>
      <c r="BW680" s="48"/>
      <c r="BX680" s="48"/>
      <c r="BY680" s="48"/>
      <c r="BZ680" s="48"/>
      <c r="CA680" s="48"/>
      <c r="CB680" s="48"/>
      <c r="CC680" s="48"/>
      <c r="CD680" s="48"/>
      <c r="CE680" s="48"/>
      <c r="CF680" s="48"/>
      <c r="CG680" s="48"/>
      <c r="CH680" s="48"/>
      <c r="CI680" s="48"/>
      <c r="CJ680" s="48"/>
      <c r="CK680" s="48"/>
      <c r="CL680" s="48"/>
      <c r="CM680" s="48"/>
      <c r="CN680" s="48"/>
      <c r="CO680" s="48"/>
      <c r="CP680" s="48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  <c r="DA680" s="48"/>
      <c r="DB680" s="48"/>
      <c r="DC680" s="48"/>
      <c r="DD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175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175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  <c r="BD681" s="48"/>
      <c r="BE681" s="48"/>
      <c r="BF681" s="48"/>
      <c r="BG681" s="48"/>
      <c r="BH681" s="48"/>
      <c r="BI681" s="48"/>
      <c r="BJ681" s="48"/>
      <c r="BK681" s="48"/>
      <c r="BL681" s="48"/>
      <c r="BM681" s="48"/>
      <c r="BN681" s="48"/>
      <c r="BO681" s="48"/>
      <c r="BP681" s="48"/>
      <c r="BQ681" s="48"/>
      <c r="BR681" s="48"/>
      <c r="BS681" s="48"/>
      <c r="BT681" s="48"/>
      <c r="BU681" s="48"/>
      <c r="BV681" s="48"/>
      <c r="BW681" s="48"/>
      <c r="BX681" s="48"/>
      <c r="BY681" s="48"/>
      <c r="BZ681" s="48"/>
      <c r="CA681" s="48"/>
      <c r="CB681" s="48"/>
      <c r="CC681" s="48"/>
      <c r="CD681" s="48"/>
      <c r="CE681" s="48"/>
      <c r="CF681" s="48"/>
      <c r="CG681" s="48"/>
      <c r="CH681" s="48"/>
      <c r="CI681" s="48"/>
      <c r="CJ681" s="48"/>
      <c r="CK681" s="48"/>
      <c r="CL681" s="48"/>
      <c r="CM681" s="48"/>
      <c r="CN681" s="48"/>
      <c r="CO681" s="48"/>
      <c r="CP681" s="48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  <c r="DA681" s="48"/>
      <c r="DB681" s="48"/>
      <c r="DC681" s="48"/>
      <c r="DD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175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175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8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175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175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  <c r="BD683" s="48"/>
      <c r="BE683" s="48"/>
      <c r="BF683" s="48"/>
      <c r="BG683" s="48"/>
      <c r="BH683" s="48"/>
      <c r="BI683" s="48"/>
      <c r="BJ683" s="48"/>
      <c r="BK683" s="48"/>
      <c r="BL683" s="48"/>
      <c r="BM683" s="48"/>
      <c r="BN683" s="48"/>
      <c r="BO683" s="48"/>
      <c r="BP683" s="48"/>
      <c r="BQ683" s="48"/>
      <c r="BR683" s="48"/>
      <c r="BS683" s="48"/>
      <c r="BT683" s="48"/>
      <c r="BU683" s="48"/>
      <c r="BV683" s="48"/>
      <c r="BW683" s="48"/>
      <c r="BX683" s="48"/>
      <c r="BY683" s="48"/>
      <c r="BZ683" s="48"/>
      <c r="CA683" s="48"/>
      <c r="CB683" s="48"/>
      <c r="CC683" s="48"/>
      <c r="CD683" s="48"/>
      <c r="CE683" s="48"/>
      <c r="CF683" s="48"/>
      <c r="CG683" s="48"/>
      <c r="CH683" s="48"/>
      <c r="CI683" s="48"/>
      <c r="CJ683" s="48"/>
      <c r="CK683" s="48"/>
      <c r="CL683" s="48"/>
      <c r="CM683" s="48"/>
      <c r="CN683" s="48"/>
      <c r="CO683" s="48"/>
      <c r="CP683" s="48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  <c r="DA683" s="48"/>
      <c r="DB683" s="48"/>
      <c r="DC683" s="48"/>
      <c r="DD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175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175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  <c r="BD684" s="48"/>
      <c r="BE684" s="48"/>
      <c r="BF684" s="48"/>
      <c r="BG684" s="48"/>
      <c r="BH684" s="48"/>
      <c r="BI684" s="48"/>
      <c r="BJ684" s="48"/>
      <c r="BK684" s="48"/>
      <c r="BL684" s="48"/>
      <c r="BM684" s="48"/>
      <c r="BN684" s="48"/>
      <c r="BO684" s="48"/>
      <c r="BP684" s="48"/>
      <c r="BQ684" s="48"/>
      <c r="BR684" s="48"/>
      <c r="BS684" s="48"/>
      <c r="BT684" s="48"/>
      <c r="BU684" s="48"/>
      <c r="BV684" s="48"/>
      <c r="BW684" s="48"/>
      <c r="BX684" s="48"/>
      <c r="BY684" s="48"/>
      <c r="BZ684" s="48"/>
      <c r="CA684" s="48"/>
      <c r="CB684" s="48"/>
      <c r="CC684" s="48"/>
      <c r="CD684" s="48"/>
      <c r="CE684" s="48"/>
      <c r="CF684" s="48"/>
      <c r="CG684" s="48"/>
      <c r="CH684" s="48"/>
      <c r="CI684" s="48"/>
      <c r="CJ684" s="48"/>
      <c r="CK684" s="48"/>
      <c r="CL684" s="48"/>
      <c r="CM684" s="48"/>
      <c r="CN684" s="48"/>
      <c r="CO684" s="48"/>
      <c r="CP684" s="48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  <c r="DA684" s="48"/>
      <c r="DB684" s="48"/>
      <c r="DC684" s="48"/>
      <c r="DD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175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175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  <c r="BD685" s="48"/>
      <c r="BE685" s="48"/>
      <c r="BF685" s="48"/>
      <c r="BG685" s="48"/>
      <c r="BH685" s="48"/>
      <c r="BI685" s="48"/>
      <c r="BJ685" s="48"/>
      <c r="BK685" s="48"/>
      <c r="BL685" s="48"/>
      <c r="BM685" s="48"/>
      <c r="BN685" s="48"/>
      <c r="BO685" s="48"/>
      <c r="BP685" s="48"/>
      <c r="BQ685" s="48"/>
      <c r="BR685" s="48"/>
      <c r="BS685" s="48"/>
      <c r="BT685" s="48"/>
      <c r="BU685" s="48"/>
      <c r="BV685" s="48"/>
      <c r="BW685" s="48"/>
      <c r="BX685" s="48"/>
      <c r="BY685" s="48"/>
      <c r="BZ685" s="48"/>
      <c r="CA685" s="48"/>
      <c r="CB685" s="48"/>
      <c r="CC685" s="48"/>
      <c r="CD685" s="48"/>
      <c r="CE685" s="48"/>
      <c r="CF685" s="48"/>
      <c r="CG685" s="48"/>
      <c r="CH685" s="48"/>
      <c r="CI685" s="48"/>
      <c r="CJ685" s="48"/>
      <c r="CK685" s="48"/>
      <c r="CL685" s="48"/>
      <c r="CM685" s="48"/>
      <c r="CN685" s="48"/>
      <c r="CO685" s="48"/>
      <c r="CP685" s="48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  <c r="DA685" s="48"/>
      <c r="DB685" s="48"/>
      <c r="DC685" s="48"/>
      <c r="DD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175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175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  <c r="BD686" s="48"/>
      <c r="BE686" s="48"/>
      <c r="BF686" s="48"/>
      <c r="BG686" s="48"/>
      <c r="BH686" s="48"/>
      <c r="BI686" s="48"/>
      <c r="BJ686" s="48"/>
      <c r="BK686" s="48"/>
      <c r="BL686" s="48"/>
      <c r="BM686" s="48"/>
      <c r="BN686" s="48"/>
      <c r="BO686" s="48"/>
      <c r="BP686" s="48"/>
      <c r="BQ686" s="48"/>
      <c r="BR686" s="48"/>
      <c r="BS686" s="48"/>
      <c r="BT686" s="48"/>
      <c r="BU686" s="48"/>
      <c r="BV686" s="48"/>
      <c r="BW686" s="48"/>
      <c r="BX686" s="48"/>
      <c r="BY686" s="48"/>
      <c r="BZ686" s="48"/>
      <c r="CA686" s="48"/>
      <c r="CB686" s="48"/>
      <c r="CC686" s="48"/>
      <c r="CD686" s="48"/>
      <c r="CE686" s="48"/>
      <c r="CF686" s="48"/>
      <c r="CG686" s="48"/>
      <c r="CH686" s="48"/>
      <c r="CI686" s="48"/>
      <c r="CJ686" s="48"/>
      <c r="CK686" s="48"/>
      <c r="CL686" s="48"/>
      <c r="CM686" s="48"/>
      <c r="CN686" s="48"/>
      <c r="CO686" s="48"/>
      <c r="CP686" s="48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  <c r="DA686" s="48"/>
      <c r="DB686" s="48"/>
      <c r="DC686" s="48"/>
      <c r="DD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175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175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  <c r="BD687" s="48"/>
      <c r="BE687" s="48"/>
      <c r="BF687" s="48"/>
      <c r="BG687" s="48"/>
      <c r="BH687" s="48"/>
      <c r="BI687" s="48"/>
      <c r="BJ687" s="48"/>
      <c r="BK687" s="48"/>
      <c r="BL687" s="48"/>
      <c r="BM687" s="48"/>
      <c r="BN687" s="48"/>
      <c r="BO687" s="48"/>
      <c r="BP687" s="48"/>
      <c r="BQ687" s="48"/>
      <c r="BR687" s="48"/>
      <c r="BS687" s="48"/>
      <c r="BT687" s="48"/>
      <c r="BU687" s="48"/>
      <c r="BV687" s="48"/>
      <c r="BW687" s="48"/>
      <c r="BX687" s="48"/>
      <c r="BY687" s="48"/>
      <c r="BZ687" s="48"/>
      <c r="CA687" s="48"/>
      <c r="CB687" s="48"/>
      <c r="CC687" s="48"/>
      <c r="CD687" s="48"/>
      <c r="CE687" s="48"/>
      <c r="CF687" s="48"/>
      <c r="CG687" s="48"/>
      <c r="CH687" s="48"/>
      <c r="CI687" s="48"/>
      <c r="CJ687" s="48"/>
      <c r="CK687" s="48"/>
      <c r="CL687" s="48"/>
      <c r="CM687" s="48"/>
      <c r="CN687" s="48"/>
      <c r="CO687" s="48"/>
      <c r="CP687" s="48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  <c r="DA687" s="48"/>
      <c r="DB687" s="48"/>
      <c r="DC687" s="48"/>
      <c r="DD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175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175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  <c r="BD688" s="48"/>
      <c r="BE688" s="48"/>
      <c r="BF688" s="48"/>
      <c r="BG688" s="48"/>
      <c r="BH688" s="48"/>
      <c r="BI688" s="48"/>
      <c r="BJ688" s="48"/>
      <c r="BK688" s="48"/>
      <c r="BL688" s="48"/>
      <c r="BM688" s="48"/>
      <c r="BN688" s="48"/>
      <c r="BO688" s="48"/>
      <c r="BP688" s="48"/>
      <c r="BQ688" s="48"/>
      <c r="BR688" s="48"/>
      <c r="BS688" s="48"/>
      <c r="BT688" s="48"/>
      <c r="BU688" s="48"/>
      <c r="BV688" s="48"/>
      <c r="BW688" s="48"/>
      <c r="BX688" s="48"/>
      <c r="BY688" s="48"/>
      <c r="BZ688" s="48"/>
      <c r="CA688" s="48"/>
      <c r="CB688" s="48"/>
      <c r="CC688" s="48"/>
      <c r="CD688" s="48"/>
      <c r="CE688" s="48"/>
      <c r="CF688" s="48"/>
      <c r="CG688" s="48"/>
      <c r="CH688" s="48"/>
      <c r="CI688" s="48"/>
      <c r="CJ688" s="48"/>
      <c r="CK688" s="48"/>
      <c r="CL688" s="48"/>
      <c r="CM688" s="48"/>
      <c r="CN688" s="48"/>
      <c r="CO688" s="48"/>
      <c r="CP688" s="48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  <c r="DA688" s="48"/>
      <c r="DB688" s="48"/>
      <c r="DC688" s="48"/>
      <c r="DD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175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175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  <c r="BD689" s="48"/>
      <c r="BE689" s="48"/>
      <c r="BF689" s="48"/>
      <c r="BG689" s="48"/>
      <c r="BH689" s="48"/>
      <c r="BI689" s="48"/>
      <c r="BJ689" s="48"/>
      <c r="BK689" s="48"/>
      <c r="BL689" s="48"/>
      <c r="BM689" s="48"/>
      <c r="BN689" s="48"/>
      <c r="BO689" s="48"/>
      <c r="BP689" s="48"/>
      <c r="BQ689" s="48"/>
      <c r="BR689" s="48"/>
      <c r="BS689" s="48"/>
      <c r="BT689" s="48"/>
      <c r="BU689" s="48"/>
      <c r="BV689" s="48"/>
      <c r="BW689" s="48"/>
      <c r="BX689" s="48"/>
      <c r="BY689" s="48"/>
      <c r="BZ689" s="48"/>
      <c r="CA689" s="48"/>
      <c r="CB689" s="48"/>
      <c r="CC689" s="48"/>
      <c r="CD689" s="48"/>
      <c r="CE689" s="48"/>
      <c r="CF689" s="48"/>
      <c r="CG689" s="48"/>
      <c r="CH689" s="48"/>
      <c r="CI689" s="48"/>
      <c r="CJ689" s="48"/>
      <c r="CK689" s="48"/>
      <c r="CL689" s="48"/>
      <c r="CM689" s="48"/>
      <c r="CN689" s="48"/>
      <c r="CO689" s="48"/>
      <c r="CP689" s="48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  <c r="DA689" s="48"/>
      <c r="DB689" s="48"/>
      <c r="DC689" s="48"/>
      <c r="DD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175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175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  <c r="BD690" s="48"/>
      <c r="BE690" s="48"/>
      <c r="BF690" s="48"/>
      <c r="BG690" s="48"/>
      <c r="BH690" s="48"/>
      <c r="BI690" s="48"/>
      <c r="BJ690" s="48"/>
      <c r="BK690" s="48"/>
      <c r="BL690" s="48"/>
      <c r="BM690" s="48"/>
      <c r="BN690" s="48"/>
      <c r="BO690" s="48"/>
      <c r="BP690" s="48"/>
      <c r="BQ690" s="48"/>
      <c r="BR690" s="48"/>
      <c r="BS690" s="48"/>
      <c r="BT690" s="48"/>
      <c r="BU690" s="48"/>
      <c r="BV690" s="48"/>
      <c r="BW690" s="48"/>
      <c r="BX690" s="48"/>
      <c r="BY690" s="48"/>
      <c r="BZ690" s="48"/>
      <c r="CA690" s="48"/>
      <c r="CB690" s="48"/>
      <c r="CC690" s="48"/>
      <c r="CD690" s="48"/>
      <c r="CE690" s="48"/>
      <c r="CF690" s="48"/>
      <c r="CG690" s="48"/>
      <c r="CH690" s="48"/>
      <c r="CI690" s="48"/>
      <c r="CJ690" s="48"/>
      <c r="CK690" s="48"/>
      <c r="CL690" s="48"/>
      <c r="CM690" s="48"/>
      <c r="CN690" s="48"/>
      <c r="CO690" s="48"/>
      <c r="CP690" s="48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  <c r="DA690" s="48"/>
      <c r="DB690" s="48"/>
      <c r="DC690" s="48"/>
      <c r="DD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175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175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  <c r="BD691" s="48"/>
      <c r="BE691" s="48"/>
      <c r="BF691" s="48"/>
      <c r="BG691" s="48"/>
      <c r="BH691" s="48"/>
      <c r="BI691" s="48"/>
      <c r="BJ691" s="48"/>
      <c r="BK691" s="48"/>
      <c r="BL691" s="48"/>
      <c r="BM691" s="48"/>
      <c r="BN691" s="48"/>
      <c r="BO691" s="48"/>
      <c r="BP691" s="48"/>
      <c r="BQ691" s="48"/>
      <c r="BR691" s="48"/>
      <c r="BS691" s="48"/>
      <c r="BT691" s="48"/>
      <c r="BU691" s="48"/>
      <c r="BV691" s="48"/>
      <c r="BW691" s="48"/>
      <c r="BX691" s="48"/>
      <c r="BY691" s="48"/>
      <c r="BZ691" s="48"/>
      <c r="CA691" s="48"/>
      <c r="CB691" s="48"/>
      <c r="CC691" s="48"/>
      <c r="CD691" s="48"/>
      <c r="CE691" s="48"/>
      <c r="CF691" s="48"/>
      <c r="CG691" s="48"/>
      <c r="CH691" s="48"/>
      <c r="CI691" s="48"/>
      <c r="CJ691" s="48"/>
      <c r="CK691" s="48"/>
      <c r="CL691" s="48"/>
      <c r="CM691" s="48"/>
      <c r="CN691" s="48"/>
      <c r="CO691" s="48"/>
      <c r="CP691" s="48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  <c r="DA691" s="48"/>
      <c r="DB691" s="48"/>
      <c r="DC691" s="48"/>
      <c r="DD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175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175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  <c r="BD692" s="48"/>
      <c r="BE692" s="48"/>
      <c r="BF692" s="48"/>
      <c r="BG692" s="48"/>
      <c r="BH692" s="48"/>
      <c r="BI692" s="48"/>
      <c r="BJ692" s="48"/>
      <c r="BK692" s="48"/>
      <c r="BL692" s="48"/>
      <c r="BM692" s="48"/>
      <c r="BN692" s="48"/>
      <c r="BO692" s="48"/>
      <c r="BP692" s="48"/>
      <c r="BQ692" s="48"/>
      <c r="BR692" s="48"/>
      <c r="BS692" s="48"/>
      <c r="BT692" s="48"/>
      <c r="BU692" s="48"/>
      <c r="BV692" s="48"/>
      <c r="BW692" s="48"/>
      <c r="BX692" s="48"/>
      <c r="BY692" s="48"/>
      <c r="BZ692" s="48"/>
      <c r="CA692" s="48"/>
      <c r="CB692" s="48"/>
      <c r="CC692" s="48"/>
      <c r="CD692" s="48"/>
      <c r="CE692" s="48"/>
      <c r="CF692" s="48"/>
      <c r="CG692" s="48"/>
      <c r="CH692" s="48"/>
      <c r="CI692" s="48"/>
      <c r="CJ692" s="48"/>
      <c r="CK692" s="48"/>
      <c r="CL692" s="48"/>
      <c r="CM692" s="48"/>
      <c r="CN692" s="48"/>
      <c r="CO692" s="48"/>
      <c r="CP692" s="48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  <c r="DA692" s="48"/>
      <c r="DB692" s="48"/>
      <c r="DC692" s="48"/>
      <c r="DD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175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175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  <c r="BD693" s="48"/>
      <c r="BE693" s="48"/>
      <c r="BF693" s="48"/>
      <c r="BG693" s="48"/>
      <c r="BH693" s="48"/>
      <c r="BI693" s="48"/>
      <c r="BJ693" s="48"/>
      <c r="BK693" s="48"/>
      <c r="BL693" s="48"/>
      <c r="BM693" s="48"/>
      <c r="BN693" s="48"/>
      <c r="BO693" s="48"/>
      <c r="BP693" s="48"/>
      <c r="BQ693" s="48"/>
      <c r="BR693" s="48"/>
      <c r="BS693" s="48"/>
      <c r="BT693" s="48"/>
      <c r="BU693" s="48"/>
      <c r="BV693" s="48"/>
      <c r="BW693" s="48"/>
      <c r="BX693" s="48"/>
      <c r="BY693" s="48"/>
      <c r="BZ693" s="48"/>
      <c r="CA693" s="48"/>
      <c r="CB693" s="48"/>
      <c r="CC693" s="48"/>
      <c r="CD693" s="48"/>
      <c r="CE693" s="48"/>
      <c r="CF693" s="48"/>
      <c r="CG693" s="48"/>
      <c r="CH693" s="48"/>
      <c r="CI693" s="48"/>
      <c r="CJ693" s="48"/>
      <c r="CK693" s="48"/>
      <c r="CL693" s="48"/>
      <c r="CM693" s="48"/>
      <c r="CN693" s="48"/>
      <c r="CO693" s="48"/>
      <c r="CP693" s="48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  <c r="DA693" s="48"/>
      <c r="DB693" s="48"/>
      <c r="DC693" s="48"/>
      <c r="DD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175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175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  <c r="BD694" s="48"/>
      <c r="BE694" s="48"/>
      <c r="BF694" s="48"/>
      <c r="BG694" s="48"/>
      <c r="BH694" s="48"/>
      <c r="BI694" s="48"/>
      <c r="BJ694" s="48"/>
      <c r="BK694" s="48"/>
      <c r="BL694" s="48"/>
      <c r="BM694" s="48"/>
      <c r="BN694" s="48"/>
      <c r="BO694" s="48"/>
      <c r="BP694" s="48"/>
      <c r="BQ694" s="48"/>
      <c r="BR694" s="48"/>
      <c r="BS694" s="48"/>
      <c r="BT694" s="48"/>
      <c r="BU694" s="48"/>
      <c r="BV694" s="48"/>
      <c r="BW694" s="48"/>
      <c r="BX694" s="48"/>
      <c r="BY694" s="48"/>
      <c r="BZ694" s="48"/>
      <c r="CA694" s="48"/>
      <c r="CB694" s="48"/>
      <c r="CC694" s="48"/>
      <c r="CD694" s="48"/>
      <c r="CE694" s="48"/>
      <c r="CF694" s="48"/>
      <c r="CG694" s="48"/>
      <c r="CH694" s="48"/>
      <c r="CI694" s="48"/>
      <c r="CJ694" s="48"/>
      <c r="CK694" s="48"/>
      <c r="CL694" s="48"/>
      <c r="CM694" s="48"/>
      <c r="CN694" s="48"/>
      <c r="CO694" s="48"/>
      <c r="CP694" s="48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  <c r="DA694" s="48"/>
      <c r="DB694" s="48"/>
      <c r="DC694" s="48"/>
      <c r="DD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175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175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  <c r="BD695" s="48"/>
      <c r="BE695" s="48"/>
      <c r="BF695" s="48"/>
      <c r="BG695" s="48"/>
      <c r="BH695" s="48"/>
      <c r="BI695" s="48"/>
      <c r="BJ695" s="48"/>
      <c r="BK695" s="48"/>
      <c r="BL695" s="48"/>
      <c r="BM695" s="48"/>
      <c r="BN695" s="48"/>
      <c r="BO695" s="48"/>
      <c r="BP695" s="48"/>
      <c r="BQ695" s="48"/>
      <c r="BR695" s="48"/>
      <c r="BS695" s="48"/>
      <c r="BT695" s="48"/>
      <c r="BU695" s="48"/>
      <c r="BV695" s="48"/>
      <c r="BW695" s="48"/>
      <c r="BX695" s="48"/>
      <c r="BY695" s="48"/>
      <c r="BZ695" s="48"/>
      <c r="CA695" s="48"/>
      <c r="CB695" s="48"/>
      <c r="CC695" s="48"/>
      <c r="CD695" s="48"/>
      <c r="CE695" s="48"/>
      <c r="CF695" s="48"/>
      <c r="CG695" s="48"/>
      <c r="CH695" s="48"/>
      <c r="CI695" s="48"/>
      <c r="CJ695" s="48"/>
      <c r="CK695" s="48"/>
      <c r="CL695" s="48"/>
      <c r="CM695" s="48"/>
      <c r="CN695" s="48"/>
      <c r="CO695" s="48"/>
      <c r="CP695" s="48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  <c r="DA695" s="48"/>
      <c r="DB695" s="48"/>
      <c r="DC695" s="48"/>
      <c r="DD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175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175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  <c r="BD696" s="48"/>
      <c r="BE696" s="48"/>
      <c r="BF696" s="48"/>
      <c r="BG696" s="48"/>
      <c r="BH696" s="48"/>
      <c r="BI696" s="48"/>
      <c r="BJ696" s="48"/>
      <c r="BK696" s="48"/>
      <c r="BL696" s="48"/>
      <c r="BM696" s="48"/>
      <c r="BN696" s="48"/>
      <c r="BO696" s="48"/>
      <c r="BP696" s="48"/>
      <c r="BQ696" s="48"/>
      <c r="BR696" s="48"/>
      <c r="BS696" s="48"/>
      <c r="BT696" s="48"/>
      <c r="BU696" s="48"/>
      <c r="BV696" s="48"/>
      <c r="BW696" s="48"/>
      <c r="BX696" s="48"/>
      <c r="BY696" s="48"/>
      <c r="BZ696" s="48"/>
      <c r="CA696" s="48"/>
      <c r="CB696" s="48"/>
      <c r="CC696" s="48"/>
      <c r="CD696" s="48"/>
      <c r="CE696" s="48"/>
      <c r="CF696" s="48"/>
      <c r="CG696" s="48"/>
      <c r="CH696" s="48"/>
      <c r="CI696" s="48"/>
      <c r="CJ696" s="48"/>
      <c r="CK696" s="48"/>
      <c r="CL696" s="48"/>
      <c r="CM696" s="48"/>
      <c r="CN696" s="48"/>
      <c r="CO696" s="48"/>
      <c r="CP696" s="48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  <c r="DA696" s="48"/>
      <c r="DB696" s="48"/>
      <c r="DC696" s="48"/>
      <c r="DD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175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175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  <c r="BD697" s="48"/>
      <c r="BE697" s="48"/>
      <c r="BF697" s="48"/>
      <c r="BG697" s="48"/>
      <c r="BH697" s="48"/>
      <c r="BI697" s="48"/>
      <c r="BJ697" s="48"/>
      <c r="BK697" s="48"/>
      <c r="BL697" s="48"/>
      <c r="BM697" s="48"/>
      <c r="BN697" s="48"/>
      <c r="BO697" s="48"/>
      <c r="BP697" s="48"/>
      <c r="BQ697" s="48"/>
      <c r="BR697" s="48"/>
      <c r="BS697" s="48"/>
      <c r="BT697" s="48"/>
      <c r="BU697" s="48"/>
      <c r="BV697" s="48"/>
      <c r="BW697" s="48"/>
      <c r="BX697" s="48"/>
      <c r="BY697" s="48"/>
      <c r="BZ697" s="48"/>
      <c r="CA697" s="48"/>
      <c r="CB697" s="48"/>
      <c r="CC697" s="48"/>
      <c r="CD697" s="48"/>
      <c r="CE697" s="48"/>
      <c r="CF697" s="48"/>
      <c r="CG697" s="48"/>
      <c r="CH697" s="48"/>
      <c r="CI697" s="48"/>
      <c r="CJ697" s="48"/>
      <c r="CK697" s="48"/>
      <c r="CL697" s="48"/>
      <c r="CM697" s="48"/>
      <c r="CN697" s="48"/>
      <c r="CO697" s="48"/>
      <c r="CP697" s="48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  <c r="DA697" s="48"/>
      <c r="DB697" s="48"/>
      <c r="DC697" s="48"/>
      <c r="DD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175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175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  <c r="BD698" s="48"/>
      <c r="BE698" s="48"/>
      <c r="BF698" s="48"/>
      <c r="BG698" s="48"/>
      <c r="BH698" s="48"/>
      <c r="BI698" s="48"/>
      <c r="BJ698" s="48"/>
      <c r="BK698" s="48"/>
      <c r="BL698" s="48"/>
      <c r="BM698" s="48"/>
      <c r="BN698" s="48"/>
      <c r="BO698" s="48"/>
      <c r="BP698" s="48"/>
      <c r="BQ698" s="48"/>
      <c r="BR698" s="48"/>
      <c r="BS698" s="48"/>
      <c r="BT698" s="48"/>
      <c r="BU698" s="48"/>
      <c r="BV698" s="48"/>
      <c r="BW698" s="48"/>
      <c r="BX698" s="48"/>
      <c r="BY698" s="48"/>
      <c r="BZ698" s="48"/>
      <c r="CA698" s="48"/>
      <c r="CB698" s="48"/>
      <c r="CC698" s="48"/>
      <c r="CD698" s="48"/>
      <c r="CE698" s="48"/>
      <c r="CF698" s="48"/>
      <c r="CG698" s="48"/>
      <c r="CH698" s="48"/>
      <c r="CI698" s="48"/>
      <c r="CJ698" s="48"/>
      <c r="CK698" s="48"/>
      <c r="CL698" s="48"/>
      <c r="CM698" s="48"/>
      <c r="CN698" s="48"/>
      <c r="CO698" s="48"/>
      <c r="CP698" s="48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  <c r="DA698" s="48"/>
      <c r="DB698" s="48"/>
      <c r="DC698" s="48"/>
      <c r="DD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175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175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  <c r="BD699" s="48"/>
      <c r="BE699" s="48"/>
      <c r="BF699" s="48"/>
      <c r="BG699" s="48"/>
      <c r="BH699" s="48"/>
      <c r="BI699" s="48"/>
      <c r="BJ699" s="48"/>
      <c r="BK699" s="48"/>
      <c r="BL699" s="48"/>
      <c r="BM699" s="48"/>
      <c r="BN699" s="48"/>
      <c r="BO699" s="48"/>
      <c r="BP699" s="48"/>
      <c r="BQ699" s="48"/>
      <c r="BR699" s="48"/>
      <c r="BS699" s="48"/>
      <c r="BT699" s="48"/>
      <c r="BU699" s="48"/>
      <c r="BV699" s="48"/>
      <c r="BW699" s="48"/>
      <c r="BX699" s="48"/>
      <c r="BY699" s="48"/>
      <c r="BZ699" s="48"/>
      <c r="CA699" s="48"/>
      <c r="CB699" s="48"/>
      <c r="CC699" s="48"/>
      <c r="CD699" s="48"/>
      <c r="CE699" s="48"/>
      <c r="CF699" s="48"/>
      <c r="CG699" s="48"/>
      <c r="CH699" s="48"/>
      <c r="CI699" s="48"/>
      <c r="CJ699" s="48"/>
      <c r="CK699" s="48"/>
      <c r="CL699" s="48"/>
      <c r="CM699" s="48"/>
      <c r="CN699" s="48"/>
      <c r="CO699" s="48"/>
      <c r="CP699" s="48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  <c r="DA699" s="48"/>
      <c r="DB699" s="48"/>
      <c r="DC699" s="48"/>
      <c r="DD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175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175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  <c r="BD700" s="48"/>
      <c r="BE700" s="48"/>
      <c r="BF700" s="48"/>
      <c r="BG700" s="48"/>
      <c r="BH700" s="48"/>
      <c r="BI700" s="48"/>
      <c r="BJ700" s="48"/>
      <c r="BK700" s="48"/>
      <c r="BL700" s="48"/>
      <c r="BM700" s="48"/>
      <c r="BN700" s="48"/>
      <c r="BO700" s="48"/>
      <c r="BP700" s="48"/>
      <c r="BQ700" s="48"/>
      <c r="BR700" s="48"/>
      <c r="BS700" s="48"/>
      <c r="BT700" s="48"/>
      <c r="BU700" s="48"/>
      <c r="BV700" s="48"/>
      <c r="BW700" s="48"/>
      <c r="BX700" s="48"/>
      <c r="BY700" s="48"/>
      <c r="BZ700" s="48"/>
      <c r="CA700" s="48"/>
      <c r="CB700" s="48"/>
      <c r="CC700" s="48"/>
      <c r="CD700" s="48"/>
      <c r="CE700" s="48"/>
      <c r="CF700" s="48"/>
      <c r="CG700" s="48"/>
      <c r="CH700" s="48"/>
      <c r="CI700" s="48"/>
      <c r="CJ700" s="48"/>
      <c r="CK700" s="48"/>
      <c r="CL700" s="48"/>
      <c r="CM700" s="48"/>
      <c r="CN700" s="48"/>
      <c r="CO700" s="48"/>
      <c r="CP700" s="48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  <c r="DA700" s="48"/>
      <c r="DB700" s="48"/>
      <c r="DC700" s="48"/>
      <c r="DD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175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175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  <c r="BD701" s="48"/>
      <c r="BE701" s="48"/>
      <c r="BF701" s="48"/>
      <c r="BG701" s="48"/>
      <c r="BH701" s="48"/>
      <c r="BI701" s="48"/>
      <c r="BJ701" s="48"/>
      <c r="BK701" s="48"/>
      <c r="BL701" s="48"/>
      <c r="BM701" s="48"/>
      <c r="BN701" s="48"/>
      <c r="BO701" s="48"/>
      <c r="BP701" s="48"/>
      <c r="BQ701" s="48"/>
      <c r="BR701" s="48"/>
      <c r="BS701" s="48"/>
      <c r="BT701" s="48"/>
      <c r="BU701" s="48"/>
      <c r="BV701" s="48"/>
      <c r="BW701" s="48"/>
      <c r="BX701" s="48"/>
      <c r="BY701" s="48"/>
      <c r="BZ701" s="48"/>
      <c r="CA701" s="48"/>
      <c r="CB701" s="48"/>
      <c r="CC701" s="48"/>
      <c r="CD701" s="48"/>
      <c r="CE701" s="48"/>
      <c r="CF701" s="48"/>
      <c r="CG701" s="48"/>
      <c r="CH701" s="48"/>
      <c r="CI701" s="48"/>
      <c r="CJ701" s="48"/>
      <c r="CK701" s="48"/>
      <c r="CL701" s="48"/>
      <c r="CM701" s="48"/>
      <c r="CN701" s="48"/>
      <c r="CO701" s="48"/>
      <c r="CP701" s="48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  <c r="DA701" s="48"/>
      <c r="DB701" s="48"/>
      <c r="DC701" s="48"/>
      <c r="DD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175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175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  <c r="BD702" s="48"/>
      <c r="BE702" s="48"/>
      <c r="BF702" s="48"/>
      <c r="BG702" s="48"/>
      <c r="BH702" s="48"/>
      <c r="BI702" s="48"/>
      <c r="BJ702" s="48"/>
      <c r="BK702" s="48"/>
      <c r="BL702" s="48"/>
      <c r="BM702" s="48"/>
      <c r="BN702" s="48"/>
      <c r="BO702" s="48"/>
      <c r="BP702" s="48"/>
      <c r="BQ702" s="48"/>
      <c r="BR702" s="48"/>
      <c r="BS702" s="48"/>
      <c r="BT702" s="48"/>
      <c r="BU702" s="48"/>
      <c r="BV702" s="48"/>
      <c r="BW702" s="48"/>
      <c r="BX702" s="48"/>
      <c r="BY702" s="48"/>
      <c r="BZ702" s="48"/>
      <c r="CA702" s="48"/>
      <c r="CB702" s="48"/>
      <c r="CC702" s="48"/>
      <c r="CD702" s="48"/>
      <c r="CE702" s="48"/>
      <c r="CF702" s="48"/>
      <c r="CG702" s="48"/>
      <c r="CH702" s="48"/>
      <c r="CI702" s="48"/>
      <c r="CJ702" s="48"/>
      <c r="CK702" s="48"/>
      <c r="CL702" s="48"/>
      <c r="CM702" s="48"/>
      <c r="CN702" s="48"/>
      <c r="CO702" s="48"/>
      <c r="CP702" s="48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  <c r="DA702" s="48"/>
      <c r="DB702" s="48"/>
      <c r="DC702" s="48"/>
      <c r="DD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175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175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  <c r="BD703" s="48"/>
      <c r="BE703" s="48"/>
      <c r="BF703" s="48"/>
      <c r="BG703" s="48"/>
      <c r="BH703" s="48"/>
      <c r="BI703" s="48"/>
      <c r="BJ703" s="48"/>
      <c r="BK703" s="48"/>
      <c r="BL703" s="48"/>
      <c r="BM703" s="48"/>
      <c r="BN703" s="48"/>
      <c r="BO703" s="48"/>
      <c r="BP703" s="48"/>
      <c r="BQ703" s="48"/>
      <c r="BR703" s="48"/>
      <c r="BS703" s="48"/>
      <c r="BT703" s="48"/>
      <c r="BU703" s="48"/>
      <c r="BV703" s="48"/>
      <c r="BW703" s="48"/>
      <c r="BX703" s="48"/>
      <c r="BY703" s="48"/>
      <c r="BZ703" s="48"/>
      <c r="CA703" s="48"/>
      <c r="CB703" s="48"/>
      <c r="CC703" s="48"/>
      <c r="CD703" s="48"/>
      <c r="CE703" s="48"/>
      <c r="CF703" s="48"/>
      <c r="CG703" s="48"/>
      <c r="CH703" s="48"/>
      <c r="CI703" s="48"/>
      <c r="CJ703" s="48"/>
      <c r="CK703" s="48"/>
      <c r="CL703" s="48"/>
      <c r="CM703" s="48"/>
      <c r="CN703" s="48"/>
      <c r="CO703" s="48"/>
      <c r="CP703" s="48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  <c r="DA703" s="48"/>
      <c r="DB703" s="48"/>
      <c r="DC703" s="48"/>
      <c r="DD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175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175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  <c r="BD704" s="48"/>
      <c r="BE704" s="48"/>
      <c r="BF704" s="48"/>
      <c r="BG704" s="48"/>
      <c r="BH704" s="48"/>
      <c r="BI704" s="48"/>
      <c r="BJ704" s="48"/>
      <c r="BK704" s="48"/>
      <c r="BL704" s="48"/>
      <c r="BM704" s="48"/>
      <c r="BN704" s="48"/>
      <c r="BO704" s="48"/>
      <c r="BP704" s="48"/>
      <c r="BQ704" s="48"/>
      <c r="BR704" s="48"/>
      <c r="BS704" s="48"/>
      <c r="BT704" s="48"/>
      <c r="BU704" s="48"/>
      <c r="BV704" s="48"/>
      <c r="BW704" s="48"/>
      <c r="BX704" s="48"/>
      <c r="BY704" s="48"/>
      <c r="BZ704" s="48"/>
      <c r="CA704" s="48"/>
      <c r="CB704" s="48"/>
      <c r="CC704" s="48"/>
      <c r="CD704" s="48"/>
      <c r="CE704" s="48"/>
      <c r="CF704" s="48"/>
      <c r="CG704" s="48"/>
      <c r="CH704" s="48"/>
      <c r="CI704" s="48"/>
      <c r="CJ704" s="48"/>
      <c r="CK704" s="48"/>
      <c r="CL704" s="48"/>
      <c r="CM704" s="48"/>
      <c r="CN704" s="48"/>
      <c r="CO704" s="48"/>
      <c r="CP704" s="48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  <c r="DA704" s="48"/>
      <c r="DB704" s="48"/>
      <c r="DC704" s="48"/>
      <c r="DD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175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175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  <c r="CO705" s="48"/>
      <c r="CP705" s="48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175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175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  <c r="BD706" s="48"/>
      <c r="BE706" s="48"/>
      <c r="BF706" s="48"/>
      <c r="BG706" s="48"/>
      <c r="BH706" s="48"/>
      <c r="BI706" s="48"/>
      <c r="BJ706" s="48"/>
      <c r="BK706" s="48"/>
      <c r="BL706" s="48"/>
      <c r="BM706" s="48"/>
      <c r="BN706" s="48"/>
      <c r="BO706" s="48"/>
      <c r="BP706" s="48"/>
      <c r="BQ706" s="48"/>
      <c r="BR706" s="48"/>
      <c r="BS706" s="48"/>
      <c r="BT706" s="48"/>
      <c r="BU706" s="48"/>
      <c r="BV706" s="48"/>
      <c r="BW706" s="48"/>
      <c r="BX706" s="48"/>
      <c r="BY706" s="48"/>
      <c r="BZ706" s="48"/>
      <c r="CA706" s="48"/>
      <c r="CB706" s="48"/>
      <c r="CC706" s="48"/>
      <c r="CD706" s="48"/>
      <c r="CE706" s="48"/>
      <c r="CF706" s="48"/>
      <c r="CG706" s="48"/>
      <c r="CH706" s="48"/>
      <c r="CI706" s="48"/>
      <c r="CJ706" s="48"/>
      <c r="CK706" s="48"/>
      <c r="CL706" s="48"/>
      <c r="CM706" s="48"/>
      <c r="CN706" s="48"/>
      <c r="CO706" s="48"/>
      <c r="CP706" s="48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  <c r="DA706" s="48"/>
      <c r="DB706" s="48"/>
      <c r="DC706" s="48"/>
      <c r="DD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175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175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  <c r="BD707" s="48"/>
      <c r="BE707" s="48"/>
      <c r="BF707" s="48"/>
      <c r="BG707" s="48"/>
      <c r="BH707" s="48"/>
      <c r="BI707" s="48"/>
      <c r="BJ707" s="48"/>
      <c r="BK707" s="48"/>
      <c r="BL707" s="48"/>
      <c r="BM707" s="48"/>
      <c r="BN707" s="48"/>
      <c r="BO707" s="48"/>
      <c r="BP707" s="48"/>
      <c r="BQ707" s="48"/>
      <c r="BR707" s="48"/>
      <c r="BS707" s="48"/>
      <c r="BT707" s="48"/>
      <c r="BU707" s="48"/>
      <c r="BV707" s="48"/>
      <c r="BW707" s="48"/>
      <c r="BX707" s="48"/>
      <c r="BY707" s="48"/>
      <c r="BZ707" s="48"/>
      <c r="CA707" s="48"/>
      <c r="CB707" s="48"/>
      <c r="CC707" s="48"/>
      <c r="CD707" s="48"/>
      <c r="CE707" s="48"/>
      <c r="CF707" s="48"/>
      <c r="CG707" s="48"/>
      <c r="CH707" s="48"/>
      <c r="CI707" s="48"/>
      <c r="CJ707" s="48"/>
      <c r="CK707" s="48"/>
      <c r="CL707" s="48"/>
      <c r="CM707" s="48"/>
      <c r="CN707" s="48"/>
      <c r="CO707" s="48"/>
      <c r="CP707" s="48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  <c r="DA707" s="48"/>
      <c r="DB707" s="48"/>
      <c r="DC707" s="48"/>
      <c r="DD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175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175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  <c r="CO708" s="48"/>
      <c r="CP708" s="48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175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175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  <c r="BD709" s="48"/>
      <c r="BE709" s="48"/>
      <c r="BF709" s="48"/>
      <c r="BG709" s="48"/>
      <c r="BH709" s="48"/>
      <c r="BI709" s="48"/>
      <c r="BJ709" s="48"/>
      <c r="BK709" s="48"/>
      <c r="BL709" s="48"/>
      <c r="BM709" s="48"/>
      <c r="BN709" s="48"/>
      <c r="BO709" s="48"/>
      <c r="BP709" s="48"/>
      <c r="BQ709" s="48"/>
      <c r="BR709" s="48"/>
      <c r="BS709" s="48"/>
      <c r="BT709" s="48"/>
      <c r="BU709" s="48"/>
      <c r="BV709" s="48"/>
      <c r="BW709" s="48"/>
      <c r="BX709" s="48"/>
      <c r="BY709" s="48"/>
      <c r="BZ709" s="48"/>
      <c r="CA709" s="48"/>
      <c r="CB709" s="48"/>
      <c r="CC709" s="48"/>
      <c r="CD709" s="48"/>
      <c r="CE709" s="48"/>
      <c r="CF709" s="48"/>
      <c r="CG709" s="48"/>
      <c r="CH709" s="48"/>
      <c r="CI709" s="48"/>
      <c r="CJ709" s="48"/>
      <c r="CK709" s="48"/>
      <c r="CL709" s="48"/>
      <c r="CM709" s="48"/>
      <c r="CN709" s="48"/>
      <c r="CO709" s="48"/>
      <c r="CP709" s="48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  <c r="DA709" s="48"/>
      <c r="DB709" s="48"/>
      <c r="DC709" s="48"/>
      <c r="DD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175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175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  <c r="BD710" s="48"/>
      <c r="BE710" s="48"/>
      <c r="BF710" s="48"/>
      <c r="BG710" s="48"/>
      <c r="BH710" s="48"/>
      <c r="BI710" s="48"/>
      <c r="BJ710" s="48"/>
      <c r="BK710" s="48"/>
      <c r="BL710" s="48"/>
      <c r="BM710" s="48"/>
      <c r="BN710" s="48"/>
      <c r="BO710" s="48"/>
      <c r="BP710" s="48"/>
      <c r="BQ710" s="48"/>
      <c r="BR710" s="48"/>
      <c r="BS710" s="48"/>
      <c r="BT710" s="48"/>
      <c r="BU710" s="48"/>
      <c r="BV710" s="48"/>
      <c r="BW710" s="48"/>
      <c r="BX710" s="48"/>
      <c r="BY710" s="48"/>
      <c r="BZ710" s="48"/>
      <c r="CA710" s="48"/>
      <c r="CB710" s="48"/>
      <c r="CC710" s="48"/>
      <c r="CD710" s="48"/>
      <c r="CE710" s="48"/>
      <c r="CF710" s="48"/>
      <c r="CG710" s="48"/>
      <c r="CH710" s="48"/>
      <c r="CI710" s="48"/>
      <c r="CJ710" s="48"/>
      <c r="CK710" s="48"/>
      <c r="CL710" s="48"/>
      <c r="CM710" s="48"/>
      <c r="CN710" s="48"/>
      <c r="CO710" s="48"/>
      <c r="CP710" s="48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  <c r="DA710" s="48"/>
      <c r="DB710" s="48"/>
      <c r="DC710" s="48"/>
      <c r="DD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175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175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  <c r="BD711" s="48"/>
      <c r="BE711" s="48"/>
      <c r="BF711" s="48"/>
      <c r="BG711" s="48"/>
      <c r="BH711" s="48"/>
      <c r="BI711" s="48"/>
      <c r="BJ711" s="48"/>
      <c r="BK711" s="48"/>
      <c r="BL711" s="48"/>
      <c r="BM711" s="48"/>
      <c r="BN711" s="48"/>
      <c r="BO711" s="48"/>
      <c r="BP711" s="48"/>
      <c r="BQ711" s="48"/>
      <c r="BR711" s="48"/>
      <c r="BS711" s="48"/>
      <c r="BT711" s="48"/>
      <c r="BU711" s="48"/>
      <c r="BV711" s="48"/>
      <c r="BW711" s="48"/>
      <c r="BX711" s="48"/>
      <c r="BY711" s="48"/>
      <c r="BZ711" s="48"/>
      <c r="CA711" s="48"/>
      <c r="CB711" s="48"/>
      <c r="CC711" s="48"/>
      <c r="CD711" s="48"/>
      <c r="CE711" s="48"/>
      <c r="CF711" s="48"/>
      <c r="CG711" s="48"/>
      <c r="CH711" s="48"/>
      <c r="CI711" s="48"/>
      <c r="CJ711" s="48"/>
      <c r="CK711" s="48"/>
      <c r="CL711" s="48"/>
      <c r="CM711" s="48"/>
      <c r="CN711" s="48"/>
      <c r="CO711" s="48"/>
      <c r="CP711" s="48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  <c r="DA711" s="48"/>
      <c r="DB711" s="48"/>
      <c r="DC711" s="48"/>
      <c r="DD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175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175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8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175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175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  <c r="BD713" s="48"/>
      <c r="BE713" s="48"/>
      <c r="BF713" s="48"/>
      <c r="BG713" s="48"/>
      <c r="BH713" s="48"/>
      <c r="BI713" s="48"/>
      <c r="BJ713" s="48"/>
      <c r="BK713" s="48"/>
      <c r="BL713" s="48"/>
      <c r="BM713" s="48"/>
      <c r="BN713" s="48"/>
      <c r="BO713" s="48"/>
      <c r="BP713" s="48"/>
      <c r="BQ713" s="48"/>
      <c r="BR713" s="48"/>
      <c r="BS713" s="48"/>
      <c r="BT713" s="48"/>
      <c r="BU713" s="48"/>
      <c r="BV713" s="48"/>
      <c r="BW713" s="48"/>
      <c r="BX713" s="48"/>
      <c r="BY713" s="48"/>
      <c r="BZ713" s="48"/>
      <c r="CA713" s="48"/>
      <c r="CB713" s="48"/>
      <c r="CC713" s="48"/>
      <c r="CD713" s="48"/>
      <c r="CE713" s="48"/>
      <c r="CF713" s="48"/>
      <c r="CG713" s="48"/>
      <c r="CH713" s="48"/>
      <c r="CI713" s="48"/>
      <c r="CJ713" s="48"/>
      <c r="CK713" s="48"/>
      <c r="CL713" s="48"/>
      <c r="CM713" s="48"/>
      <c r="CN713" s="48"/>
      <c r="CO713" s="48"/>
      <c r="CP713" s="48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  <c r="DA713" s="48"/>
      <c r="DB713" s="48"/>
      <c r="DC713" s="48"/>
      <c r="DD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175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175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  <c r="BD714" s="48"/>
      <c r="BE714" s="48"/>
      <c r="BF714" s="48"/>
      <c r="BG714" s="48"/>
      <c r="BH714" s="48"/>
      <c r="BI714" s="48"/>
      <c r="BJ714" s="48"/>
      <c r="BK714" s="48"/>
      <c r="BL714" s="48"/>
      <c r="BM714" s="48"/>
      <c r="BN714" s="48"/>
      <c r="BO714" s="48"/>
      <c r="BP714" s="48"/>
      <c r="BQ714" s="48"/>
      <c r="BR714" s="48"/>
      <c r="BS714" s="48"/>
      <c r="BT714" s="48"/>
      <c r="BU714" s="48"/>
      <c r="BV714" s="48"/>
      <c r="BW714" s="48"/>
      <c r="BX714" s="48"/>
      <c r="BY714" s="48"/>
      <c r="BZ714" s="48"/>
      <c r="CA714" s="48"/>
      <c r="CB714" s="48"/>
      <c r="CC714" s="48"/>
      <c r="CD714" s="48"/>
      <c r="CE714" s="48"/>
      <c r="CF714" s="48"/>
      <c r="CG714" s="48"/>
      <c r="CH714" s="48"/>
      <c r="CI714" s="48"/>
      <c r="CJ714" s="48"/>
      <c r="CK714" s="48"/>
      <c r="CL714" s="48"/>
      <c r="CM714" s="48"/>
      <c r="CN714" s="48"/>
      <c r="CO714" s="48"/>
      <c r="CP714" s="48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  <c r="DA714" s="48"/>
      <c r="DB714" s="48"/>
      <c r="DC714" s="48"/>
      <c r="DD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175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175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8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175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175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  <c r="BD716" s="48"/>
      <c r="BE716" s="48"/>
      <c r="BF716" s="48"/>
      <c r="BG716" s="48"/>
      <c r="BH716" s="48"/>
      <c r="BI716" s="48"/>
      <c r="BJ716" s="48"/>
      <c r="BK716" s="48"/>
      <c r="BL716" s="48"/>
      <c r="BM716" s="48"/>
      <c r="BN716" s="48"/>
      <c r="BO716" s="48"/>
      <c r="BP716" s="48"/>
      <c r="BQ716" s="48"/>
      <c r="BR716" s="48"/>
      <c r="BS716" s="48"/>
      <c r="BT716" s="48"/>
      <c r="BU716" s="48"/>
      <c r="BV716" s="48"/>
      <c r="BW716" s="48"/>
      <c r="BX716" s="48"/>
      <c r="BY716" s="48"/>
      <c r="BZ716" s="48"/>
      <c r="CA716" s="48"/>
      <c r="CB716" s="48"/>
      <c r="CC716" s="48"/>
      <c r="CD716" s="48"/>
      <c r="CE716" s="48"/>
      <c r="CF716" s="48"/>
      <c r="CG716" s="48"/>
      <c r="CH716" s="48"/>
      <c r="CI716" s="48"/>
      <c r="CJ716" s="48"/>
      <c r="CK716" s="48"/>
      <c r="CL716" s="48"/>
      <c r="CM716" s="48"/>
      <c r="CN716" s="48"/>
      <c r="CO716" s="48"/>
      <c r="CP716" s="48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  <c r="DA716" s="48"/>
      <c r="DB716" s="48"/>
      <c r="DC716" s="48"/>
      <c r="DD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175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175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  <c r="BD717" s="48"/>
      <c r="BE717" s="48"/>
      <c r="BF717" s="48"/>
      <c r="BG717" s="48"/>
      <c r="BH717" s="48"/>
      <c r="BI717" s="48"/>
      <c r="BJ717" s="48"/>
      <c r="BK717" s="48"/>
      <c r="BL717" s="48"/>
      <c r="BM717" s="48"/>
      <c r="BN717" s="48"/>
      <c r="BO717" s="48"/>
      <c r="BP717" s="48"/>
      <c r="BQ717" s="48"/>
      <c r="BR717" s="48"/>
      <c r="BS717" s="48"/>
      <c r="BT717" s="48"/>
      <c r="BU717" s="48"/>
      <c r="BV717" s="48"/>
      <c r="BW717" s="48"/>
      <c r="BX717" s="48"/>
      <c r="BY717" s="48"/>
      <c r="BZ717" s="48"/>
      <c r="CA717" s="48"/>
      <c r="CB717" s="48"/>
      <c r="CC717" s="48"/>
      <c r="CD717" s="48"/>
      <c r="CE717" s="48"/>
      <c r="CF717" s="48"/>
      <c r="CG717" s="48"/>
      <c r="CH717" s="48"/>
      <c r="CI717" s="48"/>
      <c r="CJ717" s="48"/>
      <c r="CK717" s="48"/>
      <c r="CL717" s="48"/>
      <c r="CM717" s="48"/>
      <c r="CN717" s="48"/>
      <c r="CO717" s="48"/>
      <c r="CP717" s="48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  <c r="DA717" s="48"/>
      <c r="DB717" s="48"/>
      <c r="DC717" s="48"/>
      <c r="DD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175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175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  <c r="BD718" s="48"/>
      <c r="BE718" s="48"/>
      <c r="BF718" s="48"/>
      <c r="BG718" s="48"/>
      <c r="BH718" s="48"/>
      <c r="BI718" s="48"/>
      <c r="BJ718" s="48"/>
      <c r="BK718" s="48"/>
      <c r="BL718" s="48"/>
      <c r="BM718" s="48"/>
      <c r="BN718" s="48"/>
      <c r="BO718" s="48"/>
      <c r="BP718" s="48"/>
      <c r="BQ718" s="48"/>
      <c r="BR718" s="48"/>
      <c r="BS718" s="48"/>
      <c r="BT718" s="48"/>
      <c r="BU718" s="48"/>
      <c r="BV718" s="48"/>
      <c r="BW718" s="48"/>
      <c r="BX718" s="48"/>
      <c r="BY718" s="48"/>
      <c r="BZ718" s="48"/>
      <c r="CA718" s="48"/>
      <c r="CB718" s="48"/>
      <c r="CC718" s="48"/>
      <c r="CD718" s="48"/>
      <c r="CE718" s="48"/>
      <c r="CF718" s="48"/>
      <c r="CG718" s="48"/>
      <c r="CH718" s="48"/>
      <c r="CI718" s="48"/>
      <c r="CJ718" s="48"/>
      <c r="CK718" s="48"/>
      <c r="CL718" s="48"/>
      <c r="CM718" s="48"/>
      <c r="CN718" s="48"/>
      <c r="CO718" s="48"/>
      <c r="CP718" s="48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  <c r="DA718" s="48"/>
      <c r="DB718" s="48"/>
      <c r="DC718" s="48"/>
      <c r="DD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175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175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  <c r="BD719" s="48"/>
      <c r="BE719" s="48"/>
      <c r="BF719" s="48"/>
      <c r="BG719" s="48"/>
      <c r="BH719" s="48"/>
      <c r="BI719" s="48"/>
      <c r="BJ719" s="48"/>
      <c r="BK719" s="48"/>
      <c r="BL719" s="48"/>
      <c r="BM719" s="48"/>
      <c r="BN719" s="48"/>
      <c r="BO719" s="48"/>
      <c r="BP719" s="48"/>
      <c r="BQ719" s="48"/>
      <c r="BR719" s="48"/>
      <c r="BS719" s="48"/>
      <c r="BT719" s="48"/>
      <c r="BU719" s="48"/>
      <c r="BV719" s="48"/>
      <c r="BW719" s="48"/>
      <c r="BX719" s="48"/>
      <c r="BY719" s="48"/>
      <c r="BZ719" s="48"/>
      <c r="CA719" s="48"/>
      <c r="CB719" s="48"/>
      <c r="CC719" s="48"/>
      <c r="CD719" s="48"/>
      <c r="CE719" s="48"/>
      <c r="CF719" s="48"/>
      <c r="CG719" s="48"/>
      <c r="CH719" s="48"/>
      <c r="CI719" s="48"/>
      <c r="CJ719" s="48"/>
      <c r="CK719" s="48"/>
      <c r="CL719" s="48"/>
      <c r="CM719" s="48"/>
      <c r="CN719" s="48"/>
      <c r="CO719" s="48"/>
      <c r="CP719" s="48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  <c r="DA719" s="48"/>
      <c r="DB719" s="48"/>
      <c r="DC719" s="48"/>
      <c r="DD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175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175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  <c r="BD720" s="48"/>
      <c r="BE720" s="48"/>
      <c r="BF720" s="48"/>
      <c r="BG720" s="48"/>
      <c r="BH720" s="48"/>
      <c r="BI720" s="48"/>
      <c r="BJ720" s="48"/>
      <c r="BK720" s="48"/>
      <c r="BL720" s="48"/>
      <c r="BM720" s="48"/>
      <c r="BN720" s="48"/>
      <c r="BO720" s="48"/>
      <c r="BP720" s="48"/>
      <c r="BQ720" s="48"/>
      <c r="BR720" s="48"/>
      <c r="BS720" s="48"/>
      <c r="BT720" s="48"/>
      <c r="BU720" s="48"/>
      <c r="BV720" s="48"/>
      <c r="BW720" s="48"/>
      <c r="BX720" s="48"/>
      <c r="BY720" s="48"/>
      <c r="BZ720" s="48"/>
      <c r="CA720" s="48"/>
      <c r="CB720" s="48"/>
      <c r="CC720" s="48"/>
      <c r="CD720" s="48"/>
      <c r="CE720" s="48"/>
      <c r="CF720" s="48"/>
      <c r="CG720" s="48"/>
      <c r="CH720" s="48"/>
      <c r="CI720" s="48"/>
      <c r="CJ720" s="48"/>
      <c r="CK720" s="48"/>
      <c r="CL720" s="48"/>
      <c r="CM720" s="48"/>
      <c r="CN720" s="48"/>
      <c r="CO720" s="48"/>
      <c r="CP720" s="48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  <c r="DA720" s="48"/>
      <c r="DB720" s="48"/>
      <c r="DC720" s="48"/>
      <c r="DD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175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175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  <c r="BD721" s="48"/>
      <c r="BE721" s="48"/>
      <c r="BF721" s="48"/>
      <c r="BG721" s="48"/>
      <c r="BH721" s="48"/>
      <c r="BI721" s="48"/>
      <c r="BJ721" s="48"/>
      <c r="BK721" s="48"/>
      <c r="BL721" s="48"/>
      <c r="BM721" s="48"/>
      <c r="BN721" s="48"/>
      <c r="BO721" s="48"/>
      <c r="BP721" s="48"/>
      <c r="BQ721" s="48"/>
      <c r="BR721" s="48"/>
      <c r="BS721" s="48"/>
      <c r="BT721" s="48"/>
      <c r="BU721" s="48"/>
      <c r="BV721" s="48"/>
      <c r="BW721" s="48"/>
      <c r="BX721" s="48"/>
      <c r="BY721" s="48"/>
      <c r="BZ721" s="48"/>
      <c r="CA721" s="48"/>
      <c r="CB721" s="48"/>
      <c r="CC721" s="48"/>
      <c r="CD721" s="48"/>
      <c r="CE721" s="48"/>
      <c r="CF721" s="48"/>
      <c r="CG721" s="48"/>
      <c r="CH721" s="48"/>
      <c r="CI721" s="48"/>
      <c r="CJ721" s="48"/>
      <c r="CK721" s="48"/>
      <c r="CL721" s="48"/>
      <c r="CM721" s="48"/>
      <c r="CN721" s="48"/>
      <c r="CO721" s="48"/>
      <c r="CP721" s="48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  <c r="DA721" s="48"/>
      <c r="DB721" s="48"/>
      <c r="DC721" s="48"/>
      <c r="DD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175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175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  <c r="BD722" s="48"/>
      <c r="BE722" s="48"/>
      <c r="BF722" s="48"/>
      <c r="BG722" s="48"/>
      <c r="BH722" s="48"/>
      <c r="BI722" s="48"/>
      <c r="BJ722" s="48"/>
      <c r="BK722" s="48"/>
      <c r="BL722" s="48"/>
      <c r="BM722" s="48"/>
      <c r="BN722" s="48"/>
      <c r="BO722" s="48"/>
      <c r="BP722" s="48"/>
      <c r="BQ722" s="48"/>
      <c r="BR722" s="48"/>
      <c r="BS722" s="48"/>
      <c r="BT722" s="48"/>
      <c r="BU722" s="48"/>
      <c r="BV722" s="48"/>
      <c r="BW722" s="48"/>
      <c r="BX722" s="48"/>
      <c r="BY722" s="48"/>
      <c r="BZ722" s="48"/>
      <c r="CA722" s="48"/>
      <c r="CB722" s="48"/>
      <c r="CC722" s="48"/>
      <c r="CD722" s="48"/>
      <c r="CE722" s="48"/>
      <c r="CF722" s="48"/>
      <c r="CG722" s="48"/>
      <c r="CH722" s="48"/>
      <c r="CI722" s="48"/>
      <c r="CJ722" s="48"/>
      <c r="CK722" s="48"/>
      <c r="CL722" s="48"/>
      <c r="CM722" s="48"/>
      <c r="CN722" s="48"/>
      <c r="CO722" s="48"/>
      <c r="CP722" s="48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  <c r="DA722" s="48"/>
      <c r="DB722" s="48"/>
      <c r="DC722" s="48"/>
      <c r="DD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175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175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  <c r="BD723" s="48"/>
      <c r="BE723" s="48"/>
      <c r="BF723" s="48"/>
      <c r="BG723" s="48"/>
      <c r="BH723" s="48"/>
      <c r="BI723" s="48"/>
      <c r="BJ723" s="48"/>
      <c r="BK723" s="48"/>
      <c r="BL723" s="48"/>
      <c r="BM723" s="48"/>
      <c r="BN723" s="48"/>
      <c r="BO723" s="48"/>
      <c r="BP723" s="48"/>
      <c r="BQ723" s="48"/>
      <c r="BR723" s="48"/>
      <c r="BS723" s="48"/>
      <c r="BT723" s="48"/>
      <c r="BU723" s="48"/>
      <c r="BV723" s="48"/>
      <c r="BW723" s="48"/>
      <c r="BX723" s="48"/>
      <c r="BY723" s="48"/>
      <c r="BZ723" s="48"/>
      <c r="CA723" s="48"/>
      <c r="CB723" s="48"/>
      <c r="CC723" s="48"/>
      <c r="CD723" s="48"/>
      <c r="CE723" s="48"/>
      <c r="CF723" s="48"/>
      <c r="CG723" s="48"/>
      <c r="CH723" s="48"/>
      <c r="CI723" s="48"/>
      <c r="CJ723" s="48"/>
      <c r="CK723" s="48"/>
      <c r="CL723" s="48"/>
      <c r="CM723" s="48"/>
      <c r="CN723" s="48"/>
      <c r="CO723" s="48"/>
      <c r="CP723" s="48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  <c r="DA723" s="48"/>
      <c r="DB723" s="48"/>
      <c r="DC723" s="48"/>
      <c r="DD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175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175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  <c r="BD724" s="48"/>
      <c r="BE724" s="48"/>
      <c r="BF724" s="48"/>
      <c r="BG724" s="48"/>
      <c r="BH724" s="48"/>
      <c r="BI724" s="48"/>
      <c r="BJ724" s="48"/>
      <c r="BK724" s="48"/>
      <c r="BL724" s="48"/>
      <c r="BM724" s="48"/>
      <c r="BN724" s="48"/>
      <c r="BO724" s="48"/>
      <c r="BP724" s="48"/>
      <c r="BQ724" s="48"/>
      <c r="BR724" s="48"/>
      <c r="BS724" s="48"/>
      <c r="BT724" s="48"/>
      <c r="BU724" s="48"/>
      <c r="BV724" s="48"/>
      <c r="BW724" s="48"/>
      <c r="BX724" s="48"/>
      <c r="BY724" s="48"/>
      <c r="BZ724" s="48"/>
      <c r="CA724" s="48"/>
      <c r="CB724" s="48"/>
      <c r="CC724" s="48"/>
      <c r="CD724" s="48"/>
      <c r="CE724" s="48"/>
      <c r="CF724" s="48"/>
      <c r="CG724" s="48"/>
      <c r="CH724" s="48"/>
      <c r="CI724" s="48"/>
      <c r="CJ724" s="48"/>
      <c r="CK724" s="48"/>
      <c r="CL724" s="48"/>
      <c r="CM724" s="48"/>
      <c r="CN724" s="48"/>
      <c r="CO724" s="48"/>
      <c r="CP724" s="48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  <c r="DA724" s="48"/>
      <c r="DB724" s="48"/>
      <c r="DC724" s="48"/>
      <c r="DD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175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175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  <c r="BD725" s="48"/>
      <c r="BE725" s="48"/>
      <c r="BF725" s="48"/>
      <c r="BG725" s="48"/>
      <c r="BH725" s="48"/>
      <c r="BI725" s="48"/>
      <c r="BJ725" s="48"/>
      <c r="BK725" s="48"/>
      <c r="BL725" s="48"/>
      <c r="BM725" s="48"/>
      <c r="BN725" s="48"/>
      <c r="BO725" s="48"/>
      <c r="BP725" s="48"/>
      <c r="BQ725" s="48"/>
      <c r="BR725" s="48"/>
      <c r="BS725" s="48"/>
      <c r="BT725" s="48"/>
      <c r="BU725" s="48"/>
      <c r="BV725" s="48"/>
      <c r="BW725" s="48"/>
      <c r="BX725" s="48"/>
      <c r="BY725" s="48"/>
      <c r="BZ725" s="48"/>
      <c r="CA725" s="48"/>
      <c r="CB725" s="48"/>
      <c r="CC725" s="48"/>
      <c r="CD725" s="48"/>
      <c r="CE725" s="48"/>
      <c r="CF725" s="48"/>
      <c r="CG725" s="48"/>
      <c r="CH725" s="48"/>
      <c r="CI725" s="48"/>
      <c r="CJ725" s="48"/>
      <c r="CK725" s="48"/>
      <c r="CL725" s="48"/>
      <c r="CM725" s="48"/>
      <c r="CN725" s="48"/>
      <c r="CO725" s="48"/>
      <c r="CP725" s="48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  <c r="DA725" s="48"/>
      <c r="DB725" s="48"/>
      <c r="DC725" s="48"/>
      <c r="DD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175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175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  <c r="BD726" s="48"/>
      <c r="BE726" s="48"/>
      <c r="BF726" s="48"/>
      <c r="BG726" s="48"/>
      <c r="BH726" s="48"/>
      <c r="BI726" s="48"/>
      <c r="BJ726" s="48"/>
      <c r="BK726" s="48"/>
      <c r="BL726" s="48"/>
      <c r="BM726" s="48"/>
      <c r="BN726" s="48"/>
      <c r="BO726" s="48"/>
      <c r="BP726" s="48"/>
      <c r="BQ726" s="48"/>
      <c r="BR726" s="48"/>
      <c r="BS726" s="48"/>
      <c r="BT726" s="48"/>
      <c r="BU726" s="48"/>
      <c r="BV726" s="48"/>
      <c r="BW726" s="48"/>
      <c r="BX726" s="48"/>
      <c r="BY726" s="48"/>
      <c r="BZ726" s="48"/>
      <c r="CA726" s="48"/>
      <c r="CB726" s="48"/>
      <c r="CC726" s="48"/>
      <c r="CD726" s="48"/>
      <c r="CE726" s="48"/>
      <c r="CF726" s="48"/>
      <c r="CG726" s="48"/>
      <c r="CH726" s="48"/>
      <c r="CI726" s="48"/>
      <c r="CJ726" s="48"/>
      <c r="CK726" s="48"/>
      <c r="CL726" s="48"/>
      <c r="CM726" s="48"/>
      <c r="CN726" s="48"/>
      <c r="CO726" s="48"/>
      <c r="CP726" s="48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  <c r="DA726" s="48"/>
      <c r="DB726" s="48"/>
      <c r="DC726" s="48"/>
      <c r="DD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175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175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  <c r="BD727" s="48"/>
      <c r="BE727" s="48"/>
      <c r="BF727" s="48"/>
      <c r="BG727" s="48"/>
      <c r="BH727" s="48"/>
      <c r="BI727" s="48"/>
      <c r="BJ727" s="48"/>
      <c r="BK727" s="48"/>
      <c r="BL727" s="48"/>
      <c r="BM727" s="48"/>
      <c r="BN727" s="48"/>
      <c r="BO727" s="48"/>
      <c r="BP727" s="48"/>
      <c r="BQ727" s="48"/>
      <c r="BR727" s="48"/>
      <c r="BS727" s="48"/>
      <c r="BT727" s="48"/>
      <c r="BU727" s="48"/>
      <c r="BV727" s="48"/>
      <c r="BW727" s="48"/>
      <c r="BX727" s="48"/>
      <c r="BY727" s="48"/>
      <c r="BZ727" s="48"/>
      <c r="CA727" s="48"/>
      <c r="CB727" s="48"/>
      <c r="CC727" s="48"/>
      <c r="CD727" s="48"/>
      <c r="CE727" s="48"/>
      <c r="CF727" s="48"/>
      <c r="CG727" s="48"/>
      <c r="CH727" s="48"/>
      <c r="CI727" s="48"/>
      <c r="CJ727" s="48"/>
      <c r="CK727" s="48"/>
      <c r="CL727" s="48"/>
      <c r="CM727" s="48"/>
      <c r="CN727" s="48"/>
      <c r="CO727" s="48"/>
      <c r="CP727" s="48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  <c r="DA727" s="48"/>
      <c r="DB727" s="48"/>
      <c r="DC727" s="48"/>
      <c r="DD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175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175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  <c r="CO728" s="48"/>
      <c r="CP728" s="48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175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175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  <c r="BD729" s="48"/>
      <c r="BE729" s="48"/>
      <c r="BF729" s="48"/>
      <c r="BG729" s="48"/>
      <c r="BH729" s="48"/>
      <c r="BI729" s="48"/>
      <c r="BJ729" s="48"/>
      <c r="BK729" s="48"/>
      <c r="BL729" s="48"/>
      <c r="BM729" s="48"/>
      <c r="BN729" s="48"/>
      <c r="BO729" s="48"/>
      <c r="BP729" s="48"/>
      <c r="BQ729" s="48"/>
      <c r="BR729" s="48"/>
      <c r="BS729" s="48"/>
      <c r="BT729" s="48"/>
      <c r="BU729" s="48"/>
      <c r="BV729" s="48"/>
      <c r="BW729" s="48"/>
      <c r="BX729" s="48"/>
      <c r="BY729" s="48"/>
      <c r="BZ729" s="48"/>
      <c r="CA729" s="48"/>
      <c r="CB729" s="48"/>
      <c r="CC729" s="48"/>
      <c r="CD729" s="48"/>
      <c r="CE729" s="48"/>
      <c r="CF729" s="48"/>
      <c r="CG729" s="48"/>
      <c r="CH729" s="48"/>
      <c r="CI729" s="48"/>
      <c r="CJ729" s="48"/>
      <c r="CK729" s="48"/>
      <c r="CL729" s="48"/>
      <c r="CM729" s="48"/>
      <c r="CN729" s="48"/>
      <c r="CO729" s="48"/>
      <c r="CP729" s="48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  <c r="DA729" s="48"/>
      <c r="DB729" s="48"/>
      <c r="DC729" s="48"/>
      <c r="DD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175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175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8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175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175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  <c r="BD731" s="48"/>
      <c r="BE731" s="48"/>
      <c r="BF731" s="48"/>
      <c r="BG731" s="48"/>
      <c r="BH731" s="48"/>
      <c r="BI731" s="48"/>
      <c r="BJ731" s="48"/>
      <c r="BK731" s="48"/>
      <c r="BL731" s="48"/>
      <c r="BM731" s="48"/>
      <c r="BN731" s="48"/>
      <c r="BO731" s="48"/>
      <c r="BP731" s="48"/>
      <c r="BQ731" s="48"/>
      <c r="BR731" s="48"/>
      <c r="BS731" s="48"/>
      <c r="BT731" s="48"/>
      <c r="BU731" s="48"/>
      <c r="BV731" s="48"/>
      <c r="BW731" s="48"/>
      <c r="BX731" s="48"/>
      <c r="BY731" s="48"/>
      <c r="BZ731" s="48"/>
      <c r="CA731" s="48"/>
      <c r="CB731" s="48"/>
      <c r="CC731" s="48"/>
      <c r="CD731" s="48"/>
      <c r="CE731" s="48"/>
      <c r="CF731" s="48"/>
      <c r="CG731" s="48"/>
      <c r="CH731" s="48"/>
      <c r="CI731" s="48"/>
      <c r="CJ731" s="48"/>
      <c r="CK731" s="48"/>
      <c r="CL731" s="48"/>
      <c r="CM731" s="48"/>
      <c r="CN731" s="48"/>
      <c r="CO731" s="48"/>
      <c r="CP731" s="48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  <c r="DA731" s="48"/>
      <c r="DB731" s="48"/>
      <c r="DC731" s="48"/>
      <c r="DD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175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175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  <c r="CO732" s="48"/>
      <c r="CP732" s="48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175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175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  <c r="BD733" s="48"/>
      <c r="BE733" s="48"/>
      <c r="BF733" s="48"/>
      <c r="BG733" s="48"/>
      <c r="BH733" s="48"/>
      <c r="BI733" s="48"/>
      <c r="BJ733" s="48"/>
      <c r="BK733" s="48"/>
      <c r="BL733" s="48"/>
      <c r="BM733" s="48"/>
      <c r="BN733" s="48"/>
      <c r="BO733" s="48"/>
      <c r="BP733" s="48"/>
      <c r="BQ733" s="48"/>
      <c r="BR733" s="48"/>
      <c r="BS733" s="48"/>
      <c r="BT733" s="48"/>
      <c r="BU733" s="48"/>
      <c r="BV733" s="48"/>
      <c r="BW733" s="48"/>
      <c r="BX733" s="48"/>
      <c r="BY733" s="48"/>
      <c r="BZ733" s="48"/>
      <c r="CA733" s="48"/>
      <c r="CB733" s="48"/>
      <c r="CC733" s="48"/>
      <c r="CD733" s="48"/>
      <c r="CE733" s="48"/>
      <c r="CF733" s="48"/>
      <c r="CG733" s="48"/>
      <c r="CH733" s="48"/>
      <c r="CI733" s="48"/>
      <c r="CJ733" s="48"/>
      <c r="CK733" s="48"/>
      <c r="CL733" s="48"/>
      <c r="CM733" s="48"/>
      <c r="CN733" s="48"/>
      <c r="CO733" s="48"/>
      <c r="CP733" s="48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  <c r="DA733" s="48"/>
      <c r="DB733" s="48"/>
      <c r="DC733" s="48"/>
      <c r="DD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175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175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  <c r="BD734" s="48"/>
      <c r="BE734" s="48"/>
      <c r="BF734" s="48"/>
      <c r="BG734" s="48"/>
      <c r="BH734" s="48"/>
      <c r="BI734" s="48"/>
      <c r="BJ734" s="48"/>
      <c r="BK734" s="48"/>
      <c r="BL734" s="48"/>
      <c r="BM734" s="48"/>
      <c r="BN734" s="48"/>
      <c r="BO734" s="48"/>
      <c r="BP734" s="48"/>
      <c r="BQ734" s="48"/>
      <c r="BR734" s="48"/>
      <c r="BS734" s="48"/>
      <c r="BT734" s="48"/>
      <c r="BU734" s="48"/>
      <c r="BV734" s="48"/>
      <c r="BW734" s="48"/>
      <c r="BX734" s="48"/>
      <c r="BY734" s="48"/>
      <c r="BZ734" s="48"/>
      <c r="CA734" s="48"/>
      <c r="CB734" s="48"/>
      <c r="CC734" s="48"/>
      <c r="CD734" s="48"/>
      <c r="CE734" s="48"/>
      <c r="CF734" s="48"/>
      <c r="CG734" s="48"/>
      <c r="CH734" s="48"/>
      <c r="CI734" s="48"/>
      <c r="CJ734" s="48"/>
      <c r="CK734" s="48"/>
      <c r="CL734" s="48"/>
      <c r="CM734" s="48"/>
      <c r="CN734" s="48"/>
      <c r="CO734" s="48"/>
      <c r="CP734" s="48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  <c r="DA734" s="48"/>
      <c r="DB734" s="48"/>
      <c r="DC734" s="48"/>
      <c r="DD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175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175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  <c r="CO735" s="48"/>
      <c r="CP735" s="48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175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175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  <c r="BD736" s="48"/>
      <c r="BE736" s="48"/>
      <c r="BF736" s="48"/>
      <c r="BG736" s="48"/>
      <c r="BH736" s="48"/>
      <c r="BI736" s="48"/>
      <c r="BJ736" s="48"/>
      <c r="BK736" s="48"/>
      <c r="BL736" s="48"/>
      <c r="BM736" s="48"/>
      <c r="BN736" s="48"/>
      <c r="BO736" s="48"/>
      <c r="BP736" s="48"/>
      <c r="BQ736" s="48"/>
      <c r="BR736" s="48"/>
      <c r="BS736" s="48"/>
      <c r="BT736" s="48"/>
      <c r="BU736" s="48"/>
      <c r="BV736" s="48"/>
      <c r="BW736" s="48"/>
      <c r="BX736" s="48"/>
      <c r="BY736" s="48"/>
      <c r="BZ736" s="48"/>
      <c r="CA736" s="48"/>
      <c r="CB736" s="48"/>
      <c r="CC736" s="48"/>
      <c r="CD736" s="48"/>
      <c r="CE736" s="48"/>
      <c r="CF736" s="48"/>
      <c r="CG736" s="48"/>
      <c r="CH736" s="48"/>
      <c r="CI736" s="48"/>
      <c r="CJ736" s="48"/>
      <c r="CK736" s="48"/>
      <c r="CL736" s="48"/>
      <c r="CM736" s="48"/>
      <c r="CN736" s="48"/>
      <c r="CO736" s="48"/>
      <c r="CP736" s="48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  <c r="DA736" s="48"/>
      <c r="DB736" s="48"/>
      <c r="DC736" s="48"/>
      <c r="DD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175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175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  <c r="BD737" s="48"/>
      <c r="BE737" s="48"/>
      <c r="BF737" s="48"/>
      <c r="BG737" s="48"/>
      <c r="BH737" s="48"/>
      <c r="BI737" s="48"/>
      <c r="BJ737" s="48"/>
      <c r="BK737" s="48"/>
      <c r="BL737" s="48"/>
      <c r="BM737" s="48"/>
      <c r="BN737" s="48"/>
      <c r="BO737" s="48"/>
      <c r="BP737" s="48"/>
      <c r="BQ737" s="48"/>
      <c r="BR737" s="48"/>
      <c r="BS737" s="48"/>
      <c r="BT737" s="48"/>
      <c r="BU737" s="48"/>
      <c r="BV737" s="48"/>
      <c r="BW737" s="48"/>
      <c r="BX737" s="48"/>
      <c r="BY737" s="48"/>
      <c r="BZ737" s="48"/>
      <c r="CA737" s="48"/>
      <c r="CB737" s="48"/>
      <c r="CC737" s="48"/>
      <c r="CD737" s="48"/>
      <c r="CE737" s="48"/>
      <c r="CF737" s="48"/>
      <c r="CG737" s="48"/>
      <c r="CH737" s="48"/>
      <c r="CI737" s="48"/>
      <c r="CJ737" s="48"/>
      <c r="CK737" s="48"/>
      <c r="CL737" s="48"/>
      <c r="CM737" s="48"/>
      <c r="CN737" s="48"/>
      <c r="CO737" s="48"/>
      <c r="CP737" s="48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  <c r="DA737" s="48"/>
      <c r="DB737" s="48"/>
      <c r="DC737" s="48"/>
      <c r="DD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175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175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  <c r="CO738" s="48"/>
      <c r="CP738" s="48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175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175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  <c r="BD739" s="48"/>
      <c r="BE739" s="48"/>
      <c r="BF739" s="48"/>
      <c r="BG739" s="48"/>
      <c r="BH739" s="48"/>
      <c r="BI739" s="48"/>
      <c r="BJ739" s="48"/>
      <c r="BK739" s="48"/>
      <c r="BL739" s="48"/>
      <c r="BM739" s="48"/>
      <c r="BN739" s="48"/>
      <c r="BO739" s="48"/>
      <c r="BP739" s="48"/>
      <c r="BQ739" s="48"/>
      <c r="BR739" s="48"/>
      <c r="BS739" s="48"/>
      <c r="BT739" s="48"/>
      <c r="BU739" s="48"/>
      <c r="BV739" s="48"/>
      <c r="BW739" s="48"/>
      <c r="BX739" s="48"/>
      <c r="BY739" s="48"/>
      <c r="BZ739" s="48"/>
      <c r="CA739" s="48"/>
      <c r="CB739" s="48"/>
      <c r="CC739" s="48"/>
      <c r="CD739" s="48"/>
      <c r="CE739" s="48"/>
      <c r="CF739" s="48"/>
      <c r="CG739" s="48"/>
      <c r="CH739" s="48"/>
      <c r="CI739" s="48"/>
      <c r="CJ739" s="48"/>
      <c r="CK739" s="48"/>
      <c r="CL739" s="48"/>
      <c r="CM739" s="48"/>
      <c r="CN739" s="48"/>
      <c r="CO739" s="48"/>
      <c r="CP739" s="48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  <c r="DA739" s="48"/>
      <c r="DB739" s="48"/>
      <c r="DC739" s="48"/>
      <c r="DD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175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175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  <c r="BD740" s="48"/>
      <c r="BE740" s="48"/>
      <c r="BF740" s="48"/>
      <c r="BG740" s="48"/>
      <c r="BH740" s="48"/>
      <c r="BI740" s="48"/>
      <c r="BJ740" s="48"/>
      <c r="BK740" s="48"/>
      <c r="BL740" s="48"/>
      <c r="BM740" s="48"/>
      <c r="BN740" s="48"/>
      <c r="BO740" s="48"/>
      <c r="BP740" s="48"/>
      <c r="BQ740" s="48"/>
      <c r="BR740" s="48"/>
      <c r="BS740" s="48"/>
      <c r="BT740" s="48"/>
      <c r="BU740" s="48"/>
      <c r="BV740" s="48"/>
      <c r="BW740" s="48"/>
      <c r="BX740" s="48"/>
      <c r="BY740" s="48"/>
      <c r="BZ740" s="48"/>
      <c r="CA740" s="48"/>
      <c r="CB740" s="48"/>
      <c r="CC740" s="48"/>
      <c r="CD740" s="48"/>
      <c r="CE740" s="48"/>
      <c r="CF740" s="48"/>
      <c r="CG740" s="48"/>
      <c r="CH740" s="48"/>
      <c r="CI740" s="48"/>
      <c r="CJ740" s="48"/>
      <c r="CK740" s="48"/>
      <c r="CL740" s="48"/>
      <c r="CM740" s="48"/>
      <c r="CN740" s="48"/>
      <c r="CO740" s="48"/>
      <c r="CP740" s="48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  <c r="DA740" s="48"/>
      <c r="DB740" s="48"/>
      <c r="DC740" s="48"/>
      <c r="DD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175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175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  <c r="BD741" s="48"/>
      <c r="BE741" s="48"/>
      <c r="BF741" s="48"/>
      <c r="BG741" s="48"/>
      <c r="BH741" s="48"/>
      <c r="BI741" s="48"/>
      <c r="BJ741" s="48"/>
      <c r="BK741" s="48"/>
      <c r="BL741" s="48"/>
      <c r="BM741" s="48"/>
      <c r="BN741" s="48"/>
      <c r="BO741" s="48"/>
      <c r="BP741" s="48"/>
      <c r="BQ741" s="48"/>
      <c r="BR741" s="48"/>
      <c r="BS741" s="48"/>
      <c r="BT741" s="48"/>
      <c r="BU741" s="48"/>
      <c r="BV741" s="48"/>
      <c r="BW741" s="48"/>
      <c r="BX741" s="48"/>
      <c r="BY741" s="48"/>
      <c r="BZ741" s="48"/>
      <c r="CA741" s="48"/>
      <c r="CB741" s="48"/>
      <c r="CC741" s="48"/>
      <c r="CD741" s="48"/>
      <c r="CE741" s="48"/>
      <c r="CF741" s="48"/>
      <c r="CG741" s="48"/>
      <c r="CH741" s="48"/>
      <c r="CI741" s="48"/>
      <c r="CJ741" s="48"/>
      <c r="CK741" s="48"/>
      <c r="CL741" s="48"/>
      <c r="CM741" s="48"/>
      <c r="CN741" s="48"/>
      <c r="CO741" s="48"/>
      <c r="CP741" s="48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  <c r="DA741" s="48"/>
      <c r="DB741" s="48"/>
      <c r="DC741" s="48"/>
      <c r="DD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175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175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8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175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175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8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175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175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  <c r="BD744" s="48"/>
      <c r="BE744" s="48"/>
      <c r="BF744" s="48"/>
      <c r="BG744" s="48"/>
      <c r="BH744" s="48"/>
      <c r="BI744" s="48"/>
      <c r="BJ744" s="48"/>
      <c r="BK744" s="48"/>
      <c r="BL744" s="48"/>
      <c r="BM744" s="48"/>
      <c r="BN744" s="48"/>
      <c r="BO744" s="48"/>
      <c r="BP744" s="48"/>
      <c r="BQ744" s="48"/>
      <c r="BR744" s="48"/>
      <c r="BS744" s="48"/>
      <c r="BT744" s="48"/>
      <c r="BU744" s="48"/>
      <c r="BV744" s="48"/>
      <c r="BW744" s="48"/>
      <c r="BX744" s="48"/>
      <c r="BY744" s="48"/>
      <c r="BZ744" s="48"/>
      <c r="CA744" s="48"/>
      <c r="CB744" s="48"/>
      <c r="CC744" s="48"/>
      <c r="CD744" s="48"/>
      <c r="CE744" s="48"/>
      <c r="CF744" s="48"/>
      <c r="CG744" s="48"/>
      <c r="CH744" s="48"/>
      <c r="CI744" s="48"/>
      <c r="CJ744" s="48"/>
      <c r="CK744" s="48"/>
      <c r="CL744" s="48"/>
      <c r="CM744" s="48"/>
      <c r="CN744" s="48"/>
      <c r="CO744" s="48"/>
      <c r="CP744" s="48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  <c r="DA744" s="48"/>
      <c r="DB744" s="48"/>
      <c r="DC744" s="48"/>
      <c r="DD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175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175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  <c r="BD745" s="48"/>
      <c r="BE745" s="48"/>
      <c r="BF745" s="48"/>
      <c r="BG745" s="48"/>
      <c r="BH745" s="48"/>
      <c r="BI745" s="48"/>
      <c r="BJ745" s="48"/>
      <c r="BK745" s="48"/>
      <c r="BL745" s="48"/>
      <c r="BM745" s="48"/>
      <c r="BN745" s="48"/>
      <c r="BO745" s="48"/>
      <c r="BP745" s="48"/>
      <c r="BQ745" s="48"/>
      <c r="BR745" s="48"/>
      <c r="BS745" s="48"/>
      <c r="BT745" s="48"/>
      <c r="BU745" s="48"/>
      <c r="BV745" s="48"/>
      <c r="BW745" s="48"/>
      <c r="BX745" s="48"/>
      <c r="BY745" s="48"/>
      <c r="BZ745" s="48"/>
      <c r="CA745" s="48"/>
      <c r="CB745" s="48"/>
      <c r="CC745" s="48"/>
      <c r="CD745" s="48"/>
      <c r="CE745" s="48"/>
      <c r="CF745" s="48"/>
      <c r="CG745" s="48"/>
      <c r="CH745" s="48"/>
      <c r="CI745" s="48"/>
      <c r="CJ745" s="48"/>
      <c r="CK745" s="48"/>
      <c r="CL745" s="48"/>
      <c r="CM745" s="48"/>
      <c r="CN745" s="48"/>
      <c r="CO745" s="48"/>
      <c r="CP745" s="48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  <c r="DA745" s="48"/>
      <c r="DB745" s="48"/>
      <c r="DC745" s="48"/>
      <c r="DD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175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175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  <c r="BD746" s="48"/>
      <c r="BE746" s="48"/>
      <c r="BF746" s="48"/>
      <c r="BG746" s="48"/>
      <c r="BH746" s="48"/>
      <c r="BI746" s="48"/>
      <c r="BJ746" s="48"/>
      <c r="BK746" s="48"/>
      <c r="BL746" s="48"/>
      <c r="BM746" s="48"/>
      <c r="BN746" s="48"/>
      <c r="BO746" s="48"/>
      <c r="BP746" s="48"/>
      <c r="BQ746" s="48"/>
      <c r="BR746" s="48"/>
      <c r="BS746" s="48"/>
      <c r="BT746" s="48"/>
      <c r="BU746" s="48"/>
      <c r="BV746" s="48"/>
      <c r="BW746" s="48"/>
      <c r="BX746" s="48"/>
      <c r="BY746" s="48"/>
      <c r="BZ746" s="48"/>
      <c r="CA746" s="48"/>
      <c r="CB746" s="48"/>
      <c r="CC746" s="48"/>
      <c r="CD746" s="48"/>
      <c r="CE746" s="48"/>
      <c r="CF746" s="48"/>
      <c r="CG746" s="48"/>
      <c r="CH746" s="48"/>
      <c r="CI746" s="48"/>
      <c r="CJ746" s="48"/>
      <c r="CK746" s="48"/>
      <c r="CL746" s="48"/>
      <c r="CM746" s="48"/>
      <c r="CN746" s="48"/>
      <c r="CO746" s="48"/>
      <c r="CP746" s="48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  <c r="DA746" s="48"/>
      <c r="DB746" s="48"/>
      <c r="DC746" s="48"/>
      <c r="DD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175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175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  <c r="CO747" s="48"/>
      <c r="CP747" s="48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175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175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  <c r="BD748" s="48"/>
      <c r="BE748" s="48"/>
      <c r="BF748" s="48"/>
      <c r="BG748" s="48"/>
      <c r="BH748" s="48"/>
      <c r="BI748" s="48"/>
      <c r="BJ748" s="48"/>
      <c r="BK748" s="48"/>
      <c r="BL748" s="48"/>
      <c r="BM748" s="48"/>
      <c r="BN748" s="48"/>
      <c r="BO748" s="48"/>
      <c r="BP748" s="48"/>
      <c r="BQ748" s="48"/>
      <c r="BR748" s="48"/>
      <c r="BS748" s="48"/>
      <c r="BT748" s="48"/>
      <c r="BU748" s="48"/>
      <c r="BV748" s="48"/>
      <c r="BW748" s="48"/>
      <c r="BX748" s="48"/>
      <c r="BY748" s="48"/>
      <c r="BZ748" s="48"/>
      <c r="CA748" s="48"/>
      <c r="CB748" s="48"/>
      <c r="CC748" s="48"/>
      <c r="CD748" s="48"/>
      <c r="CE748" s="48"/>
      <c r="CF748" s="48"/>
      <c r="CG748" s="48"/>
      <c r="CH748" s="48"/>
      <c r="CI748" s="48"/>
      <c r="CJ748" s="48"/>
      <c r="CK748" s="48"/>
      <c r="CL748" s="48"/>
      <c r="CM748" s="48"/>
      <c r="CN748" s="48"/>
      <c r="CO748" s="48"/>
      <c r="CP748" s="48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  <c r="DA748" s="48"/>
      <c r="DB748" s="48"/>
      <c r="DC748" s="48"/>
      <c r="DD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175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175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  <c r="BD749" s="48"/>
      <c r="BE749" s="48"/>
      <c r="BF749" s="48"/>
      <c r="BG749" s="48"/>
      <c r="BH749" s="48"/>
      <c r="BI749" s="48"/>
      <c r="BJ749" s="48"/>
      <c r="BK749" s="48"/>
      <c r="BL749" s="48"/>
      <c r="BM749" s="48"/>
      <c r="BN749" s="48"/>
      <c r="BO749" s="48"/>
      <c r="BP749" s="48"/>
      <c r="BQ749" s="48"/>
      <c r="BR749" s="48"/>
      <c r="BS749" s="48"/>
      <c r="BT749" s="48"/>
      <c r="BU749" s="48"/>
      <c r="BV749" s="48"/>
      <c r="BW749" s="48"/>
      <c r="BX749" s="48"/>
      <c r="BY749" s="48"/>
      <c r="BZ749" s="48"/>
      <c r="CA749" s="48"/>
      <c r="CB749" s="48"/>
      <c r="CC749" s="48"/>
      <c r="CD749" s="48"/>
      <c r="CE749" s="48"/>
      <c r="CF749" s="48"/>
      <c r="CG749" s="48"/>
      <c r="CH749" s="48"/>
      <c r="CI749" s="48"/>
      <c r="CJ749" s="48"/>
      <c r="CK749" s="48"/>
      <c r="CL749" s="48"/>
      <c r="CM749" s="48"/>
      <c r="CN749" s="48"/>
      <c r="CO749" s="48"/>
      <c r="CP749" s="48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  <c r="DA749" s="48"/>
      <c r="DB749" s="48"/>
      <c r="DC749" s="48"/>
      <c r="DD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175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175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  <c r="BD750" s="48"/>
      <c r="BE750" s="48"/>
      <c r="BF750" s="48"/>
      <c r="BG750" s="48"/>
      <c r="BH750" s="48"/>
      <c r="BI750" s="48"/>
      <c r="BJ750" s="48"/>
      <c r="BK750" s="48"/>
      <c r="BL750" s="48"/>
      <c r="BM750" s="48"/>
      <c r="BN750" s="48"/>
      <c r="BO750" s="48"/>
      <c r="BP750" s="48"/>
      <c r="BQ750" s="48"/>
      <c r="BR750" s="48"/>
      <c r="BS750" s="48"/>
      <c r="BT750" s="48"/>
      <c r="BU750" s="48"/>
      <c r="BV750" s="48"/>
      <c r="BW750" s="48"/>
      <c r="BX750" s="48"/>
      <c r="BY750" s="48"/>
      <c r="BZ750" s="48"/>
      <c r="CA750" s="48"/>
      <c r="CB750" s="48"/>
      <c r="CC750" s="48"/>
      <c r="CD750" s="48"/>
      <c r="CE750" s="48"/>
      <c r="CF750" s="48"/>
      <c r="CG750" s="48"/>
      <c r="CH750" s="48"/>
      <c r="CI750" s="48"/>
      <c r="CJ750" s="48"/>
      <c r="CK750" s="48"/>
      <c r="CL750" s="48"/>
      <c r="CM750" s="48"/>
      <c r="CN750" s="48"/>
      <c r="CO750" s="48"/>
      <c r="CP750" s="48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  <c r="DA750" s="48"/>
      <c r="DB750" s="48"/>
      <c r="DC750" s="48"/>
      <c r="DD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175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175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  <c r="BD751" s="48"/>
      <c r="BE751" s="48"/>
      <c r="BF751" s="48"/>
      <c r="BG751" s="48"/>
      <c r="BH751" s="48"/>
      <c r="BI751" s="48"/>
      <c r="BJ751" s="48"/>
      <c r="BK751" s="48"/>
      <c r="BL751" s="48"/>
      <c r="BM751" s="48"/>
      <c r="BN751" s="48"/>
      <c r="BO751" s="48"/>
      <c r="BP751" s="48"/>
      <c r="BQ751" s="48"/>
      <c r="BR751" s="48"/>
      <c r="BS751" s="48"/>
      <c r="BT751" s="48"/>
      <c r="BU751" s="48"/>
      <c r="BV751" s="48"/>
      <c r="BW751" s="48"/>
      <c r="BX751" s="48"/>
      <c r="BY751" s="48"/>
      <c r="BZ751" s="48"/>
      <c r="CA751" s="48"/>
      <c r="CB751" s="48"/>
      <c r="CC751" s="48"/>
      <c r="CD751" s="48"/>
      <c r="CE751" s="48"/>
      <c r="CF751" s="48"/>
      <c r="CG751" s="48"/>
      <c r="CH751" s="48"/>
      <c r="CI751" s="48"/>
      <c r="CJ751" s="48"/>
      <c r="CK751" s="48"/>
      <c r="CL751" s="48"/>
      <c r="CM751" s="48"/>
      <c r="CN751" s="48"/>
      <c r="CO751" s="48"/>
      <c r="CP751" s="48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  <c r="DA751" s="48"/>
      <c r="DB751" s="48"/>
      <c r="DC751" s="48"/>
      <c r="DD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175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175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  <c r="BD752" s="48"/>
      <c r="BE752" s="48"/>
      <c r="BF752" s="48"/>
      <c r="BG752" s="48"/>
      <c r="BH752" s="48"/>
      <c r="BI752" s="48"/>
      <c r="BJ752" s="48"/>
      <c r="BK752" s="48"/>
      <c r="BL752" s="48"/>
      <c r="BM752" s="48"/>
      <c r="BN752" s="48"/>
      <c r="BO752" s="48"/>
      <c r="BP752" s="48"/>
      <c r="BQ752" s="48"/>
      <c r="BR752" s="48"/>
      <c r="BS752" s="48"/>
      <c r="BT752" s="48"/>
      <c r="BU752" s="48"/>
      <c r="BV752" s="48"/>
      <c r="BW752" s="48"/>
      <c r="BX752" s="48"/>
      <c r="BY752" s="48"/>
      <c r="BZ752" s="48"/>
      <c r="CA752" s="48"/>
      <c r="CB752" s="48"/>
      <c r="CC752" s="48"/>
      <c r="CD752" s="48"/>
      <c r="CE752" s="48"/>
      <c r="CF752" s="48"/>
      <c r="CG752" s="48"/>
      <c r="CH752" s="48"/>
      <c r="CI752" s="48"/>
      <c r="CJ752" s="48"/>
      <c r="CK752" s="48"/>
      <c r="CL752" s="48"/>
      <c r="CM752" s="48"/>
      <c r="CN752" s="48"/>
      <c r="CO752" s="48"/>
      <c r="CP752" s="48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  <c r="DA752" s="48"/>
      <c r="DB752" s="48"/>
      <c r="DC752" s="48"/>
      <c r="DD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175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175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  <c r="BD753" s="48"/>
      <c r="BE753" s="48"/>
      <c r="BF753" s="48"/>
      <c r="BG753" s="48"/>
      <c r="BH753" s="48"/>
      <c r="BI753" s="48"/>
      <c r="BJ753" s="48"/>
      <c r="BK753" s="48"/>
      <c r="BL753" s="48"/>
      <c r="BM753" s="48"/>
      <c r="BN753" s="48"/>
      <c r="BO753" s="48"/>
      <c r="BP753" s="48"/>
      <c r="BQ753" s="48"/>
      <c r="BR753" s="48"/>
      <c r="BS753" s="48"/>
      <c r="BT753" s="48"/>
      <c r="BU753" s="48"/>
      <c r="BV753" s="48"/>
      <c r="BW753" s="48"/>
      <c r="BX753" s="48"/>
      <c r="BY753" s="48"/>
      <c r="BZ753" s="48"/>
      <c r="CA753" s="48"/>
      <c r="CB753" s="48"/>
      <c r="CC753" s="48"/>
      <c r="CD753" s="48"/>
      <c r="CE753" s="48"/>
      <c r="CF753" s="48"/>
      <c r="CG753" s="48"/>
      <c r="CH753" s="48"/>
      <c r="CI753" s="48"/>
      <c r="CJ753" s="48"/>
      <c r="CK753" s="48"/>
      <c r="CL753" s="48"/>
      <c r="CM753" s="48"/>
      <c r="CN753" s="48"/>
      <c r="CO753" s="48"/>
      <c r="CP753" s="48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  <c r="DA753" s="48"/>
      <c r="DB753" s="48"/>
      <c r="DC753" s="48"/>
      <c r="DD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175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175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8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175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175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8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175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175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8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175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175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  <c r="BD757" s="48"/>
      <c r="BE757" s="48"/>
      <c r="BF757" s="48"/>
      <c r="BG757" s="48"/>
      <c r="BH757" s="48"/>
      <c r="BI757" s="48"/>
      <c r="BJ757" s="48"/>
      <c r="BK757" s="48"/>
      <c r="BL757" s="48"/>
      <c r="BM757" s="48"/>
      <c r="BN757" s="48"/>
      <c r="BO757" s="48"/>
      <c r="BP757" s="48"/>
      <c r="BQ757" s="48"/>
      <c r="BR757" s="48"/>
      <c r="BS757" s="48"/>
      <c r="BT757" s="48"/>
      <c r="BU757" s="48"/>
      <c r="BV757" s="48"/>
      <c r="BW757" s="48"/>
      <c r="BX757" s="48"/>
      <c r="BY757" s="48"/>
      <c r="BZ757" s="48"/>
      <c r="CA757" s="48"/>
      <c r="CB757" s="48"/>
      <c r="CC757" s="48"/>
      <c r="CD757" s="48"/>
      <c r="CE757" s="48"/>
      <c r="CF757" s="48"/>
      <c r="CG757" s="48"/>
      <c r="CH757" s="48"/>
      <c r="CI757" s="48"/>
      <c r="CJ757" s="48"/>
      <c r="CK757" s="48"/>
      <c r="CL757" s="48"/>
      <c r="CM757" s="48"/>
      <c r="CN757" s="48"/>
      <c r="CO757" s="48"/>
      <c r="CP757" s="48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  <c r="DA757" s="48"/>
      <c r="DB757" s="48"/>
      <c r="DC757" s="48"/>
      <c r="DD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175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175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  <c r="BD758" s="48"/>
      <c r="BE758" s="48"/>
      <c r="BF758" s="48"/>
      <c r="BG758" s="48"/>
      <c r="BH758" s="48"/>
      <c r="BI758" s="48"/>
      <c r="BJ758" s="48"/>
      <c r="BK758" s="48"/>
      <c r="BL758" s="48"/>
      <c r="BM758" s="48"/>
      <c r="BN758" s="48"/>
      <c r="BO758" s="48"/>
      <c r="BP758" s="48"/>
      <c r="BQ758" s="48"/>
      <c r="BR758" s="48"/>
      <c r="BS758" s="48"/>
      <c r="BT758" s="48"/>
      <c r="BU758" s="48"/>
      <c r="BV758" s="48"/>
      <c r="BW758" s="48"/>
      <c r="BX758" s="48"/>
      <c r="BY758" s="48"/>
      <c r="BZ758" s="48"/>
      <c r="CA758" s="48"/>
      <c r="CB758" s="48"/>
      <c r="CC758" s="48"/>
      <c r="CD758" s="48"/>
      <c r="CE758" s="48"/>
      <c r="CF758" s="48"/>
      <c r="CG758" s="48"/>
      <c r="CH758" s="48"/>
      <c r="CI758" s="48"/>
      <c r="CJ758" s="48"/>
      <c r="CK758" s="48"/>
      <c r="CL758" s="48"/>
      <c r="CM758" s="48"/>
      <c r="CN758" s="48"/>
      <c r="CO758" s="48"/>
      <c r="CP758" s="48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  <c r="DA758" s="48"/>
      <c r="DB758" s="48"/>
      <c r="DC758" s="48"/>
      <c r="DD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175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175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  <c r="CO759" s="48"/>
      <c r="CP759" s="48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175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175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  <c r="BD760" s="48"/>
      <c r="BE760" s="48"/>
      <c r="BF760" s="48"/>
      <c r="BG760" s="48"/>
      <c r="BH760" s="48"/>
      <c r="BI760" s="48"/>
      <c r="BJ760" s="48"/>
      <c r="BK760" s="48"/>
      <c r="BL760" s="48"/>
      <c r="BM760" s="48"/>
      <c r="BN760" s="48"/>
      <c r="BO760" s="48"/>
      <c r="BP760" s="48"/>
      <c r="BQ760" s="48"/>
      <c r="BR760" s="48"/>
      <c r="BS760" s="48"/>
      <c r="BT760" s="48"/>
      <c r="BU760" s="48"/>
      <c r="BV760" s="48"/>
      <c r="BW760" s="48"/>
      <c r="BX760" s="48"/>
      <c r="BY760" s="48"/>
      <c r="BZ760" s="48"/>
      <c r="CA760" s="48"/>
      <c r="CB760" s="48"/>
      <c r="CC760" s="48"/>
      <c r="CD760" s="48"/>
      <c r="CE760" s="48"/>
      <c r="CF760" s="48"/>
      <c r="CG760" s="48"/>
      <c r="CH760" s="48"/>
      <c r="CI760" s="48"/>
      <c r="CJ760" s="48"/>
      <c r="CK760" s="48"/>
      <c r="CL760" s="48"/>
      <c r="CM760" s="48"/>
      <c r="CN760" s="48"/>
      <c r="CO760" s="48"/>
      <c r="CP760" s="48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  <c r="DA760" s="48"/>
      <c r="DB760" s="48"/>
      <c r="DC760" s="48"/>
      <c r="DD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175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175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  <c r="BD761" s="48"/>
      <c r="BE761" s="48"/>
      <c r="BF761" s="48"/>
      <c r="BG761" s="48"/>
      <c r="BH761" s="48"/>
      <c r="BI761" s="48"/>
      <c r="BJ761" s="48"/>
      <c r="BK761" s="48"/>
      <c r="BL761" s="48"/>
      <c r="BM761" s="48"/>
      <c r="BN761" s="48"/>
      <c r="BO761" s="48"/>
      <c r="BP761" s="48"/>
      <c r="BQ761" s="48"/>
      <c r="BR761" s="48"/>
      <c r="BS761" s="48"/>
      <c r="BT761" s="48"/>
      <c r="BU761" s="48"/>
      <c r="BV761" s="48"/>
      <c r="BW761" s="48"/>
      <c r="BX761" s="48"/>
      <c r="BY761" s="48"/>
      <c r="BZ761" s="48"/>
      <c r="CA761" s="48"/>
      <c r="CB761" s="48"/>
      <c r="CC761" s="48"/>
      <c r="CD761" s="48"/>
      <c r="CE761" s="48"/>
      <c r="CF761" s="48"/>
      <c r="CG761" s="48"/>
      <c r="CH761" s="48"/>
      <c r="CI761" s="48"/>
      <c r="CJ761" s="48"/>
      <c r="CK761" s="48"/>
      <c r="CL761" s="48"/>
      <c r="CM761" s="48"/>
      <c r="CN761" s="48"/>
      <c r="CO761" s="48"/>
      <c r="CP761" s="48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  <c r="DA761" s="48"/>
      <c r="DB761" s="48"/>
      <c r="DC761" s="48"/>
      <c r="DD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175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175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  <c r="BD762" s="48"/>
      <c r="BE762" s="48"/>
      <c r="BF762" s="48"/>
      <c r="BG762" s="48"/>
      <c r="BH762" s="48"/>
      <c r="BI762" s="48"/>
      <c r="BJ762" s="48"/>
      <c r="BK762" s="48"/>
      <c r="BL762" s="48"/>
      <c r="BM762" s="48"/>
      <c r="BN762" s="48"/>
      <c r="BO762" s="48"/>
      <c r="BP762" s="48"/>
      <c r="BQ762" s="48"/>
      <c r="BR762" s="48"/>
      <c r="BS762" s="48"/>
      <c r="BT762" s="48"/>
      <c r="BU762" s="48"/>
      <c r="BV762" s="48"/>
      <c r="BW762" s="48"/>
      <c r="BX762" s="48"/>
      <c r="BY762" s="48"/>
      <c r="BZ762" s="48"/>
      <c r="CA762" s="48"/>
      <c r="CB762" s="48"/>
      <c r="CC762" s="48"/>
      <c r="CD762" s="48"/>
      <c r="CE762" s="48"/>
      <c r="CF762" s="48"/>
      <c r="CG762" s="48"/>
      <c r="CH762" s="48"/>
      <c r="CI762" s="48"/>
      <c r="CJ762" s="48"/>
      <c r="CK762" s="48"/>
      <c r="CL762" s="48"/>
      <c r="CM762" s="48"/>
      <c r="CN762" s="48"/>
      <c r="CO762" s="48"/>
      <c r="CP762" s="48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  <c r="DA762" s="48"/>
      <c r="DB762" s="48"/>
      <c r="DC762" s="48"/>
      <c r="DD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175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175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8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175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175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  <c r="BD764" s="48"/>
      <c r="BE764" s="48"/>
      <c r="BF764" s="48"/>
      <c r="BG764" s="48"/>
      <c r="BH764" s="48"/>
      <c r="BI764" s="48"/>
      <c r="BJ764" s="48"/>
      <c r="BK764" s="48"/>
      <c r="BL764" s="48"/>
      <c r="BM764" s="48"/>
      <c r="BN764" s="48"/>
      <c r="BO764" s="48"/>
      <c r="BP764" s="48"/>
      <c r="BQ764" s="48"/>
      <c r="BR764" s="48"/>
      <c r="BS764" s="48"/>
      <c r="BT764" s="48"/>
      <c r="BU764" s="48"/>
      <c r="BV764" s="48"/>
      <c r="BW764" s="48"/>
      <c r="BX764" s="48"/>
      <c r="BY764" s="48"/>
      <c r="BZ764" s="48"/>
      <c r="CA764" s="48"/>
      <c r="CB764" s="48"/>
      <c r="CC764" s="48"/>
      <c r="CD764" s="48"/>
      <c r="CE764" s="48"/>
      <c r="CF764" s="48"/>
      <c r="CG764" s="48"/>
      <c r="CH764" s="48"/>
      <c r="CI764" s="48"/>
      <c r="CJ764" s="48"/>
      <c r="CK764" s="48"/>
      <c r="CL764" s="48"/>
      <c r="CM764" s="48"/>
      <c r="CN764" s="48"/>
      <c r="CO764" s="48"/>
      <c r="CP764" s="48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  <c r="DA764" s="48"/>
      <c r="DB764" s="48"/>
      <c r="DC764" s="48"/>
      <c r="DD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175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175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  <c r="BD765" s="48"/>
      <c r="BE765" s="48"/>
      <c r="BF765" s="48"/>
      <c r="BG765" s="48"/>
      <c r="BH765" s="48"/>
      <c r="BI765" s="48"/>
      <c r="BJ765" s="48"/>
      <c r="BK765" s="48"/>
      <c r="BL765" s="48"/>
      <c r="BM765" s="48"/>
      <c r="BN765" s="48"/>
      <c r="BO765" s="48"/>
      <c r="BP765" s="48"/>
      <c r="BQ765" s="48"/>
      <c r="BR765" s="48"/>
      <c r="BS765" s="48"/>
      <c r="BT765" s="48"/>
      <c r="BU765" s="48"/>
      <c r="BV765" s="48"/>
      <c r="BW765" s="48"/>
      <c r="BX765" s="48"/>
      <c r="BY765" s="48"/>
      <c r="BZ765" s="48"/>
      <c r="CA765" s="48"/>
      <c r="CB765" s="48"/>
      <c r="CC765" s="48"/>
      <c r="CD765" s="48"/>
      <c r="CE765" s="48"/>
      <c r="CF765" s="48"/>
      <c r="CG765" s="48"/>
      <c r="CH765" s="48"/>
      <c r="CI765" s="48"/>
      <c r="CJ765" s="48"/>
      <c r="CK765" s="48"/>
      <c r="CL765" s="48"/>
      <c r="CM765" s="48"/>
      <c r="CN765" s="48"/>
      <c r="CO765" s="48"/>
      <c r="CP765" s="48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  <c r="DA765" s="48"/>
      <c r="DB765" s="48"/>
      <c r="DC765" s="48"/>
      <c r="DD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175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175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  <c r="BD766" s="48"/>
      <c r="BE766" s="48"/>
      <c r="BF766" s="48"/>
      <c r="BG766" s="48"/>
      <c r="BH766" s="48"/>
      <c r="BI766" s="48"/>
      <c r="BJ766" s="48"/>
      <c r="BK766" s="48"/>
      <c r="BL766" s="48"/>
      <c r="BM766" s="48"/>
      <c r="BN766" s="48"/>
      <c r="BO766" s="48"/>
      <c r="BP766" s="48"/>
      <c r="BQ766" s="48"/>
      <c r="BR766" s="48"/>
      <c r="BS766" s="48"/>
      <c r="BT766" s="48"/>
      <c r="BU766" s="48"/>
      <c r="BV766" s="48"/>
      <c r="BW766" s="48"/>
      <c r="BX766" s="48"/>
      <c r="BY766" s="48"/>
      <c r="BZ766" s="48"/>
      <c r="CA766" s="48"/>
      <c r="CB766" s="48"/>
      <c r="CC766" s="48"/>
      <c r="CD766" s="48"/>
      <c r="CE766" s="48"/>
      <c r="CF766" s="48"/>
      <c r="CG766" s="48"/>
      <c r="CH766" s="48"/>
      <c r="CI766" s="48"/>
      <c r="CJ766" s="48"/>
      <c r="CK766" s="48"/>
      <c r="CL766" s="48"/>
      <c r="CM766" s="48"/>
      <c r="CN766" s="48"/>
      <c r="CO766" s="48"/>
      <c r="CP766" s="48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  <c r="DA766" s="48"/>
      <c r="DB766" s="48"/>
      <c r="DC766" s="48"/>
      <c r="DD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175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175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  <c r="BD767" s="48"/>
      <c r="BE767" s="48"/>
      <c r="BF767" s="48"/>
      <c r="BG767" s="48"/>
      <c r="BH767" s="48"/>
      <c r="BI767" s="48"/>
      <c r="BJ767" s="48"/>
      <c r="BK767" s="48"/>
      <c r="BL767" s="48"/>
      <c r="BM767" s="48"/>
      <c r="BN767" s="48"/>
      <c r="BO767" s="48"/>
      <c r="BP767" s="48"/>
      <c r="BQ767" s="48"/>
      <c r="BR767" s="48"/>
      <c r="BS767" s="48"/>
      <c r="BT767" s="48"/>
      <c r="BU767" s="48"/>
      <c r="BV767" s="48"/>
      <c r="BW767" s="48"/>
      <c r="BX767" s="48"/>
      <c r="BY767" s="48"/>
      <c r="BZ767" s="48"/>
      <c r="CA767" s="48"/>
      <c r="CB767" s="48"/>
      <c r="CC767" s="48"/>
      <c r="CD767" s="48"/>
      <c r="CE767" s="48"/>
      <c r="CF767" s="48"/>
      <c r="CG767" s="48"/>
      <c r="CH767" s="48"/>
      <c r="CI767" s="48"/>
      <c r="CJ767" s="48"/>
      <c r="CK767" s="48"/>
      <c r="CL767" s="48"/>
      <c r="CM767" s="48"/>
      <c r="CN767" s="48"/>
      <c r="CO767" s="48"/>
      <c r="CP767" s="48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  <c r="DA767" s="48"/>
      <c r="DB767" s="48"/>
      <c r="DC767" s="48"/>
      <c r="DD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175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175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  <c r="BD768" s="48"/>
      <c r="BE768" s="48"/>
      <c r="BF768" s="48"/>
      <c r="BG768" s="48"/>
      <c r="BH768" s="48"/>
      <c r="BI768" s="48"/>
      <c r="BJ768" s="48"/>
      <c r="BK768" s="48"/>
      <c r="BL768" s="48"/>
      <c r="BM768" s="48"/>
      <c r="BN768" s="48"/>
      <c r="BO768" s="48"/>
      <c r="BP768" s="48"/>
      <c r="BQ768" s="48"/>
      <c r="BR768" s="48"/>
      <c r="BS768" s="48"/>
      <c r="BT768" s="48"/>
      <c r="BU768" s="48"/>
      <c r="BV768" s="48"/>
      <c r="BW768" s="48"/>
      <c r="BX768" s="48"/>
      <c r="BY768" s="48"/>
      <c r="BZ768" s="48"/>
      <c r="CA768" s="48"/>
      <c r="CB768" s="48"/>
      <c r="CC768" s="48"/>
      <c r="CD768" s="48"/>
      <c r="CE768" s="48"/>
      <c r="CF768" s="48"/>
      <c r="CG768" s="48"/>
      <c r="CH768" s="48"/>
      <c r="CI768" s="48"/>
      <c r="CJ768" s="48"/>
      <c r="CK768" s="48"/>
      <c r="CL768" s="48"/>
      <c r="CM768" s="48"/>
      <c r="CN768" s="48"/>
      <c r="CO768" s="48"/>
      <c r="CP768" s="48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  <c r="DA768" s="48"/>
      <c r="DB768" s="48"/>
      <c r="DC768" s="48"/>
      <c r="DD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175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175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  <c r="BD769" s="48"/>
      <c r="BE769" s="48"/>
      <c r="BF769" s="48"/>
      <c r="BG769" s="48"/>
      <c r="BH769" s="48"/>
      <c r="BI769" s="48"/>
      <c r="BJ769" s="48"/>
      <c r="BK769" s="48"/>
      <c r="BL769" s="48"/>
      <c r="BM769" s="48"/>
      <c r="BN769" s="48"/>
      <c r="BO769" s="48"/>
      <c r="BP769" s="48"/>
      <c r="BQ769" s="48"/>
      <c r="BR769" s="48"/>
      <c r="BS769" s="48"/>
      <c r="BT769" s="48"/>
      <c r="BU769" s="48"/>
      <c r="BV769" s="48"/>
      <c r="BW769" s="48"/>
      <c r="BX769" s="48"/>
      <c r="BY769" s="48"/>
      <c r="BZ769" s="48"/>
      <c r="CA769" s="48"/>
      <c r="CB769" s="48"/>
      <c r="CC769" s="48"/>
      <c r="CD769" s="48"/>
      <c r="CE769" s="48"/>
      <c r="CF769" s="48"/>
      <c r="CG769" s="48"/>
      <c r="CH769" s="48"/>
      <c r="CI769" s="48"/>
      <c r="CJ769" s="48"/>
      <c r="CK769" s="48"/>
      <c r="CL769" s="48"/>
      <c r="CM769" s="48"/>
      <c r="CN769" s="48"/>
      <c r="CO769" s="48"/>
      <c r="CP769" s="48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  <c r="DA769" s="48"/>
      <c r="DB769" s="48"/>
      <c r="DC769" s="48"/>
      <c r="DD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175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175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  <c r="CO770" s="48"/>
      <c r="CP770" s="48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175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175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  <c r="BD771" s="48"/>
      <c r="BE771" s="48"/>
      <c r="BF771" s="48"/>
      <c r="BG771" s="48"/>
      <c r="BH771" s="48"/>
      <c r="BI771" s="48"/>
      <c r="BJ771" s="48"/>
      <c r="BK771" s="48"/>
      <c r="BL771" s="48"/>
      <c r="BM771" s="48"/>
      <c r="BN771" s="48"/>
      <c r="BO771" s="48"/>
      <c r="BP771" s="48"/>
      <c r="BQ771" s="48"/>
      <c r="BR771" s="48"/>
      <c r="BS771" s="48"/>
      <c r="BT771" s="48"/>
      <c r="BU771" s="48"/>
      <c r="BV771" s="48"/>
      <c r="BW771" s="48"/>
      <c r="BX771" s="48"/>
      <c r="BY771" s="48"/>
      <c r="BZ771" s="48"/>
      <c r="CA771" s="48"/>
      <c r="CB771" s="48"/>
      <c r="CC771" s="48"/>
      <c r="CD771" s="48"/>
      <c r="CE771" s="48"/>
      <c r="CF771" s="48"/>
      <c r="CG771" s="48"/>
      <c r="CH771" s="48"/>
      <c r="CI771" s="48"/>
      <c r="CJ771" s="48"/>
      <c r="CK771" s="48"/>
      <c r="CL771" s="48"/>
      <c r="CM771" s="48"/>
      <c r="CN771" s="48"/>
      <c r="CO771" s="48"/>
      <c r="CP771" s="48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  <c r="DA771" s="48"/>
      <c r="DB771" s="48"/>
      <c r="DC771" s="48"/>
      <c r="DD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175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175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8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175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175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  <c r="BD773" s="48"/>
      <c r="BE773" s="48"/>
      <c r="BF773" s="48"/>
      <c r="BG773" s="48"/>
      <c r="BH773" s="48"/>
      <c r="BI773" s="48"/>
      <c r="BJ773" s="48"/>
      <c r="BK773" s="48"/>
      <c r="BL773" s="48"/>
      <c r="BM773" s="48"/>
      <c r="BN773" s="48"/>
      <c r="BO773" s="48"/>
      <c r="BP773" s="48"/>
      <c r="BQ773" s="48"/>
      <c r="BR773" s="48"/>
      <c r="BS773" s="48"/>
      <c r="BT773" s="48"/>
      <c r="BU773" s="48"/>
      <c r="BV773" s="48"/>
      <c r="BW773" s="48"/>
      <c r="BX773" s="48"/>
      <c r="BY773" s="48"/>
      <c r="BZ773" s="48"/>
      <c r="CA773" s="48"/>
      <c r="CB773" s="48"/>
      <c r="CC773" s="48"/>
      <c r="CD773" s="48"/>
      <c r="CE773" s="48"/>
      <c r="CF773" s="48"/>
      <c r="CG773" s="48"/>
      <c r="CH773" s="48"/>
      <c r="CI773" s="48"/>
      <c r="CJ773" s="48"/>
      <c r="CK773" s="48"/>
      <c r="CL773" s="48"/>
      <c r="CM773" s="48"/>
      <c r="CN773" s="48"/>
      <c r="CO773" s="48"/>
      <c r="CP773" s="48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  <c r="DA773" s="48"/>
      <c r="DB773" s="48"/>
      <c r="DC773" s="48"/>
      <c r="DD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175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175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  <c r="BD774" s="48"/>
      <c r="BE774" s="48"/>
      <c r="BF774" s="48"/>
      <c r="BG774" s="48"/>
      <c r="BH774" s="48"/>
      <c r="BI774" s="48"/>
      <c r="BJ774" s="48"/>
      <c r="BK774" s="48"/>
      <c r="BL774" s="48"/>
      <c r="BM774" s="48"/>
      <c r="BN774" s="48"/>
      <c r="BO774" s="48"/>
      <c r="BP774" s="48"/>
      <c r="BQ774" s="48"/>
      <c r="BR774" s="48"/>
      <c r="BS774" s="48"/>
      <c r="BT774" s="48"/>
      <c r="BU774" s="48"/>
      <c r="BV774" s="48"/>
      <c r="BW774" s="48"/>
      <c r="BX774" s="48"/>
      <c r="BY774" s="48"/>
      <c r="BZ774" s="48"/>
      <c r="CA774" s="48"/>
      <c r="CB774" s="48"/>
      <c r="CC774" s="48"/>
      <c r="CD774" s="48"/>
      <c r="CE774" s="48"/>
      <c r="CF774" s="48"/>
      <c r="CG774" s="48"/>
      <c r="CH774" s="48"/>
      <c r="CI774" s="48"/>
      <c r="CJ774" s="48"/>
      <c r="CK774" s="48"/>
      <c r="CL774" s="48"/>
      <c r="CM774" s="48"/>
      <c r="CN774" s="48"/>
      <c r="CO774" s="48"/>
      <c r="CP774" s="48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  <c r="DA774" s="48"/>
      <c r="DB774" s="48"/>
      <c r="DC774" s="48"/>
      <c r="DD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175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175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  <c r="BD775" s="48"/>
      <c r="BE775" s="48"/>
      <c r="BF775" s="48"/>
      <c r="BG775" s="48"/>
      <c r="BH775" s="48"/>
      <c r="BI775" s="48"/>
      <c r="BJ775" s="48"/>
      <c r="BK775" s="48"/>
      <c r="BL775" s="48"/>
      <c r="BM775" s="48"/>
      <c r="BN775" s="48"/>
      <c r="BO775" s="48"/>
      <c r="BP775" s="48"/>
      <c r="BQ775" s="48"/>
      <c r="BR775" s="48"/>
      <c r="BS775" s="48"/>
      <c r="BT775" s="48"/>
      <c r="BU775" s="48"/>
      <c r="BV775" s="48"/>
      <c r="BW775" s="48"/>
      <c r="BX775" s="48"/>
      <c r="BY775" s="48"/>
      <c r="BZ775" s="48"/>
      <c r="CA775" s="48"/>
      <c r="CB775" s="48"/>
      <c r="CC775" s="48"/>
      <c r="CD775" s="48"/>
      <c r="CE775" s="48"/>
      <c r="CF775" s="48"/>
      <c r="CG775" s="48"/>
      <c r="CH775" s="48"/>
      <c r="CI775" s="48"/>
      <c r="CJ775" s="48"/>
      <c r="CK775" s="48"/>
      <c r="CL775" s="48"/>
      <c r="CM775" s="48"/>
      <c r="CN775" s="48"/>
      <c r="CO775" s="48"/>
      <c r="CP775" s="48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  <c r="DA775" s="48"/>
      <c r="DB775" s="48"/>
      <c r="DC775" s="48"/>
      <c r="DD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175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175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  <c r="BD776" s="48"/>
      <c r="BE776" s="48"/>
      <c r="BF776" s="48"/>
      <c r="BG776" s="48"/>
      <c r="BH776" s="48"/>
      <c r="BI776" s="48"/>
      <c r="BJ776" s="48"/>
      <c r="BK776" s="48"/>
      <c r="BL776" s="48"/>
      <c r="BM776" s="48"/>
      <c r="BN776" s="48"/>
      <c r="BO776" s="48"/>
      <c r="BP776" s="48"/>
      <c r="BQ776" s="48"/>
      <c r="BR776" s="48"/>
      <c r="BS776" s="48"/>
      <c r="BT776" s="48"/>
      <c r="BU776" s="48"/>
      <c r="BV776" s="48"/>
      <c r="BW776" s="48"/>
      <c r="BX776" s="48"/>
      <c r="BY776" s="48"/>
      <c r="BZ776" s="48"/>
      <c r="CA776" s="48"/>
      <c r="CB776" s="48"/>
      <c r="CC776" s="48"/>
      <c r="CD776" s="48"/>
      <c r="CE776" s="48"/>
      <c r="CF776" s="48"/>
      <c r="CG776" s="48"/>
      <c r="CH776" s="48"/>
      <c r="CI776" s="48"/>
      <c r="CJ776" s="48"/>
      <c r="CK776" s="48"/>
      <c r="CL776" s="48"/>
      <c r="CM776" s="48"/>
      <c r="CN776" s="48"/>
      <c r="CO776" s="48"/>
      <c r="CP776" s="48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  <c r="DA776" s="48"/>
      <c r="DB776" s="48"/>
      <c r="DC776" s="48"/>
      <c r="DD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175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175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/>
      <c r="BJ777" s="48"/>
      <c r="BK777" s="48"/>
      <c r="BL777" s="48"/>
      <c r="BM777" s="48"/>
      <c r="BN777" s="48"/>
      <c r="BO777" s="48"/>
      <c r="BP777" s="48"/>
      <c r="BQ777" s="48"/>
      <c r="BR777" s="48"/>
      <c r="BS777" s="48"/>
      <c r="BT777" s="48"/>
      <c r="BU777" s="48"/>
      <c r="BV777" s="48"/>
      <c r="BW777" s="48"/>
      <c r="BX777" s="48"/>
      <c r="BY777" s="48"/>
      <c r="BZ777" s="48"/>
      <c r="CA777" s="48"/>
      <c r="CB777" s="48"/>
      <c r="CC777" s="48"/>
      <c r="CD777" s="48"/>
      <c r="CE777" s="48"/>
      <c r="CF777" s="48"/>
      <c r="CG777" s="48"/>
      <c r="CH777" s="48"/>
      <c r="CI777" s="48"/>
      <c r="CJ777" s="48"/>
      <c r="CK777" s="48"/>
      <c r="CL777" s="48"/>
      <c r="CM777" s="48"/>
      <c r="CN777" s="48"/>
      <c r="CO777" s="48"/>
      <c r="CP777" s="48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  <c r="DA777" s="48"/>
      <c r="DB777" s="48"/>
      <c r="DC777" s="48"/>
      <c r="DD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175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175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8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175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175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  <c r="BD779" s="48"/>
      <c r="BE779" s="48"/>
      <c r="BF779" s="48"/>
      <c r="BG779" s="48"/>
      <c r="BH779" s="48"/>
      <c r="BI779" s="48"/>
      <c r="BJ779" s="48"/>
      <c r="BK779" s="48"/>
      <c r="BL779" s="48"/>
      <c r="BM779" s="48"/>
      <c r="BN779" s="48"/>
      <c r="BO779" s="48"/>
      <c r="BP779" s="48"/>
      <c r="BQ779" s="48"/>
      <c r="BR779" s="48"/>
      <c r="BS779" s="48"/>
      <c r="BT779" s="48"/>
      <c r="BU779" s="48"/>
      <c r="BV779" s="48"/>
      <c r="BW779" s="48"/>
      <c r="BX779" s="48"/>
      <c r="BY779" s="48"/>
      <c r="BZ779" s="48"/>
      <c r="CA779" s="48"/>
      <c r="CB779" s="48"/>
      <c r="CC779" s="48"/>
      <c r="CD779" s="48"/>
      <c r="CE779" s="48"/>
      <c r="CF779" s="48"/>
      <c r="CG779" s="48"/>
      <c r="CH779" s="48"/>
      <c r="CI779" s="48"/>
      <c r="CJ779" s="48"/>
      <c r="CK779" s="48"/>
      <c r="CL779" s="48"/>
      <c r="CM779" s="48"/>
      <c r="CN779" s="48"/>
      <c r="CO779" s="48"/>
      <c r="CP779" s="48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  <c r="DA779" s="48"/>
      <c r="DB779" s="48"/>
      <c r="DC779" s="48"/>
      <c r="DD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175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175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  <c r="BD780" s="48"/>
      <c r="BE780" s="48"/>
      <c r="BF780" s="48"/>
      <c r="BG780" s="48"/>
      <c r="BH780" s="48"/>
      <c r="BI780" s="48"/>
      <c r="BJ780" s="48"/>
      <c r="BK780" s="48"/>
      <c r="BL780" s="48"/>
      <c r="BM780" s="48"/>
      <c r="BN780" s="48"/>
      <c r="BO780" s="48"/>
      <c r="BP780" s="48"/>
      <c r="BQ780" s="48"/>
      <c r="BR780" s="48"/>
      <c r="BS780" s="48"/>
      <c r="BT780" s="48"/>
      <c r="BU780" s="48"/>
      <c r="BV780" s="48"/>
      <c r="BW780" s="48"/>
      <c r="BX780" s="48"/>
      <c r="BY780" s="48"/>
      <c r="BZ780" s="48"/>
      <c r="CA780" s="48"/>
      <c r="CB780" s="48"/>
      <c r="CC780" s="48"/>
      <c r="CD780" s="48"/>
      <c r="CE780" s="48"/>
      <c r="CF780" s="48"/>
      <c r="CG780" s="48"/>
      <c r="CH780" s="48"/>
      <c r="CI780" s="48"/>
      <c r="CJ780" s="48"/>
      <c r="CK780" s="48"/>
      <c r="CL780" s="48"/>
      <c r="CM780" s="48"/>
      <c r="CN780" s="48"/>
      <c r="CO780" s="48"/>
      <c r="CP780" s="48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  <c r="DA780" s="48"/>
      <c r="DB780" s="48"/>
      <c r="DC780" s="48"/>
      <c r="DD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175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175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  <c r="BD781" s="48"/>
      <c r="BE781" s="48"/>
      <c r="BF781" s="48"/>
      <c r="BG781" s="48"/>
      <c r="BH781" s="48"/>
      <c r="BI781" s="48"/>
      <c r="BJ781" s="48"/>
      <c r="BK781" s="48"/>
      <c r="BL781" s="48"/>
      <c r="BM781" s="48"/>
      <c r="BN781" s="48"/>
      <c r="BO781" s="48"/>
      <c r="BP781" s="48"/>
      <c r="BQ781" s="48"/>
      <c r="BR781" s="48"/>
      <c r="BS781" s="48"/>
      <c r="BT781" s="48"/>
      <c r="BU781" s="48"/>
      <c r="BV781" s="48"/>
      <c r="BW781" s="48"/>
      <c r="BX781" s="48"/>
      <c r="BY781" s="48"/>
      <c r="BZ781" s="48"/>
      <c r="CA781" s="48"/>
      <c r="CB781" s="48"/>
      <c r="CC781" s="48"/>
      <c r="CD781" s="48"/>
      <c r="CE781" s="48"/>
      <c r="CF781" s="48"/>
      <c r="CG781" s="48"/>
      <c r="CH781" s="48"/>
      <c r="CI781" s="48"/>
      <c r="CJ781" s="48"/>
      <c r="CK781" s="48"/>
      <c r="CL781" s="48"/>
      <c r="CM781" s="48"/>
      <c r="CN781" s="48"/>
      <c r="CO781" s="48"/>
      <c r="CP781" s="48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  <c r="DA781" s="48"/>
      <c r="DB781" s="48"/>
      <c r="DC781" s="48"/>
      <c r="DD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175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175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  <c r="BD782" s="48"/>
      <c r="BE782" s="48"/>
      <c r="BF782" s="48"/>
      <c r="BG782" s="48"/>
      <c r="BH782" s="48"/>
      <c r="BI782" s="48"/>
      <c r="BJ782" s="48"/>
      <c r="BK782" s="48"/>
      <c r="BL782" s="48"/>
      <c r="BM782" s="48"/>
      <c r="BN782" s="48"/>
      <c r="BO782" s="48"/>
      <c r="BP782" s="48"/>
      <c r="BQ782" s="48"/>
      <c r="BR782" s="48"/>
      <c r="BS782" s="48"/>
      <c r="BT782" s="48"/>
      <c r="BU782" s="48"/>
      <c r="BV782" s="48"/>
      <c r="BW782" s="48"/>
      <c r="BX782" s="48"/>
      <c r="BY782" s="48"/>
      <c r="BZ782" s="48"/>
      <c r="CA782" s="48"/>
      <c r="CB782" s="48"/>
      <c r="CC782" s="48"/>
      <c r="CD782" s="48"/>
      <c r="CE782" s="48"/>
      <c r="CF782" s="48"/>
      <c r="CG782" s="48"/>
      <c r="CH782" s="48"/>
      <c r="CI782" s="48"/>
      <c r="CJ782" s="48"/>
      <c r="CK782" s="48"/>
      <c r="CL782" s="48"/>
      <c r="CM782" s="48"/>
      <c r="CN782" s="48"/>
      <c r="CO782" s="48"/>
      <c r="CP782" s="48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  <c r="DA782" s="48"/>
      <c r="DB782" s="48"/>
      <c r="DC782" s="48"/>
      <c r="DD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175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175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  <c r="BD783" s="48"/>
      <c r="BE783" s="48"/>
      <c r="BF783" s="48"/>
      <c r="BG783" s="48"/>
      <c r="BH783" s="48"/>
      <c r="BI783" s="48"/>
      <c r="BJ783" s="48"/>
      <c r="BK783" s="48"/>
      <c r="BL783" s="48"/>
      <c r="BM783" s="48"/>
      <c r="BN783" s="48"/>
      <c r="BO783" s="48"/>
      <c r="BP783" s="48"/>
      <c r="BQ783" s="48"/>
      <c r="BR783" s="48"/>
      <c r="BS783" s="48"/>
      <c r="BT783" s="48"/>
      <c r="BU783" s="48"/>
      <c r="BV783" s="48"/>
      <c r="BW783" s="48"/>
      <c r="BX783" s="48"/>
      <c r="BY783" s="48"/>
      <c r="BZ783" s="48"/>
      <c r="CA783" s="48"/>
      <c r="CB783" s="48"/>
      <c r="CC783" s="48"/>
      <c r="CD783" s="48"/>
      <c r="CE783" s="48"/>
      <c r="CF783" s="48"/>
      <c r="CG783" s="48"/>
      <c r="CH783" s="48"/>
      <c r="CI783" s="48"/>
      <c r="CJ783" s="48"/>
      <c r="CK783" s="48"/>
      <c r="CL783" s="48"/>
      <c r="CM783" s="48"/>
      <c r="CN783" s="48"/>
      <c r="CO783" s="48"/>
      <c r="CP783" s="48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  <c r="DA783" s="48"/>
      <c r="DB783" s="48"/>
      <c r="DC783" s="48"/>
      <c r="DD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175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175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  <c r="BD784" s="48"/>
      <c r="BE784" s="48"/>
      <c r="BF784" s="48"/>
      <c r="BG784" s="48"/>
      <c r="BH784" s="48"/>
      <c r="BI784" s="48"/>
      <c r="BJ784" s="48"/>
      <c r="BK784" s="48"/>
      <c r="BL784" s="48"/>
      <c r="BM784" s="48"/>
      <c r="BN784" s="48"/>
      <c r="BO784" s="48"/>
      <c r="BP784" s="48"/>
      <c r="BQ784" s="48"/>
      <c r="BR784" s="48"/>
      <c r="BS784" s="48"/>
      <c r="BT784" s="48"/>
      <c r="BU784" s="48"/>
      <c r="BV784" s="48"/>
      <c r="BW784" s="48"/>
      <c r="BX784" s="48"/>
      <c r="BY784" s="48"/>
      <c r="BZ784" s="48"/>
      <c r="CA784" s="48"/>
      <c r="CB784" s="48"/>
      <c r="CC784" s="48"/>
      <c r="CD784" s="48"/>
      <c r="CE784" s="48"/>
      <c r="CF784" s="48"/>
      <c r="CG784" s="48"/>
      <c r="CH784" s="48"/>
      <c r="CI784" s="48"/>
      <c r="CJ784" s="48"/>
      <c r="CK784" s="48"/>
      <c r="CL784" s="48"/>
      <c r="CM784" s="48"/>
      <c r="CN784" s="48"/>
      <c r="CO784" s="48"/>
      <c r="CP784" s="48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  <c r="DA784" s="48"/>
      <c r="DB784" s="48"/>
      <c r="DC784" s="48"/>
      <c r="DD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175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175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  <c r="BD785" s="48"/>
      <c r="BE785" s="48"/>
      <c r="BF785" s="48"/>
      <c r="BG785" s="48"/>
      <c r="BH785" s="48"/>
      <c r="BI785" s="48"/>
      <c r="BJ785" s="48"/>
      <c r="BK785" s="48"/>
      <c r="BL785" s="48"/>
      <c r="BM785" s="48"/>
      <c r="BN785" s="48"/>
      <c r="BO785" s="48"/>
      <c r="BP785" s="48"/>
      <c r="BQ785" s="48"/>
      <c r="BR785" s="48"/>
      <c r="BS785" s="48"/>
      <c r="BT785" s="48"/>
      <c r="BU785" s="48"/>
      <c r="BV785" s="48"/>
      <c r="BW785" s="48"/>
      <c r="BX785" s="48"/>
      <c r="BY785" s="48"/>
      <c r="BZ785" s="48"/>
      <c r="CA785" s="48"/>
      <c r="CB785" s="48"/>
      <c r="CC785" s="48"/>
      <c r="CD785" s="48"/>
      <c r="CE785" s="48"/>
      <c r="CF785" s="48"/>
      <c r="CG785" s="48"/>
      <c r="CH785" s="48"/>
      <c r="CI785" s="48"/>
      <c r="CJ785" s="48"/>
      <c r="CK785" s="48"/>
      <c r="CL785" s="48"/>
      <c r="CM785" s="48"/>
      <c r="CN785" s="48"/>
      <c r="CO785" s="48"/>
      <c r="CP785" s="48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  <c r="DA785" s="48"/>
      <c r="DB785" s="48"/>
      <c r="DC785" s="48"/>
      <c r="DD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175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175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  <c r="BD786" s="48"/>
      <c r="BE786" s="48"/>
      <c r="BF786" s="48"/>
      <c r="BG786" s="48"/>
      <c r="BH786" s="48"/>
      <c r="BI786" s="48"/>
      <c r="BJ786" s="48"/>
      <c r="BK786" s="48"/>
      <c r="BL786" s="48"/>
      <c r="BM786" s="48"/>
      <c r="BN786" s="48"/>
      <c r="BO786" s="48"/>
      <c r="BP786" s="48"/>
      <c r="BQ786" s="48"/>
      <c r="BR786" s="48"/>
      <c r="BS786" s="48"/>
      <c r="BT786" s="48"/>
      <c r="BU786" s="48"/>
      <c r="BV786" s="48"/>
      <c r="BW786" s="48"/>
      <c r="BX786" s="48"/>
      <c r="BY786" s="48"/>
      <c r="BZ786" s="48"/>
      <c r="CA786" s="48"/>
      <c r="CB786" s="48"/>
      <c r="CC786" s="48"/>
      <c r="CD786" s="48"/>
      <c r="CE786" s="48"/>
      <c r="CF786" s="48"/>
      <c r="CG786" s="48"/>
      <c r="CH786" s="48"/>
      <c r="CI786" s="48"/>
      <c r="CJ786" s="48"/>
      <c r="CK786" s="48"/>
      <c r="CL786" s="48"/>
      <c r="CM786" s="48"/>
      <c r="CN786" s="48"/>
      <c r="CO786" s="48"/>
      <c r="CP786" s="48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  <c r="DA786" s="48"/>
      <c r="DB786" s="48"/>
      <c r="DC786" s="48"/>
      <c r="DD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175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175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  <c r="BD787" s="48"/>
      <c r="BE787" s="48"/>
      <c r="BF787" s="48"/>
      <c r="BG787" s="48"/>
      <c r="BH787" s="48"/>
      <c r="BI787" s="48"/>
      <c r="BJ787" s="48"/>
      <c r="BK787" s="48"/>
      <c r="BL787" s="48"/>
      <c r="BM787" s="48"/>
      <c r="BN787" s="48"/>
      <c r="BO787" s="48"/>
      <c r="BP787" s="48"/>
      <c r="BQ787" s="48"/>
      <c r="BR787" s="48"/>
      <c r="BS787" s="48"/>
      <c r="BT787" s="48"/>
      <c r="BU787" s="48"/>
      <c r="BV787" s="48"/>
      <c r="BW787" s="48"/>
      <c r="BX787" s="48"/>
      <c r="BY787" s="48"/>
      <c r="BZ787" s="48"/>
      <c r="CA787" s="48"/>
      <c r="CB787" s="48"/>
      <c r="CC787" s="48"/>
      <c r="CD787" s="48"/>
      <c r="CE787" s="48"/>
      <c r="CF787" s="48"/>
      <c r="CG787" s="48"/>
      <c r="CH787" s="48"/>
      <c r="CI787" s="48"/>
      <c r="CJ787" s="48"/>
      <c r="CK787" s="48"/>
      <c r="CL787" s="48"/>
      <c r="CM787" s="48"/>
      <c r="CN787" s="48"/>
      <c r="CO787" s="48"/>
      <c r="CP787" s="48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  <c r="DA787" s="48"/>
      <c r="DB787" s="48"/>
      <c r="DC787" s="48"/>
      <c r="DD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175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175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  <c r="BD788" s="48"/>
      <c r="BE788" s="48"/>
      <c r="BF788" s="48"/>
      <c r="BG788" s="48"/>
      <c r="BH788" s="48"/>
      <c r="BI788" s="48"/>
      <c r="BJ788" s="48"/>
      <c r="BK788" s="48"/>
      <c r="BL788" s="48"/>
      <c r="BM788" s="48"/>
      <c r="BN788" s="48"/>
      <c r="BO788" s="48"/>
      <c r="BP788" s="48"/>
      <c r="BQ788" s="48"/>
      <c r="BR788" s="48"/>
      <c r="BS788" s="48"/>
      <c r="BT788" s="48"/>
      <c r="BU788" s="48"/>
      <c r="BV788" s="48"/>
      <c r="BW788" s="48"/>
      <c r="BX788" s="48"/>
      <c r="BY788" s="48"/>
      <c r="BZ788" s="48"/>
      <c r="CA788" s="48"/>
      <c r="CB788" s="48"/>
      <c r="CC788" s="48"/>
      <c r="CD788" s="48"/>
      <c r="CE788" s="48"/>
      <c r="CF788" s="48"/>
      <c r="CG788" s="48"/>
      <c r="CH788" s="48"/>
      <c r="CI788" s="48"/>
      <c r="CJ788" s="48"/>
      <c r="CK788" s="48"/>
      <c r="CL788" s="48"/>
      <c r="CM788" s="48"/>
      <c r="CN788" s="48"/>
      <c r="CO788" s="48"/>
      <c r="CP788" s="48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  <c r="DA788" s="48"/>
      <c r="DB788" s="48"/>
      <c r="DC788" s="48"/>
      <c r="DD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175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175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  <c r="BD789" s="48"/>
      <c r="BE789" s="48"/>
      <c r="BF789" s="48"/>
      <c r="BG789" s="48"/>
      <c r="BH789" s="48"/>
      <c r="BI789" s="48"/>
      <c r="BJ789" s="48"/>
      <c r="BK789" s="48"/>
      <c r="BL789" s="48"/>
      <c r="BM789" s="48"/>
      <c r="BN789" s="48"/>
      <c r="BO789" s="48"/>
      <c r="BP789" s="48"/>
      <c r="BQ789" s="48"/>
      <c r="BR789" s="48"/>
      <c r="BS789" s="48"/>
      <c r="BT789" s="48"/>
      <c r="BU789" s="48"/>
      <c r="BV789" s="48"/>
      <c r="BW789" s="48"/>
      <c r="BX789" s="48"/>
      <c r="BY789" s="48"/>
      <c r="BZ789" s="48"/>
      <c r="CA789" s="48"/>
      <c r="CB789" s="48"/>
      <c r="CC789" s="48"/>
      <c r="CD789" s="48"/>
      <c r="CE789" s="48"/>
      <c r="CF789" s="48"/>
      <c r="CG789" s="48"/>
      <c r="CH789" s="48"/>
      <c r="CI789" s="48"/>
      <c r="CJ789" s="48"/>
      <c r="CK789" s="48"/>
      <c r="CL789" s="48"/>
      <c r="CM789" s="48"/>
      <c r="CN789" s="48"/>
      <c r="CO789" s="48"/>
      <c r="CP789" s="48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  <c r="DA789" s="48"/>
      <c r="DB789" s="48"/>
      <c r="DC789" s="48"/>
      <c r="DD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175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175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  <c r="BD790" s="48"/>
      <c r="BE790" s="48"/>
      <c r="BF790" s="48"/>
      <c r="BG790" s="48"/>
      <c r="BH790" s="48"/>
      <c r="BI790" s="48"/>
      <c r="BJ790" s="48"/>
      <c r="BK790" s="48"/>
      <c r="BL790" s="48"/>
      <c r="BM790" s="48"/>
      <c r="BN790" s="48"/>
      <c r="BO790" s="48"/>
      <c r="BP790" s="48"/>
      <c r="BQ790" s="48"/>
      <c r="BR790" s="48"/>
      <c r="BS790" s="48"/>
      <c r="BT790" s="48"/>
      <c r="BU790" s="48"/>
      <c r="BV790" s="48"/>
      <c r="BW790" s="48"/>
      <c r="BX790" s="48"/>
      <c r="BY790" s="48"/>
      <c r="BZ790" s="48"/>
      <c r="CA790" s="48"/>
      <c r="CB790" s="48"/>
      <c r="CC790" s="48"/>
      <c r="CD790" s="48"/>
      <c r="CE790" s="48"/>
      <c r="CF790" s="48"/>
      <c r="CG790" s="48"/>
      <c r="CH790" s="48"/>
      <c r="CI790" s="48"/>
      <c r="CJ790" s="48"/>
      <c r="CK790" s="48"/>
      <c r="CL790" s="48"/>
      <c r="CM790" s="48"/>
      <c r="CN790" s="48"/>
      <c r="CO790" s="48"/>
      <c r="CP790" s="48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  <c r="DA790" s="48"/>
      <c r="DB790" s="48"/>
      <c r="DC790" s="48"/>
      <c r="DD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175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175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  <c r="CO791" s="48"/>
      <c r="CP791" s="48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175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175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  <c r="BD792" s="48"/>
      <c r="BE792" s="48"/>
      <c r="BF792" s="48"/>
      <c r="BG792" s="48"/>
      <c r="BH792" s="48"/>
      <c r="BI792" s="48"/>
      <c r="BJ792" s="48"/>
      <c r="BK792" s="48"/>
      <c r="BL792" s="48"/>
      <c r="BM792" s="48"/>
      <c r="BN792" s="48"/>
      <c r="BO792" s="48"/>
      <c r="BP792" s="48"/>
      <c r="BQ792" s="48"/>
      <c r="BR792" s="48"/>
      <c r="BS792" s="48"/>
      <c r="BT792" s="48"/>
      <c r="BU792" s="48"/>
      <c r="BV792" s="48"/>
      <c r="BW792" s="48"/>
      <c r="BX792" s="48"/>
      <c r="BY792" s="48"/>
      <c r="BZ792" s="48"/>
      <c r="CA792" s="48"/>
      <c r="CB792" s="48"/>
      <c r="CC792" s="48"/>
      <c r="CD792" s="48"/>
      <c r="CE792" s="48"/>
      <c r="CF792" s="48"/>
      <c r="CG792" s="48"/>
      <c r="CH792" s="48"/>
      <c r="CI792" s="48"/>
      <c r="CJ792" s="48"/>
      <c r="CK792" s="48"/>
      <c r="CL792" s="48"/>
      <c r="CM792" s="48"/>
      <c r="CN792" s="48"/>
      <c r="CO792" s="48"/>
      <c r="CP792" s="48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  <c r="DA792" s="48"/>
      <c r="DB792" s="48"/>
      <c r="DC792" s="48"/>
      <c r="DD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175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175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  <c r="BD793" s="48"/>
      <c r="BE793" s="48"/>
      <c r="BF793" s="48"/>
      <c r="BG793" s="48"/>
      <c r="BH793" s="48"/>
      <c r="BI793" s="48"/>
      <c r="BJ793" s="48"/>
      <c r="BK793" s="48"/>
      <c r="BL793" s="48"/>
      <c r="BM793" s="48"/>
      <c r="BN793" s="48"/>
      <c r="BO793" s="48"/>
      <c r="BP793" s="48"/>
      <c r="BQ793" s="48"/>
      <c r="BR793" s="48"/>
      <c r="BS793" s="48"/>
      <c r="BT793" s="48"/>
      <c r="BU793" s="48"/>
      <c r="BV793" s="48"/>
      <c r="BW793" s="48"/>
      <c r="BX793" s="48"/>
      <c r="BY793" s="48"/>
      <c r="BZ793" s="48"/>
      <c r="CA793" s="48"/>
      <c r="CB793" s="48"/>
      <c r="CC793" s="48"/>
      <c r="CD793" s="48"/>
      <c r="CE793" s="48"/>
      <c r="CF793" s="48"/>
      <c r="CG793" s="48"/>
      <c r="CH793" s="48"/>
      <c r="CI793" s="48"/>
      <c r="CJ793" s="48"/>
      <c r="CK793" s="48"/>
      <c r="CL793" s="48"/>
      <c r="CM793" s="48"/>
      <c r="CN793" s="48"/>
      <c r="CO793" s="48"/>
      <c r="CP793" s="48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  <c r="DA793" s="48"/>
      <c r="DB793" s="48"/>
      <c r="DC793" s="48"/>
      <c r="DD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175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175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  <c r="CO794" s="48"/>
      <c r="CP794" s="48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175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175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  <c r="BD795" s="48"/>
      <c r="BE795" s="48"/>
      <c r="BF795" s="48"/>
      <c r="BG795" s="48"/>
      <c r="BH795" s="48"/>
      <c r="BI795" s="48"/>
      <c r="BJ795" s="48"/>
      <c r="BK795" s="48"/>
      <c r="BL795" s="48"/>
      <c r="BM795" s="48"/>
      <c r="BN795" s="48"/>
      <c r="BO795" s="48"/>
      <c r="BP795" s="48"/>
      <c r="BQ795" s="48"/>
      <c r="BR795" s="48"/>
      <c r="BS795" s="48"/>
      <c r="BT795" s="48"/>
      <c r="BU795" s="48"/>
      <c r="BV795" s="48"/>
      <c r="BW795" s="48"/>
      <c r="BX795" s="48"/>
      <c r="BY795" s="48"/>
      <c r="BZ795" s="48"/>
      <c r="CA795" s="48"/>
      <c r="CB795" s="48"/>
      <c r="CC795" s="48"/>
      <c r="CD795" s="48"/>
      <c r="CE795" s="48"/>
      <c r="CF795" s="48"/>
      <c r="CG795" s="48"/>
      <c r="CH795" s="48"/>
      <c r="CI795" s="48"/>
      <c r="CJ795" s="48"/>
      <c r="CK795" s="48"/>
      <c r="CL795" s="48"/>
      <c r="CM795" s="48"/>
      <c r="CN795" s="48"/>
      <c r="CO795" s="48"/>
      <c r="CP795" s="48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  <c r="DA795" s="48"/>
      <c r="DB795" s="48"/>
      <c r="DC795" s="48"/>
      <c r="DD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175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175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  <c r="BD796" s="48"/>
      <c r="BE796" s="48"/>
      <c r="BF796" s="48"/>
      <c r="BG796" s="48"/>
      <c r="BH796" s="48"/>
      <c r="BI796" s="48"/>
      <c r="BJ796" s="48"/>
      <c r="BK796" s="48"/>
      <c r="BL796" s="48"/>
      <c r="BM796" s="48"/>
      <c r="BN796" s="48"/>
      <c r="BO796" s="48"/>
      <c r="BP796" s="48"/>
      <c r="BQ796" s="48"/>
      <c r="BR796" s="48"/>
      <c r="BS796" s="48"/>
      <c r="BT796" s="48"/>
      <c r="BU796" s="48"/>
      <c r="BV796" s="48"/>
      <c r="BW796" s="48"/>
      <c r="BX796" s="48"/>
      <c r="BY796" s="48"/>
      <c r="BZ796" s="48"/>
      <c r="CA796" s="48"/>
      <c r="CB796" s="48"/>
      <c r="CC796" s="48"/>
      <c r="CD796" s="48"/>
      <c r="CE796" s="48"/>
      <c r="CF796" s="48"/>
      <c r="CG796" s="48"/>
      <c r="CH796" s="48"/>
      <c r="CI796" s="48"/>
      <c r="CJ796" s="48"/>
      <c r="CK796" s="48"/>
      <c r="CL796" s="48"/>
      <c r="CM796" s="48"/>
      <c r="CN796" s="48"/>
      <c r="CO796" s="48"/>
      <c r="CP796" s="48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  <c r="DA796" s="48"/>
      <c r="DB796" s="48"/>
      <c r="DC796" s="48"/>
      <c r="DD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175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175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  <c r="BD797" s="48"/>
      <c r="BE797" s="48"/>
      <c r="BF797" s="48"/>
      <c r="BG797" s="48"/>
      <c r="BH797" s="48"/>
      <c r="BI797" s="48"/>
      <c r="BJ797" s="48"/>
      <c r="BK797" s="48"/>
      <c r="BL797" s="48"/>
      <c r="BM797" s="48"/>
      <c r="BN797" s="48"/>
      <c r="BO797" s="48"/>
      <c r="BP797" s="48"/>
      <c r="BQ797" s="48"/>
      <c r="BR797" s="48"/>
      <c r="BS797" s="48"/>
      <c r="BT797" s="48"/>
      <c r="BU797" s="48"/>
      <c r="BV797" s="48"/>
      <c r="BW797" s="48"/>
      <c r="BX797" s="48"/>
      <c r="BY797" s="48"/>
      <c r="BZ797" s="48"/>
      <c r="CA797" s="48"/>
      <c r="CB797" s="48"/>
      <c r="CC797" s="48"/>
      <c r="CD797" s="48"/>
      <c r="CE797" s="48"/>
      <c r="CF797" s="48"/>
      <c r="CG797" s="48"/>
      <c r="CH797" s="48"/>
      <c r="CI797" s="48"/>
      <c r="CJ797" s="48"/>
      <c r="CK797" s="48"/>
      <c r="CL797" s="48"/>
      <c r="CM797" s="48"/>
      <c r="CN797" s="48"/>
      <c r="CO797" s="48"/>
      <c r="CP797" s="48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  <c r="DA797" s="48"/>
      <c r="DB797" s="48"/>
      <c r="DC797" s="48"/>
      <c r="DD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175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175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  <c r="BD798" s="48"/>
      <c r="BE798" s="48"/>
      <c r="BF798" s="48"/>
      <c r="BG798" s="48"/>
      <c r="BH798" s="48"/>
      <c r="BI798" s="48"/>
      <c r="BJ798" s="48"/>
      <c r="BK798" s="48"/>
      <c r="BL798" s="48"/>
      <c r="BM798" s="48"/>
      <c r="BN798" s="48"/>
      <c r="BO798" s="48"/>
      <c r="BP798" s="48"/>
      <c r="BQ798" s="48"/>
      <c r="BR798" s="48"/>
      <c r="BS798" s="48"/>
      <c r="BT798" s="48"/>
      <c r="BU798" s="48"/>
      <c r="BV798" s="48"/>
      <c r="BW798" s="48"/>
      <c r="BX798" s="48"/>
      <c r="BY798" s="48"/>
      <c r="BZ798" s="48"/>
      <c r="CA798" s="48"/>
      <c r="CB798" s="48"/>
      <c r="CC798" s="48"/>
      <c r="CD798" s="48"/>
      <c r="CE798" s="48"/>
      <c r="CF798" s="48"/>
      <c r="CG798" s="48"/>
      <c r="CH798" s="48"/>
      <c r="CI798" s="48"/>
      <c r="CJ798" s="48"/>
      <c r="CK798" s="48"/>
      <c r="CL798" s="48"/>
      <c r="CM798" s="48"/>
      <c r="CN798" s="48"/>
      <c r="CO798" s="48"/>
      <c r="CP798" s="48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  <c r="DA798" s="48"/>
      <c r="DB798" s="48"/>
      <c r="DC798" s="48"/>
      <c r="DD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175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175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  <c r="BD799" s="48"/>
      <c r="BE799" s="48"/>
      <c r="BF799" s="48"/>
      <c r="BG799" s="48"/>
      <c r="BH799" s="48"/>
      <c r="BI799" s="48"/>
      <c r="BJ799" s="48"/>
      <c r="BK799" s="48"/>
      <c r="BL799" s="48"/>
      <c r="BM799" s="48"/>
      <c r="BN799" s="48"/>
      <c r="BO799" s="48"/>
      <c r="BP799" s="48"/>
      <c r="BQ799" s="48"/>
      <c r="BR799" s="48"/>
      <c r="BS799" s="48"/>
      <c r="BT799" s="48"/>
      <c r="BU799" s="48"/>
      <c r="BV799" s="48"/>
      <c r="BW799" s="48"/>
      <c r="BX799" s="48"/>
      <c r="BY799" s="48"/>
      <c r="BZ799" s="48"/>
      <c r="CA799" s="48"/>
      <c r="CB799" s="48"/>
      <c r="CC799" s="48"/>
      <c r="CD799" s="48"/>
      <c r="CE799" s="48"/>
      <c r="CF799" s="48"/>
      <c r="CG799" s="48"/>
      <c r="CH799" s="48"/>
      <c r="CI799" s="48"/>
      <c r="CJ799" s="48"/>
      <c r="CK799" s="48"/>
      <c r="CL799" s="48"/>
      <c r="CM799" s="48"/>
      <c r="CN799" s="48"/>
      <c r="CO799" s="48"/>
      <c r="CP799" s="48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  <c r="DA799" s="48"/>
      <c r="DB799" s="48"/>
      <c r="DC799" s="48"/>
      <c r="DD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175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175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  <c r="BD800" s="48"/>
      <c r="BE800" s="48"/>
      <c r="BF800" s="48"/>
      <c r="BG800" s="48"/>
      <c r="BH800" s="48"/>
      <c r="BI800" s="48"/>
      <c r="BJ800" s="48"/>
      <c r="BK800" s="48"/>
      <c r="BL800" s="48"/>
      <c r="BM800" s="48"/>
      <c r="BN800" s="48"/>
      <c r="BO800" s="48"/>
      <c r="BP800" s="48"/>
      <c r="BQ800" s="48"/>
      <c r="BR800" s="48"/>
      <c r="BS800" s="48"/>
      <c r="BT800" s="48"/>
      <c r="BU800" s="48"/>
      <c r="BV800" s="48"/>
      <c r="BW800" s="48"/>
      <c r="BX800" s="48"/>
      <c r="BY800" s="48"/>
      <c r="BZ800" s="48"/>
      <c r="CA800" s="48"/>
      <c r="CB800" s="48"/>
      <c r="CC800" s="48"/>
      <c r="CD800" s="48"/>
      <c r="CE800" s="48"/>
      <c r="CF800" s="48"/>
      <c r="CG800" s="48"/>
      <c r="CH800" s="48"/>
      <c r="CI800" s="48"/>
      <c r="CJ800" s="48"/>
      <c r="CK800" s="48"/>
      <c r="CL800" s="48"/>
      <c r="CM800" s="48"/>
      <c r="CN800" s="48"/>
      <c r="CO800" s="48"/>
      <c r="CP800" s="48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  <c r="DA800" s="48"/>
      <c r="DB800" s="48"/>
      <c r="DC800" s="48"/>
      <c r="DD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175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175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  <c r="BD801" s="48"/>
      <c r="BE801" s="48"/>
      <c r="BF801" s="48"/>
      <c r="BG801" s="48"/>
      <c r="BH801" s="48"/>
      <c r="BI801" s="48"/>
      <c r="BJ801" s="48"/>
      <c r="BK801" s="48"/>
      <c r="BL801" s="48"/>
      <c r="BM801" s="48"/>
      <c r="BN801" s="48"/>
      <c r="BO801" s="48"/>
      <c r="BP801" s="48"/>
      <c r="BQ801" s="48"/>
      <c r="BR801" s="48"/>
      <c r="BS801" s="48"/>
      <c r="BT801" s="48"/>
      <c r="BU801" s="48"/>
      <c r="BV801" s="48"/>
      <c r="BW801" s="48"/>
      <c r="BX801" s="48"/>
      <c r="BY801" s="48"/>
      <c r="BZ801" s="48"/>
      <c r="CA801" s="48"/>
      <c r="CB801" s="48"/>
      <c r="CC801" s="48"/>
      <c r="CD801" s="48"/>
      <c r="CE801" s="48"/>
      <c r="CF801" s="48"/>
      <c r="CG801" s="48"/>
      <c r="CH801" s="48"/>
      <c r="CI801" s="48"/>
      <c r="CJ801" s="48"/>
      <c r="CK801" s="48"/>
      <c r="CL801" s="48"/>
      <c r="CM801" s="48"/>
      <c r="CN801" s="48"/>
      <c r="CO801" s="48"/>
      <c r="CP801" s="48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  <c r="DA801" s="48"/>
      <c r="DB801" s="48"/>
      <c r="DC801" s="48"/>
      <c r="DD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175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175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8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175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175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  <c r="BD803" s="48"/>
      <c r="BE803" s="48"/>
      <c r="BF803" s="48"/>
      <c r="BG803" s="48"/>
      <c r="BH803" s="48"/>
      <c r="BI803" s="48"/>
      <c r="BJ803" s="48"/>
      <c r="BK803" s="48"/>
      <c r="BL803" s="48"/>
      <c r="BM803" s="48"/>
      <c r="BN803" s="48"/>
      <c r="BO803" s="48"/>
      <c r="BP803" s="48"/>
      <c r="BQ803" s="48"/>
      <c r="BR803" s="48"/>
      <c r="BS803" s="48"/>
      <c r="BT803" s="48"/>
      <c r="BU803" s="48"/>
      <c r="BV803" s="48"/>
      <c r="BW803" s="48"/>
      <c r="BX803" s="48"/>
      <c r="BY803" s="48"/>
      <c r="BZ803" s="48"/>
      <c r="CA803" s="48"/>
      <c r="CB803" s="48"/>
      <c r="CC803" s="48"/>
      <c r="CD803" s="48"/>
      <c r="CE803" s="48"/>
      <c r="CF803" s="48"/>
      <c r="CG803" s="48"/>
      <c r="CH803" s="48"/>
      <c r="CI803" s="48"/>
      <c r="CJ803" s="48"/>
      <c r="CK803" s="48"/>
      <c r="CL803" s="48"/>
      <c r="CM803" s="48"/>
      <c r="CN803" s="48"/>
      <c r="CO803" s="48"/>
      <c r="CP803" s="48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  <c r="DA803" s="48"/>
      <c r="DB803" s="48"/>
      <c r="DC803" s="48"/>
      <c r="DD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175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175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  <c r="BD804" s="48"/>
      <c r="BE804" s="48"/>
      <c r="BF804" s="48"/>
      <c r="BG804" s="48"/>
      <c r="BH804" s="48"/>
      <c r="BI804" s="48"/>
      <c r="BJ804" s="48"/>
      <c r="BK804" s="48"/>
      <c r="BL804" s="48"/>
      <c r="BM804" s="48"/>
      <c r="BN804" s="48"/>
      <c r="BO804" s="48"/>
      <c r="BP804" s="48"/>
      <c r="BQ804" s="48"/>
      <c r="BR804" s="48"/>
      <c r="BS804" s="48"/>
      <c r="BT804" s="48"/>
      <c r="BU804" s="48"/>
      <c r="BV804" s="48"/>
      <c r="BW804" s="48"/>
      <c r="BX804" s="48"/>
      <c r="BY804" s="48"/>
      <c r="BZ804" s="48"/>
      <c r="CA804" s="48"/>
      <c r="CB804" s="48"/>
      <c r="CC804" s="48"/>
      <c r="CD804" s="48"/>
      <c r="CE804" s="48"/>
      <c r="CF804" s="48"/>
      <c r="CG804" s="48"/>
      <c r="CH804" s="48"/>
      <c r="CI804" s="48"/>
      <c r="CJ804" s="48"/>
      <c r="CK804" s="48"/>
      <c r="CL804" s="48"/>
      <c r="CM804" s="48"/>
      <c r="CN804" s="48"/>
      <c r="CO804" s="48"/>
      <c r="CP804" s="48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  <c r="DA804" s="48"/>
      <c r="DB804" s="48"/>
      <c r="DC804" s="48"/>
      <c r="DD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175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175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  <c r="BD805" s="48"/>
      <c r="BE805" s="48"/>
      <c r="BF805" s="48"/>
      <c r="BG805" s="48"/>
      <c r="BH805" s="48"/>
      <c r="BI805" s="48"/>
      <c r="BJ805" s="48"/>
      <c r="BK805" s="48"/>
      <c r="BL805" s="48"/>
      <c r="BM805" s="48"/>
      <c r="BN805" s="48"/>
      <c r="BO805" s="48"/>
      <c r="BP805" s="48"/>
      <c r="BQ805" s="48"/>
      <c r="BR805" s="48"/>
      <c r="BS805" s="48"/>
      <c r="BT805" s="48"/>
      <c r="BU805" s="48"/>
      <c r="BV805" s="48"/>
      <c r="BW805" s="48"/>
      <c r="BX805" s="48"/>
      <c r="BY805" s="48"/>
      <c r="BZ805" s="48"/>
      <c r="CA805" s="48"/>
      <c r="CB805" s="48"/>
      <c r="CC805" s="48"/>
      <c r="CD805" s="48"/>
      <c r="CE805" s="48"/>
      <c r="CF805" s="48"/>
      <c r="CG805" s="48"/>
      <c r="CH805" s="48"/>
      <c r="CI805" s="48"/>
      <c r="CJ805" s="48"/>
      <c r="CK805" s="48"/>
      <c r="CL805" s="48"/>
      <c r="CM805" s="48"/>
      <c r="CN805" s="48"/>
      <c r="CO805" s="48"/>
      <c r="CP805" s="48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  <c r="DA805" s="48"/>
      <c r="DB805" s="48"/>
      <c r="DC805" s="48"/>
      <c r="DD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175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175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  <c r="BD806" s="48"/>
      <c r="BE806" s="48"/>
      <c r="BF806" s="48"/>
      <c r="BG806" s="48"/>
      <c r="BH806" s="48"/>
      <c r="BI806" s="48"/>
      <c r="BJ806" s="48"/>
      <c r="BK806" s="48"/>
      <c r="BL806" s="48"/>
      <c r="BM806" s="48"/>
      <c r="BN806" s="48"/>
      <c r="BO806" s="48"/>
      <c r="BP806" s="48"/>
      <c r="BQ806" s="48"/>
      <c r="BR806" s="48"/>
      <c r="BS806" s="48"/>
      <c r="BT806" s="48"/>
      <c r="BU806" s="48"/>
      <c r="BV806" s="48"/>
      <c r="BW806" s="48"/>
      <c r="BX806" s="48"/>
      <c r="BY806" s="48"/>
      <c r="BZ806" s="48"/>
      <c r="CA806" s="48"/>
      <c r="CB806" s="48"/>
      <c r="CC806" s="48"/>
      <c r="CD806" s="48"/>
      <c r="CE806" s="48"/>
      <c r="CF806" s="48"/>
      <c r="CG806" s="48"/>
      <c r="CH806" s="48"/>
      <c r="CI806" s="48"/>
      <c r="CJ806" s="48"/>
      <c r="CK806" s="48"/>
      <c r="CL806" s="48"/>
      <c r="CM806" s="48"/>
      <c r="CN806" s="48"/>
      <c r="CO806" s="48"/>
      <c r="CP806" s="48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  <c r="DA806" s="48"/>
      <c r="DB806" s="48"/>
      <c r="DC806" s="48"/>
      <c r="DD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175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175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  <c r="BD807" s="48"/>
      <c r="BE807" s="48"/>
      <c r="BF807" s="48"/>
      <c r="BG807" s="48"/>
      <c r="BH807" s="48"/>
      <c r="BI807" s="48"/>
      <c r="BJ807" s="48"/>
      <c r="BK807" s="48"/>
      <c r="BL807" s="48"/>
      <c r="BM807" s="48"/>
      <c r="BN807" s="48"/>
      <c r="BO807" s="48"/>
      <c r="BP807" s="48"/>
      <c r="BQ807" s="48"/>
      <c r="BR807" s="48"/>
      <c r="BS807" s="48"/>
      <c r="BT807" s="48"/>
      <c r="BU807" s="48"/>
      <c r="BV807" s="48"/>
      <c r="BW807" s="48"/>
      <c r="BX807" s="48"/>
      <c r="BY807" s="48"/>
      <c r="BZ807" s="48"/>
      <c r="CA807" s="48"/>
      <c r="CB807" s="48"/>
      <c r="CC807" s="48"/>
      <c r="CD807" s="48"/>
      <c r="CE807" s="48"/>
      <c r="CF807" s="48"/>
      <c r="CG807" s="48"/>
      <c r="CH807" s="48"/>
      <c r="CI807" s="48"/>
      <c r="CJ807" s="48"/>
      <c r="CK807" s="48"/>
      <c r="CL807" s="48"/>
      <c r="CM807" s="48"/>
      <c r="CN807" s="48"/>
      <c r="CO807" s="48"/>
      <c r="CP807" s="48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  <c r="DA807" s="48"/>
      <c r="DB807" s="48"/>
      <c r="DC807" s="48"/>
      <c r="DD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175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175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8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175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175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  <c r="BD809" s="48"/>
      <c r="BE809" s="48"/>
      <c r="BF809" s="48"/>
      <c r="BG809" s="48"/>
      <c r="BH809" s="48"/>
      <c r="BI809" s="48"/>
      <c r="BJ809" s="48"/>
      <c r="BK809" s="48"/>
      <c r="BL809" s="48"/>
      <c r="BM809" s="48"/>
      <c r="BN809" s="48"/>
      <c r="BO809" s="48"/>
      <c r="BP809" s="48"/>
      <c r="BQ809" s="48"/>
      <c r="BR809" s="48"/>
      <c r="BS809" s="48"/>
      <c r="BT809" s="48"/>
      <c r="BU809" s="48"/>
      <c r="BV809" s="48"/>
      <c r="BW809" s="48"/>
      <c r="BX809" s="48"/>
      <c r="BY809" s="48"/>
      <c r="BZ809" s="48"/>
      <c r="CA809" s="48"/>
      <c r="CB809" s="48"/>
      <c r="CC809" s="48"/>
      <c r="CD809" s="48"/>
      <c r="CE809" s="48"/>
      <c r="CF809" s="48"/>
      <c r="CG809" s="48"/>
      <c r="CH809" s="48"/>
      <c r="CI809" s="48"/>
      <c r="CJ809" s="48"/>
      <c r="CK809" s="48"/>
      <c r="CL809" s="48"/>
      <c r="CM809" s="48"/>
      <c r="CN809" s="48"/>
      <c r="CO809" s="48"/>
      <c r="CP809" s="48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  <c r="DA809" s="48"/>
      <c r="DB809" s="48"/>
      <c r="DC809" s="48"/>
      <c r="DD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175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175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  <c r="BD810" s="48"/>
      <c r="BE810" s="48"/>
      <c r="BF810" s="48"/>
      <c r="BG810" s="48"/>
      <c r="BH810" s="48"/>
      <c r="BI810" s="48"/>
      <c r="BJ810" s="48"/>
      <c r="BK810" s="48"/>
      <c r="BL810" s="48"/>
      <c r="BM810" s="48"/>
      <c r="BN810" s="48"/>
      <c r="BO810" s="48"/>
      <c r="BP810" s="48"/>
      <c r="BQ810" s="48"/>
      <c r="BR810" s="48"/>
      <c r="BS810" s="48"/>
      <c r="BT810" s="48"/>
      <c r="BU810" s="48"/>
      <c r="BV810" s="48"/>
      <c r="BW810" s="48"/>
      <c r="BX810" s="48"/>
      <c r="BY810" s="48"/>
      <c r="BZ810" s="48"/>
      <c r="CA810" s="48"/>
      <c r="CB810" s="48"/>
      <c r="CC810" s="48"/>
      <c r="CD810" s="48"/>
      <c r="CE810" s="48"/>
      <c r="CF810" s="48"/>
      <c r="CG810" s="48"/>
      <c r="CH810" s="48"/>
      <c r="CI810" s="48"/>
      <c r="CJ810" s="48"/>
      <c r="CK810" s="48"/>
      <c r="CL810" s="48"/>
      <c r="CM810" s="48"/>
      <c r="CN810" s="48"/>
      <c r="CO810" s="48"/>
      <c r="CP810" s="48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  <c r="DA810" s="48"/>
      <c r="DB810" s="48"/>
      <c r="DC810" s="48"/>
      <c r="DD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175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175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  <c r="BD811" s="48"/>
      <c r="BE811" s="48"/>
      <c r="BF811" s="48"/>
      <c r="BG811" s="48"/>
      <c r="BH811" s="48"/>
      <c r="BI811" s="48"/>
      <c r="BJ811" s="48"/>
      <c r="BK811" s="48"/>
      <c r="BL811" s="48"/>
      <c r="BM811" s="48"/>
      <c r="BN811" s="48"/>
      <c r="BO811" s="48"/>
      <c r="BP811" s="48"/>
      <c r="BQ811" s="48"/>
      <c r="BR811" s="48"/>
      <c r="BS811" s="48"/>
      <c r="BT811" s="48"/>
      <c r="BU811" s="48"/>
      <c r="BV811" s="48"/>
      <c r="BW811" s="48"/>
      <c r="BX811" s="48"/>
      <c r="BY811" s="48"/>
      <c r="BZ811" s="48"/>
      <c r="CA811" s="48"/>
      <c r="CB811" s="48"/>
      <c r="CC811" s="48"/>
      <c r="CD811" s="48"/>
      <c r="CE811" s="48"/>
      <c r="CF811" s="48"/>
      <c r="CG811" s="48"/>
      <c r="CH811" s="48"/>
      <c r="CI811" s="48"/>
      <c r="CJ811" s="48"/>
      <c r="CK811" s="48"/>
      <c r="CL811" s="48"/>
      <c r="CM811" s="48"/>
      <c r="CN811" s="48"/>
      <c r="CO811" s="48"/>
      <c r="CP811" s="48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  <c r="DA811" s="48"/>
      <c r="DB811" s="48"/>
      <c r="DC811" s="48"/>
      <c r="DD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175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175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  <c r="BD812" s="48"/>
      <c r="BE812" s="48"/>
      <c r="BF812" s="48"/>
      <c r="BG812" s="48"/>
      <c r="BH812" s="48"/>
      <c r="BI812" s="48"/>
      <c r="BJ812" s="48"/>
      <c r="BK812" s="48"/>
      <c r="BL812" s="48"/>
      <c r="BM812" s="48"/>
      <c r="BN812" s="48"/>
      <c r="BO812" s="48"/>
      <c r="BP812" s="48"/>
      <c r="BQ812" s="48"/>
      <c r="BR812" s="48"/>
      <c r="BS812" s="48"/>
      <c r="BT812" s="48"/>
      <c r="BU812" s="48"/>
      <c r="BV812" s="48"/>
      <c r="BW812" s="48"/>
      <c r="BX812" s="48"/>
      <c r="BY812" s="48"/>
      <c r="BZ812" s="48"/>
      <c r="CA812" s="48"/>
      <c r="CB812" s="48"/>
      <c r="CC812" s="48"/>
      <c r="CD812" s="48"/>
      <c r="CE812" s="48"/>
      <c r="CF812" s="48"/>
      <c r="CG812" s="48"/>
      <c r="CH812" s="48"/>
      <c r="CI812" s="48"/>
      <c r="CJ812" s="48"/>
      <c r="CK812" s="48"/>
      <c r="CL812" s="48"/>
      <c r="CM812" s="48"/>
      <c r="CN812" s="48"/>
      <c r="CO812" s="48"/>
      <c r="CP812" s="48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  <c r="DA812" s="48"/>
      <c r="DB812" s="48"/>
      <c r="DC812" s="48"/>
      <c r="DD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175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175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  <c r="BD813" s="48"/>
      <c r="BE813" s="48"/>
      <c r="BF813" s="48"/>
      <c r="BG813" s="48"/>
      <c r="BH813" s="48"/>
      <c r="BI813" s="48"/>
      <c r="BJ813" s="48"/>
      <c r="BK813" s="48"/>
      <c r="BL813" s="48"/>
      <c r="BM813" s="48"/>
      <c r="BN813" s="48"/>
      <c r="BO813" s="48"/>
      <c r="BP813" s="48"/>
      <c r="BQ813" s="48"/>
      <c r="BR813" s="48"/>
      <c r="BS813" s="48"/>
      <c r="BT813" s="48"/>
      <c r="BU813" s="48"/>
      <c r="BV813" s="48"/>
      <c r="BW813" s="48"/>
      <c r="BX813" s="48"/>
      <c r="BY813" s="48"/>
      <c r="BZ813" s="48"/>
      <c r="CA813" s="48"/>
      <c r="CB813" s="48"/>
      <c r="CC813" s="48"/>
      <c r="CD813" s="48"/>
      <c r="CE813" s="48"/>
      <c r="CF813" s="48"/>
      <c r="CG813" s="48"/>
      <c r="CH813" s="48"/>
      <c r="CI813" s="48"/>
      <c r="CJ813" s="48"/>
      <c r="CK813" s="48"/>
      <c r="CL813" s="48"/>
      <c r="CM813" s="48"/>
      <c r="CN813" s="48"/>
      <c r="CO813" s="48"/>
      <c r="CP813" s="48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  <c r="DA813" s="48"/>
      <c r="DB813" s="48"/>
      <c r="DC813" s="48"/>
      <c r="DD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175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175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  <c r="BD814" s="48"/>
      <c r="BE814" s="48"/>
      <c r="BF814" s="48"/>
      <c r="BG814" s="48"/>
      <c r="BH814" s="48"/>
      <c r="BI814" s="48"/>
      <c r="BJ814" s="48"/>
      <c r="BK814" s="48"/>
      <c r="BL814" s="48"/>
      <c r="BM814" s="48"/>
      <c r="BN814" s="48"/>
      <c r="BO814" s="48"/>
      <c r="BP814" s="48"/>
      <c r="BQ814" s="48"/>
      <c r="BR814" s="48"/>
      <c r="BS814" s="48"/>
      <c r="BT814" s="48"/>
      <c r="BU814" s="48"/>
      <c r="BV814" s="48"/>
      <c r="BW814" s="48"/>
      <c r="BX814" s="48"/>
      <c r="BY814" s="48"/>
      <c r="BZ814" s="48"/>
      <c r="CA814" s="48"/>
      <c r="CB814" s="48"/>
      <c r="CC814" s="48"/>
      <c r="CD814" s="48"/>
      <c r="CE814" s="48"/>
      <c r="CF814" s="48"/>
      <c r="CG814" s="48"/>
      <c r="CH814" s="48"/>
      <c r="CI814" s="48"/>
      <c r="CJ814" s="48"/>
      <c r="CK814" s="48"/>
      <c r="CL814" s="48"/>
      <c r="CM814" s="48"/>
      <c r="CN814" s="48"/>
      <c r="CO814" s="48"/>
      <c r="CP814" s="48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  <c r="DA814" s="48"/>
      <c r="DB814" s="48"/>
      <c r="DC814" s="48"/>
      <c r="DD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175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175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  <c r="CO815" s="48"/>
      <c r="CP815" s="48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175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175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  <c r="BD816" s="48"/>
      <c r="BE816" s="48"/>
      <c r="BF816" s="48"/>
      <c r="BG816" s="48"/>
      <c r="BH816" s="48"/>
      <c r="BI816" s="48"/>
      <c r="BJ816" s="48"/>
      <c r="BK816" s="48"/>
      <c r="BL816" s="48"/>
      <c r="BM816" s="48"/>
      <c r="BN816" s="48"/>
      <c r="BO816" s="48"/>
      <c r="BP816" s="48"/>
      <c r="BQ816" s="48"/>
      <c r="BR816" s="48"/>
      <c r="BS816" s="48"/>
      <c r="BT816" s="48"/>
      <c r="BU816" s="48"/>
      <c r="BV816" s="48"/>
      <c r="BW816" s="48"/>
      <c r="BX816" s="48"/>
      <c r="BY816" s="48"/>
      <c r="BZ816" s="48"/>
      <c r="CA816" s="48"/>
      <c r="CB816" s="48"/>
      <c r="CC816" s="48"/>
      <c r="CD816" s="48"/>
      <c r="CE816" s="48"/>
      <c r="CF816" s="48"/>
      <c r="CG816" s="48"/>
      <c r="CH816" s="48"/>
      <c r="CI816" s="48"/>
      <c r="CJ816" s="48"/>
      <c r="CK816" s="48"/>
      <c r="CL816" s="48"/>
      <c r="CM816" s="48"/>
      <c r="CN816" s="48"/>
      <c r="CO816" s="48"/>
      <c r="CP816" s="48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  <c r="DA816" s="48"/>
      <c r="DB816" s="48"/>
      <c r="DC816" s="48"/>
      <c r="DD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175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175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8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175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175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  <c r="BD818" s="48"/>
      <c r="BE818" s="48"/>
      <c r="BF818" s="48"/>
      <c r="BG818" s="48"/>
      <c r="BH818" s="48"/>
      <c r="BI818" s="48"/>
      <c r="BJ818" s="48"/>
      <c r="BK818" s="48"/>
      <c r="BL818" s="48"/>
      <c r="BM818" s="48"/>
      <c r="BN818" s="48"/>
      <c r="BO818" s="48"/>
      <c r="BP818" s="48"/>
      <c r="BQ818" s="48"/>
      <c r="BR818" s="48"/>
      <c r="BS818" s="48"/>
      <c r="BT818" s="48"/>
      <c r="BU818" s="48"/>
      <c r="BV818" s="48"/>
      <c r="BW818" s="48"/>
      <c r="BX818" s="48"/>
      <c r="BY818" s="48"/>
      <c r="BZ818" s="48"/>
      <c r="CA818" s="48"/>
      <c r="CB818" s="48"/>
      <c r="CC818" s="48"/>
      <c r="CD818" s="48"/>
      <c r="CE818" s="48"/>
      <c r="CF818" s="48"/>
      <c r="CG818" s="48"/>
      <c r="CH818" s="48"/>
      <c r="CI818" s="48"/>
      <c r="CJ818" s="48"/>
      <c r="CK818" s="48"/>
      <c r="CL818" s="48"/>
      <c r="CM818" s="48"/>
      <c r="CN818" s="48"/>
      <c r="CO818" s="48"/>
      <c r="CP818" s="48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  <c r="DA818" s="48"/>
      <c r="DB818" s="48"/>
      <c r="DC818" s="48"/>
      <c r="DD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175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175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  <c r="CO819" s="48"/>
      <c r="CP819" s="48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175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175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  <c r="BD820" s="48"/>
      <c r="BE820" s="48"/>
      <c r="BF820" s="48"/>
      <c r="BG820" s="48"/>
      <c r="BH820" s="48"/>
      <c r="BI820" s="48"/>
      <c r="BJ820" s="48"/>
      <c r="BK820" s="48"/>
      <c r="BL820" s="48"/>
      <c r="BM820" s="48"/>
      <c r="BN820" s="48"/>
      <c r="BO820" s="48"/>
      <c r="BP820" s="48"/>
      <c r="BQ820" s="48"/>
      <c r="BR820" s="48"/>
      <c r="BS820" s="48"/>
      <c r="BT820" s="48"/>
      <c r="BU820" s="48"/>
      <c r="BV820" s="48"/>
      <c r="BW820" s="48"/>
      <c r="BX820" s="48"/>
      <c r="BY820" s="48"/>
      <c r="BZ820" s="48"/>
      <c r="CA820" s="48"/>
      <c r="CB820" s="48"/>
      <c r="CC820" s="48"/>
      <c r="CD820" s="48"/>
      <c r="CE820" s="48"/>
      <c r="CF820" s="48"/>
      <c r="CG820" s="48"/>
      <c r="CH820" s="48"/>
      <c r="CI820" s="48"/>
      <c r="CJ820" s="48"/>
      <c r="CK820" s="48"/>
      <c r="CL820" s="48"/>
      <c r="CM820" s="48"/>
      <c r="CN820" s="48"/>
      <c r="CO820" s="48"/>
      <c r="CP820" s="48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  <c r="DA820" s="48"/>
      <c r="DB820" s="48"/>
      <c r="DC820" s="48"/>
      <c r="DD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175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175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  <c r="BD821" s="48"/>
      <c r="BE821" s="48"/>
      <c r="BF821" s="48"/>
      <c r="BG821" s="48"/>
      <c r="BH821" s="48"/>
      <c r="BI821" s="48"/>
      <c r="BJ821" s="48"/>
      <c r="BK821" s="48"/>
      <c r="BL821" s="48"/>
      <c r="BM821" s="48"/>
      <c r="BN821" s="48"/>
      <c r="BO821" s="48"/>
      <c r="BP821" s="48"/>
      <c r="BQ821" s="48"/>
      <c r="BR821" s="48"/>
      <c r="BS821" s="48"/>
      <c r="BT821" s="48"/>
      <c r="BU821" s="48"/>
      <c r="BV821" s="48"/>
      <c r="BW821" s="48"/>
      <c r="BX821" s="48"/>
      <c r="BY821" s="48"/>
      <c r="BZ821" s="48"/>
      <c r="CA821" s="48"/>
      <c r="CB821" s="48"/>
      <c r="CC821" s="48"/>
      <c r="CD821" s="48"/>
      <c r="CE821" s="48"/>
      <c r="CF821" s="48"/>
      <c r="CG821" s="48"/>
      <c r="CH821" s="48"/>
      <c r="CI821" s="48"/>
      <c r="CJ821" s="48"/>
      <c r="CK821" s="48"/>
      <c r="CL821" s="48"/>
      <c r="CM821" s="48"/>
      <c r="CN821" s="48"/>
      <c r="CO821" s="48"/>
      <c r="CP821" s="48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  <c r="DA821" s="48"/>
      <c r="DB821" s="48"/>
      <c r="DC821" s="48"/>
      <c r="DD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175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175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  <c r="BD822" s="48"/>
      <c r="BE822" s="48"/>
      <c r="BF822" s="48"/>
      <c r="BG822" s="48"/>
      <c r="BH822" s="48"/>
      <c r="BI822" s="48"/>
      <c r="BJ822" s="48"/>
      <c r="BK822" s="48"/>
      <c r="BL822" s="48"/>
      <c r="BM822" s="48"/>
      <c r="BN822" s="48"/>
      <c r="BO822" s="48"/>
      <c r="BP822" s="48"/>
      <c r="BQ822" s="48"/>
      <c r="BR822" s="48"/>
      <c r="BS822" s="48"/>
      <c r="BT822" s="48"/>
      <c r="BU822" s="48"/>
      <c r="BV822" s="48"/>
      <c r="BW822" s="48"/>
      <c r="BX822" s="48"/>
      <c r="BY822" s="48"/>
      <c r="BZ822" s="48"/>
      <c r="CA822" s="48"/>
      <c r="CB822" s="48"/>
      <c r="CC822" s="48"/>
      <c r="CD822" s="48"/>
      <c r="CE822" s="48"/>
      <c r="CF822" s="48"/>
      <c r="CG822" s="48"/>
      <c r="CH822" s="48"/>
      <c r="CI822" s="48"/>
      <c r="CJ822" s="48"/>
      <c r="CK822" s="48"/>
      <c r="CL822" s="48"/>
      <c r="CM822" s="48"/>
      <c r="CN822" s="48"/>
      <c r="CO822" s="48"/>
      <c r="CP822" s="48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  <c r="DA822" s="48"/>
      <c r="DB822" s="48"/>
      <c r="DC822" s="48"/>
      <c r="DD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175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175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  <c r="BD823" s="48"/>
      <c r="BE823" s="48"/>
      <c r="BF823" s="48"/>
      <c r="BG823" s="48"/>
      <c r="BH823" s="48"/>
      <c r="BI823" s="48"/>
      <c r="BJ823" s="48"/>
      <c r="BK823" s="48"/>
      <c r="BL823" s="48"/>
      <c r="BM823" s="48"/>
      <c r="BN823" s="48"/>
      <c r="BO823" s="48"/>
      <c r="BP823" s="48"/>
      <c r="BQ823" s="48"/>
      <c r="BR823" s="48"/>
      <c r="BS823" s="48"/>
      <c r="BT823" s="48"/>
      <c r="BU823" s="48"/>
      <c r="BV823" s="48"/>
      <c r="BW823" s="48"/>
      <c r="BX823" s="48"/>
      <c r="BY823" s="48"/>
      <c r="BZ823" s="48"/>
      <c r="CA823" s="48"/>
      <c r="CB823" s="48"/>
      <c r="CC823" s="48"/>
      <c r="CD823" s="48"/>
      <c r="CE823" s="48"/>
      <c r="CF823" s="48"/>
      <c r="CG823" s="48"/>
      <c r="CH823" s="48"/>
      <c r="CI823" s="48"/>
      <c r="CJ823" s="48"/>
      <c r="CK823" s="48"/>
      <c r="CL823" s="48"/>
      <c r="CM823" s="48"/>
      <c r="CN823" s="48"/>
      <c r="CO823" s="48"/>
      <c r="CP823" s="48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  <c r="DA823" s="48"/>
      <c r="DB823" s="48"/>
      <c r="DC823" s="48"/>
      <c r="DD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175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175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  <c r="BD824" s="48"/>
      <c r="BE824" s="48"/>
      <c r="BF824" s="48"/>
      <c r="BG824" s="48"/>
      <c r="BH824" s="48"/>
      <c r="BI824" s="48"/>
      <c r="BJ824" s="48"/>
      <c r="BK824" s="48"/>
      <c r="BL824" s="48"/>
      <c r="BM824" s="48"/>
      <c r="BN824" s="48"/>
      <c r="BO824" s="48"/>
      <c r="BP824" s="48"/>
      <c r="BQ824" s="48"/>
      <c r="BR824" s="48"/>
      <c r="BS824" s="48"/>
      <c r="BT824" s="48"/>
      <c r="BU824" s="48"/>
      <c r="BV824" s="48"/>
      <c r="BW824" s="48"/>
      <c r="BX824" s="48"/>
      <c r="BY824" s="48"/>
      <c r="BZ824" s="48"/>
      <c r="CA824" s="48"/>
      <c r="CB824" s="48"/>
      <c r="CC824" s="48"/>
      <c r="CD824" s="48"/>
      <c r="CE824" s="48"/>
      <c r="CF824" s="48"/>
      <c r="CG824" s="48"/>
      <c r="CH824" s="48"/>
      <c r="CI824" s="48"/>
      <c r="CJ824" s="48"/>
      <c r="CK824" s="48"/>
      <c r="CL824" s="48"/>
      <c r="CM824" s="48"/>
      <c r="CN824" s="48"/>
      <c r="CO824" s="48"/>
      <c r="CP824" s="48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  <c r="DA824" s="48"/>
      <c r="DB824" s="48"/>
      <c r="DC824" s="48"/>
      <c r="DD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175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175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  <c r="BD825" s="48"/>
      <c r="BE825" s="48"/>
      <c r="BF825" s="48"/>
      <c r="BG825" s="48"/>
      <c r="BH825" s="48"/>
      <c r="BI825" s="48"/>
      <c r="BJ825" s="48"/>
      <c r="BK825" s="48"/>
      <c r="BL825" s="48"/>
      <c r="BM825" s="48"/>
      <c r="BN825" s="48"/>
      <c r="BO825" s="48"/>
      <c r="BP825" s="48"/>
      <c r="BQ825" s="48"/>
      <c r="BR825" s="48"/>
      <c r="BS825" s="48"/>
      <c r="BT825" s="48"/>
      <c r="BU825" s="48"/>
      <c r="BV825" s="48"/>
      <c r="BW825" s="48"/>
      <c r="BX825" s="48"/>
      <c r="BY825" s="48"/>
      <c r="BZ825" s="48"/>
      <c r="CA825" s="48"/>
      <c r="CB825" s="48"/>
      <c r="CC825" s="48"/>
      <c r="CD825" s="48"/>
      <c r="CE825" s="48"/>
      <c r="CF825" s="48"/>
      <c r="CG825" s="48"/>
      <c r="CH825" s="48"/>
      <c r="CI825" s="48"/>
      <c r="CJ825" s="48"/>
      <c r="CK825" s="48"/>
      <c r="CL825" s="48"/>
      <c r="CM825" s="48"/>
      <c r="CN825" s="48"/>
      <c r="CO825" s="48"/>
      <c r="CP825" s="48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  <c r="DA825" s="48"/>
      <c r="DB825" s="48"/>
      <c r="DC825" s="48"/>
      <c r="DD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175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175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  <c r="BD826" s="48"/>
      <c r="BE826" s="48"/>
      <c r="BF826" s="48"/>
      <c r="BG826" s="48"/>
      <c r="BH826" s="48"/>
      <c r="BI826" s="48"/>
      <c r="BJ826" s="48"/>
      <c r="BK826" s="48"/>
      <c r="BL826" s="48"/>
      <c r="BM826" s="48"/>
      <c r="BN826" s="48"/>
      <c r="BO826" s="48"/>
      <c r="BP826" s="48"/>
      <c r="BQ826" s="48"/>
      <c r="BR826" s="48"/>
      <c r="BS826" s="48"/>
      <c r="BT826" s="48"/>
      <c r="BU826" s="48"/>
      <c r="BV826" s="48"/>
      <c r="BW826" s="48"/>
      <c r="BX826" s="48"/>
      <c r="BY826" s="48"/>
      <c r="BZ826" s="48"/>
      <c r="CA826" s="48"/>
      <c r="CB826" s="48"/>
      <c r="CC826" s="48"/>
      <c r="CD826" s="48"/>
      <c r="CE826" s="48"/>
      <c r="CF826" s="48"/>
      <c r="CG826" s="48"/>
      <c r="CH826" s="48"/>
      <c r="CI826" s="48"/>
      <c r="CJ826" s="48"/>
      <c r="CK826" s="48"/>
      <c r="CL826" s="48"/>
      <c r="CM826" s="48"/>
      <c r="CN826" s="48"/>
      <c r="CO826" s="48"/>
      <c r="CP826" s="48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  <c r="DA826" s="48"/>
      <c r="DB826" s="48"/>
      <c r="DC826" s="48"/>
      <c r="DD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175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175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  <c r="BD827" s="48"/>
      <c r="BE827" s="48"/>
      <c r="BF827" s="48"/>
      <c r="BG827" s="48"/>
      <c r="BH827" s="48"/>
      <c r="BI827" s="48"/>
      <c r="BJ827" s="48"/>
      <c r="BK827" s="48"/>
      <c r="BL827" s="48"/>
      <c r="BM827" s="48"/>
      <c r="BN827" s="48"/>
      <c r="BO827" s="48"/>
      <c r="BP827" s="48"/>
      <c r="BQ827" s="48"/>
      <c r="BR827" s="48"/>
      <c r="BS827" s="48"/>
      <c r="BT827" s="48"/>
      <c r="BU827" s="48"/>
      <c r="BV827" s="48"/>
      <c r="BW827" s="48"/>
      <c r="BX827" s="48"/>
      <c r="BY827" s="48"/>
      <c r="BZ827" s="48"/>
      <c r="CA827" s="48"/>
      <c r="CB827" s="48"/>
      <c r="CC827" s="48"/>
      <c r="CD827" s="48"/>
      <c r="CE827" s="48"/>
      <c r="CF827" s="48"/>
      <c r="CG827" s="48"/>
      <c r="CH827" s="48"/>
      <c r="CI827" s="48"/>
      <c r="CJ827" s="48"/>
      <c r="CK827" s="48"/>
      <c r="CL827" s="48"/>
      <c r="CM827" s="48"/>
      <c r="CN827" s="48"/>
      <c r="CO827" s="48"/>
      <c r="CP827" s="48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  <c r="DA827" s="48"/>
      <c r="DB827" s="48"/>
      <c r="DC827" s="48"/>
      <c r="DD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175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175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  <c r="BD828" s="48"/>
      <c r="BE828" s="48"/>
      <c r="BF828" s="48"/>
      <c r="BG828" s="48"/>
      <c r="BH828" s="48"/>
      <c r="BI828" s="48"/>
      <c r="BJ828" s="48"/>
      <c r="BK828" s="48"/>
      <c r="BL828" s="48"/>
      <c r="BM828" s="48"/>
      <c r="BN828" s="48"/>
      <c r="BO828" s="48"/>
      <c r="BP828" s="48"/>
      <c r="BQ828" s="48"/>
      <c r="BR828" s="48"/>
      <c r="BS828" s="48"/>
      <c r="BT828" s="48"/>
      <c r="BU828" s="48"/>
      <c r="BV828" s="48"/>
      <c r="BW828" s="48"/>
      <c r="BX828" s="48"/>
      <c r="BY828" s="48"/>
      <c r="BZ828" s="48"/>
      <c r="CA828" s="48"/>
      <c r="CB828" s="48"/>
      <c r="CC828" s="48"/>
      <c r="CD828" s="48"/>
      <c r="CE828" s="48"/>
      <c r="CF828" s="48"/>
      <c r="CG828" s="48"/>
      <c r="CH828" s="48"/>
      <c r="CI828" s="48"/>
      <c r="CJ828" s="48"/>
      <c r="CK828" s="48"/>
      <c r="CL828" s="48"/>
      <c r="CM828" s="48"/>
      <c r="CN828" s="48"/>
      <c r="CO828" s="48"/>
      <c r="CP828" s="48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  <c r="DA828" s="48"/>
      <c r="DB828" s="48"/>
      <c r="DC828" s="48"/>
      <c r="DD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175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175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  <c r="BD829" s="48"/>
      <c r="BE829" s="48"/>
      <c r="BF829" s="48"/>
      <c r="BG829" s="48"/>
      <c r="BH829" s="48"/>
      <c r="BI829" s="48"/>
      <c r="BJ829" s="48"/>
      <c r="BK829" s="48"/>
      <c r="BL829" s="48"/>
      <c r="BM829" s="48"/>
      <c r="BN829" s="48"/>
      <c r="BO829" s="48"/>
      <c r="BP829" s="48"/>
      <c r="BQ829" s="48"/>
      <c r="BR829" s="48"/>
      <c r="BS829" s="48"/>
      <c r="BT829" s="48"/>
      <c r="BU829" s="48"/>
      <c r="BV829" s="48"/>
      <c r="BW829" s="48"/>
      <c r="BX829" s="48"/>
      <c r="BY829" s="48"/>
      <c r="BZ829" s="48"/>
      <c r="CA829" s="48"/>
      <c r="CB829" s="48"/>
      <c r="CC829" s="48"/>
      <c r="CD829" s="48"/>
      <c r="CE829" s="48"/>
      <c r="CF829" s="48"/>
      <c r="CG829" s="48"/>
      <c r="CH829" s="48"/>
      <c r="CI829" s="48"/>
      <c r="CJ829" s="48"/>
      <c r="CK829" s="48"/>
      <c r="CL829" s="48"/>
      <c r="CM829" s="48"/>
      <c r="CN829" s="48"/>
      <c r="CO829" s="48"/>
      <c r="CP829" s="48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  <c r="DA829" s="48"/>
      <c r="DB829" s="48"/>
      <c r="DC829" s="48"/>
      <c r="DD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175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175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  <c r="BD830" s="48"/>
      <c r="BE830" s="48"/>
      <c r="BF830" s="48"/>
      <c r="BG830" s="48"/>
      <c r="BH830" s="48"/>
      <c r="BI830" s="48"/>
      <c r="BJ830" s="48"/>
      <c r="BK830" s="48"/>
      <c r="BL830" s="48"/>
      <c r="BM830" s="48"/>
      <c r="BN830" s="48"/>
      <c r="BO830" s="48"/>
      <c r="BP830" s="48"/>
      <c r="BQ830" s="48"/>
      <c r="BR830" s="48"/>
      <c r="BS830" s="48"/>
      <c r="BT830" s="48"/>
      <c r="BU830" s="48"/>
      <c r="BV830" s="48"/>
      <c r="BW830" s="48"/>
      <c r="BX830" s="48"/>
      <c r="BY830" s="48"/>
      <c r="BZ830" s="48"/>
      <c r="CA830" s="48"/>
      <c r="CB830" s="48"/>
      <c r="CC830" s="48"/>
      <c r="CD830" s="48"/>
      <c r="CE830" s="48"/>
      <c r="CF830" s="48"/>
      <c r="CG830" s="48"/>
      <c r="CH830" s="48"/>
      <c r="CI830" s="48"/>
      <c r="CJ830" s="48"/>
      <c r="CK830" s="48"/>
      <c r="CL830" s="48"/>
      <c r="CM830" s="48"/>
      <c r="CN830" s="48"/>
      <c r="CO830" s="48"/>
      <c r="CP830" s="48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  <c r="DA830" s="48"/>
      <c r="DB830" s="48"/>
      <c r="DC830" s="48"/>
      <c r="DD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175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175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  <c r="BD831" s="48"/>
      <c r="BE831" s="48"/>
      <c r="BF831" s="48"/>
      <c r="BG831" s="48"/>
      <c r="BH831" s="48"/>
      <c r="BI831" s="48"/>
      <c r="BJ831" s="48"/>
      <c r="BK831" s="48"/>
      <c r="BL831" s="48"/>
      <c r="BM831" s="48"/>
      <c r="BN831" s="48"/>
      <c r="BO831" s="48"/>
      <c r="BP831" s="48"/>
      <c r="BQ831" s="48"/>
      <c r="BR831" s="48"/>
      <c r="BS831" s="48"/>
      <c r="BT831" s="48"/>
      <c r="BU831" s="48"/>
      <c r="BV831" s="48"/>
      <c r="BW831" s="48"/>
      <c r="BX831" s="48"/>
      <c r="BY831" s="48"/>
      <c r="BZ831" s="48"/>
      <c r="CA831" s="48"/>
      <c r="CB831" s="48"/>
      <c r="CC831" s="48"/>
      <c r="CD831" s="48"/>
      <c r="CE831" s="48"/>
      <c r="CF831" s="48"/>
      <c r="CG831" s="48"/>
      <c r="CH831" s="48"/>
      <c r="CI831" s="48"/>
      <c r="CJ831" s="48"/>
      <c r="CK831" s="48"/>
      <c r="CL831" s="48"/>
      <c r="CM831" s="48"/>
      <c r="CN831" s="48"/>
      <c r="CO831" s="48"/>
      <c r="CP831" s="48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  <c r="DA831" s="48"/>
      <c r="DB831" s="48"/>
      <c r="DC831" s="48"/>
      <c r="DD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175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175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  <c r="BD832" s="48"/>
      <c r="BE832" s="48"/>
      <c r="BF832" s="48"/>
      <c r="BG832" s="48"/>
      <c r="BH832" s="48"/>
      <c r="BI832" s="48"/>
      <c r="BJ832" s="48"/>
      <c r="BK832" s="48"/>
      <c r="BL832" s="48"/>
      <c r="BM832" s="48"/>
      <c r="BN832" s="48"/>
      <c r="BO832" s="48"/>
      <c r="BP832" s="48"/>
      <c r="BQ832" s="48"/>
      <c r="BR832" s="48"/>
      <c r="BS832" s="48"/>
      <c r="BT832" s="48"/>
      <c r="BU832" s="48"/>
      <c r="BV832" s="48"/>
      <c r="BW832" s="48"/>
      <c r="BX832" s="48"/>
      <c r="BY832" s="48"/>
      <c r="BZ832" s="48"/>
      <c r="CA832" s="48"/>
      <c r="CB832" s="48"/>
      <c r="CC832" s="48"/>
      <c r="CD832" s="48"/>
      <c r="CE832" s="48"/>
      <c r="CF832" s="48"/>
      <c r="CG832" s="48"/>
      <c r="CH832" s="48"/>
      <c r="CI832" s="48"/>
      <c r="CJ832" s="48"/>
      <c r="CK832" s="48"/>
      <c r="CL832" s="48"/>
      <c r="CM832" s="48"/>
      <c r="CN832" s="48"/>
      <c r="CO832" s="48"/>
      <c r="CP832" s="48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  <c r="DA832" s="48"/>
      <c r="DB832" s="48"/>
      <c r="DC832" s="48"/>
      <c r="DD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175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175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  <c r="BD833" s="48"/>
      <c r="BE833" s="48"/>
      <c r="BF833" s="48"/>
      <c r="BG833" s="48"/>
      <c r="BH833" s="48"/>
      <c r="BI833" s="48"/>
      <c r="BJ833" s="48"/>
      <c r="BK833" s="48"/>
      <c r="BL833" s="48"/>
      <c r="BM833" s="48"/>
      <c r="BN833" s="48"/>
      <c r="BO833" s="48"/>
      <c r="BP833" s="48"/>
      <c r="BQ833" s="48"/>
      <c r="BR833" s="48"/>
      <c r="BS833" s="48"/>
      <c r="BT833" s="48"/>
      <c r="BU833" s="48"/>
      <c r="BV833" s="48"/>
      <c r="BW833" s="48"/>
      <c r="BX833" s="48"/>
      <c r="BY833" s="48"/>
      <c r="BZ833" s="48"/>
      <c r="CA833" s="48"/>
      <c r="CB833" s="48"/>
      <c r="CC833" s="48"/>
      <c r="CD833" s="48"/>
      <c r="CE833" s="48"/>
      <c r="CF833" s="48"/>
      <c r="CG833" s="48"/>
      <c r="CH833" s="48"/>
      <c r="CI833" s="48"/>
      <c r="CJ833" s="48"/>
      <c r="CK833" s="48"/>
      <c r="CL833" s="48"/>
      <c r="CM833" s="48"/>
      <c r="CN833" s="48"/>
      <c r="CO833" s="48"/>
      <c r="CP833" s="48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  <c r="DA833" s="48"/>
      <c r="DB833" s="48"/>
      <c r="DC833" s="48"/>
      <c r="DD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175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175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  <c r="BD834" s="48"/>
      <c r="BE834" s="48"/>
      <c r="BF834" s="48"/>
      <c r="BG834" s="48"/>
      <c r="BH834" s="48"/>
      <c r="BI834" s="48"/>
      <c r="BJ834" s="48"/>
      <c r="BK834" s="48"/>
      <c r="BL834" s="48"/>
      <c r="BM834" s="48"/>
      <c r="BN834" s="48"/>
      <c r="BO834" s="48"/>
      <c r="BP834" s="48"/>
      <c r="BQ834" s="48"/>
      <c r="BR834" s="48"/>
      <c r="BS834" s="48"/>
      <c r="BT834" s="48"/>
      <c r="BU834" s="48"/>
      <c r="BV834" s="48"/>
      <c r="BW834" s="48"/>
      <c r="BX834" s="48"/>
      <c r="BY834" s="48"/>
      <c r="BZ834" s="48"/>
      <c r="CA834" s="48"/>
      <c r="CB834" s="48"/>
      <c r="CC834" s="48"/>
      <c r="CD834" s="48"/>
      <c r="CE834" s="48"/>
      <c r="CF834" s="48"/>
      <c r="CG834" s="48"/>
      <c r="CH834" s="48"/>
      <c r="CI834" s="48"/>
      <c r="CJ834" s="48"/>
      <c r="CK834" s="48"/>
      <c r="CL834" s="48"/>
      <c r="CM834" s="48"/>
      <c r="CN834" s="48"/>
      <c r="CO834" s="48"/>
      <c r="CP834" s="48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  <c r="DA834" s="48"/>
      <c r="DB834" s="48"/>
      <c r="DC834" s="48"/>
      <c r="DD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175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175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  <c r="BD835" s="48"/>
      <c r="BE835" s="48"/>
      <c r="BF835" s="48"/>
      <c r="BG835" s="48"/>
      <c r="BH835" s="48"/>
      <c r="BI835" s="48"/>
      <c r="BJ835" s="48"/>
      <c r="BK835" s="48"/>
      <c r="BL835" s="48"/>
      <c r="BM835" s="48"/>
      <c r="BN835" s="48"/>
      <c r="BO835" s="48"/>
      <c r="BP835" s="48"/>
      <c r="BQ835" s="48"/>
      <c r="BR835" s="48"/>
      <c r="BS835" s="48"/>
      <c r="BT835" s="48"/>
      <c r="BU835" s="48"/>
      <c r="BV835" s="48"/>
      <c r="BW835" s="48"/>
      <c r="BX835" s="48"/>
      <c r="BY835" s="48"/>
      <c r="BZ835" s="48"/>
      <c r="CA835" s="48"/>
      <c r="CB835" s="48"/>
      <c r="CC835" s="48"/>
      <c r="CD835" s="48"/>
      <c r="CE835" s="48"/>
      <c r="CF835" s="48"/>
      <c r="CG835" s="48"/>
      <c r="CH835" s="48"/>
      <c r="CI835" s="48"/>
      <c r="CJ835" s="48"/>
      <c r="CK835" s="48"/>
      <c r="CL835" s="48"/>
      <c r="CM835" s="48"/>
      <c r="CN835" s="48"/>
      <c r="CO835" s="48"/>
      <c r="CP835" s="48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  <c r="DA835" s="48"/>
      <c r="DB835" s="48"/>
      <c r="DC835" s="48"/>
      <c r="DD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175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175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  <c r="BD836" s="48"/>
      <c r="BE836" s="48"/>
      <c r="BF836" s="48"/>
      <c r="BG836" s="48"/>
      <c r="BH836" s="48"/>
      <c r="BI836" s="48"/>
      <c r="BJ836" s="48"/>
      <c r="BK836" s="48"/>
      <c r="BL836" s="48"/>
      <c r="BM836" s="48"/>
      <c r="BN836" s="48"/>
      <c r="BO836" s="48"/>
      <c r="BP836" s="48"/>
      <c r="BQ836" s="48"/>
      <c r="BR836" s="48"/>
      <c r="BS836" s="48"/>
      <c r="BT836" s="48"/>
      <c r="BU836" s="48"/>
      <c r="BV836" s="48"/>
      <c r="BW836" s="48"/>
      <c r="BX836" s="48"/>
      <c r="BY836" s="48"/>
      <c r="BZ836" s="48"/>
      <c r="CA836" s="48"/>
      <c r="CB836" s="48"/>
      <c r="CC836" s="48"/>
      <c r="CD836" s="48"/>
      <c r="CE836" s="48"/>
      <c r="CF836" s="48"/>
      <c r="CG836" s="48"/>
      <c r="CH836" s="48"/>
      <c r="CI836" s="48"/>
      <c r="CJ836" s="48"/>
      <c r="CK836" s="48"/>
      <c r="CL836" s="48"/>
      <c r="CM836" s="48"/>
      <c r="CN836" s="48"/>
      <c r="CO836" s="48"/>
      <c r="CP836" s="48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  <c r="DA836" s="48"/>
      <c r="DB836" s="48"/>
      <c r="DC836" s="48"/>
      <c r="DD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175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175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  <c r="BD837" s="48"/>
      <c r="BE837" s="48"/>
      <c r="BF837" s="48"/>
      <c r="BG837" s="48"/>
      <c r="BH837" s="48"/>
      <c r="BI837" s="48"/>
      <c r="BJ837" s="48"/>
      <c r="BK837" s="48"/>
      <c r="BL837" s="48"/>
      <c r="BM837" s="48"/>
      <c r="BN837" s="48"/>
      <c r="BO837" s="48"/>
      <c r="BP837" s="48"/>
      <c r="BQ837" s="48"/>
      <c r="BR837" s="48"/>
      <c r="BS837" s="48"/>
      <c r="BT837" s="48"/>
      <c r="BU837" s="48"/>
      <c r="BV837" s="48"/>
      <c r="BW837" s="48"/>
      <c r="BX837" s="48"/>
      <c r="BY837" s="48"/>
      <c r="BZ837" s="48"/>
      <c r="CA837" s="48"/>
      <c r="CB837" s="48"/>
      <c r="CC837" s="48"/>
      <c r="CD837" s="48"/>
      <c r="CE837" s="48"/>
      <c r="CF837" s="48"/>
      <c r="CG837" s="48"/>
      <c r="CH837" s="48"/>
      <c r="CI837" s="48"/>
      <c r="CJ837" s="48"/>
      <c r="CK837" s="48"/>
      <c r="CL837" s="48"/>
      <c r="CM837" s="48"/>
      <c r="CN837" s="48"/>
      <c r="CO837" s="48"/>
      <c r="CP837" s="48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  <c r="DA837" s="48"/>
      <c r="DB837" s="48"/>
      <c r="DC837" s="48"/>
      <c r="DD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175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175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/>
      <c r="BJ838" s="48"/>
      <c r="BK838" s="48"/>
      <c r="BL838" s="48"/>
      <c r="BM838" s="48"/>
      <c r="BN838" s="48"/>
      <c r="BO838" s="48"/>
      <c r="BP838" s="48"/>
      <c r="BQ838" s="48"/>
      <c r="BR838" s="48"/>
      <c r="BS838" s="48"/>
      <c r="BT838" s="48"/>
      <c r="BU838" s="48"/>
      <c r="BV838" s="48"/>
      <c r="BW838" s="48"/>
      <c r="BX838" s="48"/>
      <c r="BY838" s="48"/>
      <c r="BZ838" s="48"/>
      <c r="CA838" s="48"/>
      <c r="CB838" s="48"/>
      <c r="CC838" s="48"/>
      <c r="CD838" s="48"/>
      <c r="CE838" s="48"/>
      <c r="CF838" s="48"/>
      <c r="CG838" s="48"/>
      <c r="CH838" s="48"/>
      <c r="CI838" s="48"/>
      <c r="CJ838" s="48"/>
      <c r="CK838" s="48"/>
      <c r="CL838" s="48"/>
      <c r="CM838" s="48"/>
      <c r="CN838" s="48"/>
      <c r="CO838" s="48"/>
      <c r="CP838" s="48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  <c r="DA838" s="48"/>
      <c r="DB838" s="48"/>
      <c r="DC838" s="48"/>
      <c r="DD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175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175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  <c r="BD839" s="48"/>
      <c r="BE839" s="48"/>
      <c r="BF839" s="48"/>
      <c r="BG839" s="48"/>
      <c r="BH839" s="48"/>
      <c r="BI839" s="48"/>
      <c r="BJ839" s="48"/>
      <c r="BK839" s="48"/>
      <c r="BL839" s="48"/>
      <c r="BM839" s="48"/>
      <c r="BN839" s="48"/>
      <c r="BO839" s="48"/>
      <c r="BP839" s="48"/>
      <c r="BQ839" s="48"/>
      <c r="BR839" s="48"/>
      <c r="BS839" s="48"/>
      <c r="BT839" s="48"/>
      <c r="BU839" s="48"/>
      <c r="BV839" s="48"/>
      <c r="BW839" s="48"/>
      <c r="BX839" s="48"/>
      <c r="BY839" s="48"/>
      <c r="BZ839" s="48"/>
      <c r="CA839" s="48"/>
      <c r="CB839" s="48"/>
      <c r="CC839" s="48"/>
      <c r="CD839" s="48"/>
      <c r="CE839" s="48"/>
      <c r="CF839" s="48"/>
      <c r="CG839" s="48"/>
      <c r="CH839" s="48"/>
      <c r="CI839" s="48"/>
      <c r="CJ839" s="48"/>
      <c r="CK839" s="48"/>
      <c r="CL839" s="48"/>
      <c r="CM839" s="48"/>
      <c r="CN839" s="48"/>
      <c r="CO839" s="48"/>
      <c r="CP839" s="48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  <c r="DA839" s="48"/>
      <c r="DB839" s="48"/>
      <c r="DC839" s="48"/>
      <c r="DD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175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175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  <c r="CO840" s="48"/>
      <c r="CP840" s="48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175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175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  <c r="BD841" s="48"/>
      <c r="BE841" s="48"/>
      <c r="BF841" s="48"/>
      <c r="BG841" s="48"/>
      <c r="BH841" s="48"/>
      <c r="BI841" s="48"/>
      <c r="BJ841" s="48"/>
      <c r="BK841" s="48"/>
      <c r="BL841" s="48"/>
      <c r="BM841" s="48"/>
      <c r="BN841" s="48"/>
      <c r="BO841" s="48"/>
      <c r="BP841" s="48"/>
      <c r="BQ841" s="48"/>
      <c r="BR841" s="48"/>
      <c r="BS841" s="48"/>
      <c r="BT841" s="48"/>
      <c r="BU841" s="48"/>
      <c r="BV841" s="48"/>
      <c r="BW841" s="48"/>
      <c r="BX841" s="48"/>
      <c r="BY841" s="48"/>
      <c r="BZ841" s="48"/>
      <c r="CA841" s="48"/>
      <c r="CB841" s="48"/>
      <c r="CC841" s="48"/>
      <c r="CD841" s="48"/>
      <c r="CE841" s="48"/>
      <c r="CF841" s="48"/>
      <c r="CG841" s="48"/>
      <c r="CH841" s="48"/>
      <c r="CI841" s="48"/>
      <c r="CJ841" s="48"/>
      <c r="CK841" s="48"/>
      <c r="CL841" s="48"/>
      <c r="CM841" s="48"/>
      <c r="CN841" s="48"/>
      <c r="CO841" s="48"/>
      <c r="CP841" s="48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  <c r="DA841" s="48"/>
      <c r="DB841" s="48"/>
      <c r="DC841" s="48"/>
      <c r="DD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175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175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  <c r="BD842" s="48"/>
      <c r="BE842" s="48"/>
      <c r="BF842" s="48"/>
      <c r="BG842" s="48"/>
      <c r="BH842" s="48"/>
      <c r="BI842" s="48"/>
      <c r="BJ842" s="48"/>
      <c r="BK842" s="48"/>
      <c r="BL842" s="48"/>
      <c r="BM842" s="48"/>
      <c r="BN842" s="48"/>
      <c r="BO842" s="48"/>
      <c r="BP842" s="48"/>
      <c r="BQ842" s="48"/>
      <c r="BR842" s="48"/>
      <c r="BS842" s="48"/>
      <c r="BT842" s="48"/>
      <c r="BU842" s="48"/>
      <c r="BV842" s="48"/>
      <c r="BW842" s="48"/>
      <c r="BX842" s="48"/>
      <c r="BY842" s="48"/>
      <c r="BZ842" s="48"/>
      <c r="CA842" s="48"/>
      <c r="CB842" s="48"/>
      <c r="CC842" s="48"/>
      <c r="CD842" s="48"/>
      <c r="CE842" s="48"/>
      <c r="CF842" s="48"/>
      <c r="CG842" s="48"/>
      <c r="CH842" s="48"/>
      <c r="CI842" s="48"/>
      <c r="CJ842" s="48"/>
      <c r="CK842" s="48"/>
      <c r="CL842" s="48"/>
      <c r="CM842" s="48"/>
      <c r="CN842" s="48"/>
      <c r="CO842" s="48"/>
      <c r="CP842" s="48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  <c r="DA842" s="48"/>
      <c r="DB842" s="48"/>
      <c r="DC842" s="48"/>
      <c r="DD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175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175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  <c r="BD843" s="48"/>
      <c r="BE843" s="48"/>
      <c r="BF843" s="48"/>
      <c r="BG843" s="48"/>
      <c r="BH843" s="48"/>
      <c r="BI843" s="48"/>
      <c r="BJ843" s="48"/>
      <c r="BK843" s="48"/>
      <c r="BL843" s="48"/>
      <c r="BM843" s="48"/>
      <c r="BN843" s="48"/>
      <c r="BO843" s="48"/>
      <c r="BP843" s="48"/>
      <c r="BQ843" s="48"/>
      <c r="BR843" s="48"/>
      <c r="BS843" s="48"/>
      <c r="BT843" s="48"/>
      <c r="BU843" s="48"/>
      <c r="BV843" s="48"/>
      <c r="BW843" s="48"/>
      <c r="BX843" s="48"/>
      <c r="BY843" s="48"/>
      <c r="BZ843" s="48"/>
      <c r="CA843" s="48"/>
      <c r="CB843" s="48"/>
      <c r="CC843" s="48"/>
      <c r="CD843" s="48"/>
      <c r="CE843" s="48"/>
      <c r="CF843" s="48"/>
      <c r="CG843" s="48"/>
      <c r="CH843" s="48"/>
      <c r="CI843" s="48"/>
      <c r="CJ843" s="48"/>
      <c r="CK843" s="48"/>
      <c r="CL843" s="48"/>
      <c r="CM843" s="48"/>
      <c r="CN843" s="48"/>
      <c r="CO843" s="48"/>
      <c r="CP843" s="48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  <c r="DA843" s="48"/>
      <c r="DB843" s="48"/>
      <c r="DC843" s="48"/>
      <c r="DD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175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175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8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175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175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  <c r="BD845" s="48"/>
      <c r="BE845" s="48"/>
      <c r="BF845" s="48"/>
      <c r="BG845" s="48"/>
      <c r="BH845" s="48"/>
      <c r="BI845" s="48"/>
      <c r="BJ845" s="48"/>
      <c r="BK845" s="48"/>
      <c r="BL845" s="48"/>
      <c r="BM845" s="48"/>
      <c r="BN845" s="48"/>
      <c r="BO845" s="48"/>
      <c r="BP845" s="48"/>
      <c r="BQ845" s="48"/>
      <c r="BR845" s="48"/>
      <c r="BS845" s="48"/>
      <c r="BT845" s="48"/>
      <c r="BU845" s="48"/>
      <c r="BV845" s="48"/>
      <c r="BW845" s="48"/>
      <c r="BX845" s="48"/>
      <c r="BY845" s="48"/>
      <c r="BZ845" s="48"/>
      <c r="CA845" s="48"/>
      <c r="CB845" s="48"/>
      <c r="CC845" s="48"/>
      <c r="CD845" s="48"/>
      <c r="CE845" s="48"/>
      <c r="CF845" s="48"/>
      <c r="CG845" s="48"/>
      <c r="CH845" s="48"/>
      <c r="CI845" s="48"/>
      <c r="CJ845" s="48"/>
      <c r="CK845" s="48"/>
      <c r="CL845" s="48"/>
      <c r="CM845" s="48"/>
      <c r="CN845" s="48"/>
      <c r="CO845" s="48"/>
      <c r="CP845" s="48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  <c r="DA845" s="48"/>
      <c r="DB845" s="48"/>
      <c r="DC845" s="48"/>
      <c r="DD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175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175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  <c r="BD846" s="48"/>
      <c r="BE846" s="48"/>
      <c r="BF846" s="48"/>
      <c r="BG846" s="48"/>
      <c r="BH846" s="48"/>
      <c r="BI846" s="48"/>
      <c r="BJ846" s="48"/>
      <c r="BK846" s="48"/>
      <c r="BL846" s="48"/>
      <c r="BM846" s="48"/>
      <c r="BN846" s="48"/>
      <c r="BO846" s="48"/>
      <c r="BP846" s="48"/>
      <c r="BQ846" s="48"/>
      <c r="BR846" s="48"/>
      <c r="BS846" s="48"/>
      <c r="BT846" s="48"/>
      <c r="BU846" s="48"/>
      <c r="BV846" s="48"/>
      <c r="BW846" s="48"/>
      <c r="BX846" s="48"/>
      <c r="BY846" s="48"/>
      <c r="BZ846" s="48"/>
      <c r="CA846" s="48"/>
      <c r="CB846" s="48"/>
      <c r="CC846" s="48"/>
      <c r="CD846" s="48"/>
      <c r="CE846" s="48"/>
      <c r="CF846" s="48"/>
      <c r="CG846" s="48"/>
      <c r="CH846" s="48"/>
      <c r="CI846" s="48"/>
      <c r="CJ846" s="48"/>
      <c r="CK846" s="48"/>
      <c r="CL846" s="48"/>
      <c r="CM846" s="48"/>
      <c r="CN846" s="48"/>
      <c r="CO846" s="48"/>
      <c r="CP846" s="48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  <c r="DA846" s="48"/>
      <c r="DB846" s="48"/>
      <c r="DC846" s="48"/>
      <c r="DD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175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175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  <c r="BD847" s="48"/>
      <c r="BE847" s="48"/>
      <c r="BF847" s="48"/>
      <c r="BG847" s="48"/>
      <c r="BH847" s="48"/>
      <c r="BI847" s="48"/>
      <c r="BJ847" s="48"/>
      <c r="BK847" s="48"/>
      <c r="BL847" s="48"/>
      <c r="BM847" s="48"/>
      <c r="BN847" s="48"/>
      <c r="BO847" s="48"/>
      <c r="BP847" s="48"/>
      <c r="BQ847" s="48"/>
      <c r="BR847" s="48"/>
      <c r="BS847" s="48"/>
      <c r="BT847" s="48"/>
      <c r="BU847" s="48"/>
      <c r="BV847" s="48"/>
      <c r="BW847" s="48"/>
      <c r="BX847" s="48"/>
      <c r="BY847" s="48"/>
      <c r="BZ847" s="48"/>
      <c r="CA847" s="48"/>
      <c r="CB847" s="48"/>
      <c r="CC847" s="48"/>
      <c r="CD847" s="48"/>
      <c r="CE847" s="48"/>
      <c r="CF847" s="48"/>
      <c r="CG847" s="48"/>
      <c r="CH847" s="48"/>
      <c r="CI847" s="48"/>
      <c r="CJ847" s="48"/>
      <c r="CK847" s="48"/>
      <c r="CL847" s="48"/>
      <c r="CM847" s="48"/>
      <c r="CN847" s="48"/>
      <c r="CO847" s="48"/>
      <c r="CP847" s="48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  <c r="DA847" s="48"/>
      <c r="DB847" s="48"/>
      <c r="DC847" s="48"/>
      <c r="DD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175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175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/>
      <c r="BJ848" s="48"/>
      <c r="BK848" s="48"/>
      <c r="BL848" s="48"/>
      <c r="BM848" s="48"/>
      <c r="BN848" s="48"/>
      <c r="BO848" s="48"/>
      <c r="BP848" s="48"/>
      <c r="BQ848" s="48"/>
      <c r="BR848" s="48"/>
      <c r="BS848" s="48"/>
      <c r="BT848" s="48"/>
      <c r="BU848" s="48"/>
      <c r="BV848" s="48"/>
      <c r="BW848" s="48"/>
      <c r="BX848" s="48"/>
      <c r="BY848" s="48"/>
      <c r="BZ848" s="48"/>
      <c r="CA848" s="48"/>
      <c r="CB848" s="48"/>
      <c r="CC848" s="48"/>
      <c r="CD848" s="48"/>
      <c r="CE848" s="48"/>
      <c r="CF848" s="48"/>
      <c r="CG848" s="48"/>
      <c r="CH848" s="48"/>
      <c r="CI848" s="48"/>
      <c r="CJ848" s="48"/>
      <c r="CK848" s="48"/>
      <c r="CL848" s="48"/>
      <c r="CM848" s="48"/>
      <c r="CN848" s="48"/>
      <c r="CO848" s="48"/>
      <c r="CP848" s="48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  <c r="DA848" s="48"/>
      <c r="DB848" s="48"/>
      <c r="DC848" s="48"/>
      <c r="DD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175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175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  <c r="BD849" s="48"/>
      <c r="BE849" s="48"/>
      <c r="BF849" s="48"/>
      <c r="BG849" s="48"/>
      <c r="BH849" s="48"/>
      <c r="BI849" s="48"/>
      <c r="BJ849" s="48"/>
      <c r="BK849" s="48"/>
      <c r="BL849" s="48"/>
      <c r="BM849" s="48"/>
      <c r="BN849" s="48"/>
      <c r="BO849" s="48"/>
      <c r="BP849" s="48"/>
      <c r="BQ849" s="48"/>
      <c r="BR849" s="48"/>
      <c r="BS849" s="48"/>
      <c r="BT849" s="48"/>
      <c r="BU849" s="48"/>
      <c r="BV849" s="48"/>
      <c r="BW849" s="48"/>
      <c r="BX849" s="48"/>
      <c r="BY849" s="48"/>
      <c r="BZ849" s="48"/>
      <c r="CA849" s="48"/>
      <c r="CB849" s="48"/>
      <c r="CC849" s="48"/>
      <c r="CD849" s="48"/>
      <c r="CE849" s="48"/>
      <c r="CF849" s="48"/>
      <c r="CG849" s="48"/>
      <c r="CH849" s="48"/>
      <c r="CI849" s="48"/>
      <c r="CJ849" s="48"/>
      <c r="CK849" s="48"/>
      <c r="CL849" s="48"/>
      <c r="CM849" s="48"/>
      <c r="CN849" s="48"/>
      <c r="CO849" s="48"/>
      <c r="CP849" s="48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  <c r="DA849" s="48"/>
      <c r="DB849" s="48"/>
      <c r="DC849" s="48"/>
      <c r="DD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175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175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  <c r="BD850" s="48"/>
      <c r="BE850" s="48"/>
      <c r="BF850" s="48"/>
      <c r="BG850" s="48"/>
      <c r="BH850" s="48"/>
      <c r="BI850" s="48"/>
      <c r="BJ850" s="48"/>
      <c r="BK850" s="48"/>
      <c r="BL850" s="48"/>
      <c r="BM850" s="48"/>
      <c r="BN850" s="48"/>
      <c r="BO850" s="48"/>
      <c r="BP850" s="48"/>
      <c r="BQ850" s="48"/>
      <c r="BR850" s="48"/>
      <c r="BS850" s="48"/>
      <c r="BT850" s="48"/>
      <c r="BU850" s="48"/>
      <c r="BV850" s="48"/>
      <c r="BW850" s="48"/>
      <c r="BX850" s="48"/>
      <c r="BY850" s="48"/>
      <c r="BZ850" s="48"/>
      <c r="CA850" s="48"/>
      <c r="CB850" s="48"/>
      <c r="CC850" s="48"/>
      <c r="CD850" s="48"/>
      <c r="CE850" s="48"/>
      <c r="CF850" s="48"/>
      <c r="CG850" s="48"/>
      <c r="CH850" s="48"/>
      <c r="CI850" s="48"/>
      <c r="CJ850" s="48"/>
      <c r="CK850" s="48"/>
      <c r="CL850" s="48"/>
      <c r="CM850" s="48"/>
      <c r="CN850" s="48"/>
      <c r="CO850" s="48"/>
      <c r="CP850" s="48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  <c r="DA850" s="48"/>
      <c r="DB850" s="48"/>
      <c r="DC850" s="48"/>
      <c r="DD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175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175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  <c r="BD851" s="48"/>
      <c r="BE851" s="48"/>
      <c r="BF851" s="48"/>
      <c r="BG851" s="48"/>
      <c r="BH851" s="48"/>
      <c r="BI851" s="48"/>
      <c r="BJ851" s="48"/>
      <c r="BK851" s="48"/>
      <c r="BL851" s="48"/>
      <c r="BM851" s="48"/>
      <c r="BN851" s="48"/>
      <c r="BO851" s="48"/>
      <c r="BP851" s="48"/>
      <c r="BQ851" s="48"/>
      <c r="BR851" s="48"/>
      <c r="BS851" s="48"/>
      <c r="BT851" s="48"/>
      <c r="BU851" s="48"/>
      <c r="BV851" s="48"/>
      <c r="BW851" s="48"/>
      <c r="BX851" s="48"/>
      <c r="BY851" s="48"/>
      <c r="BZ851" s="48"/>
      <c r="CA851" s="48"/>
      <c r="CB851" s="48"/>
      <c r="CC851" s="48"/>
      <c r="CD851" s="48"/>
      <c r="CE851" s="48"/>
      <c r="CF851" s="48"/>
      <c r="CG851" s="48"/>
      <c r="CH851" s="48"/>
      <c r="CI851" s="48"/>
      <c r="CJ851" s="48"/>
      <c r="CK851" s="48"/>
      <c r="CL851" s="48"/>
      <c r="CM851" s="48"/>
      <c r="CN851" s="48"/>
      <c r="CO851" s="48"/>
      <c r="CP851" s="48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  <c r="DA851" s="48"/>
      <c r="DB851" s="48"/>
      <c r="DC851" s="48"/>
      <c r="DD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175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175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  <c r="BD852" s="48"/>
      <c r="BE852" s="48"/>
      <c r="BF852" s="48"/>
      <c r="BG852" s="48"/>
      <c r="BH852" s="48"/>
      <c r="BI852" s="48"/>
      <c r="BJ852" s="48"/>
      <c r="BK852" s="48"/>
      <c r="BL852" s="48"/>
      <c r="BM852" s="48"/>
      <c r="BN852" s="48"/>
      <c r="BO852" s="48"/>
      <c r="BP852" s="48"/>
      <c r="BQ852" s="48"/>
      <c r="BR852" s="48"/>
      <c r="BS852" s="48"/>
      <c r="BT852" s="48"/>
      <c r="BU852" s="48"/>
      <c r="BV852" s="48"/>
      <c r="BW852" s="48"/>
      <c r="BX852" s="48"/>
      <c r="BY852" s="48"/>
      <c r="BZ852" s="48"/>
      <c r="CA852" s="48"/>
      <c r="CB852" s="48"/>
      <c r="CC852" s="48"/>
      <c r="CD852" s="48"/>
      <c r="CE852" s="48"/>
      <c r="CF852" s="48"/>
      <c r="CG852" s="48"/>
      <c r="CH852" s="48"/>
      <c r="CI852" s="48"/>
      <c r="CJ852" s="48"/>
      <c r="CK852" s="48"/>
      <c r="CL852" s="48"/>
      <c r="CM852" s="48"/>
      <c r="CN852" s="48"/>
      <c r="CO852" s="48"/>
      <c r="CP852" s="48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  <c r="DA852" s="48"/>
      <c r="DB852" s="48"/>
      <c r="DC852" s="48"/>
      <c r="DD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175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175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  <c r="BD853" s="48"/>
      <c r="BE853" s="48"/>
      <c r="BF853" s="48"/>
      <c r="BG853" s="48"/>
      <c r="BH853" s="48"/>
      <c r="BI853" s="48"/>
      <c r="BJ853" s="48"/>
      <c r="BK853" s="48"/>
      <c r="BL853" s="48"/>
      <c r="BM853" s="48"/>
      <c r="BN853" s="48"/>
      <c r="BO853" s="48"/>
      <c r="BP853" s="48"/>
      <c r="BQ853" s="48"/>
      <c r="BR853" s="48"/>
      <c r="BS853" s="48"/>
      <c r="BT853" s="48"/>
      <c r="BU853" s="48"/>
      <c r="BV853" s="48"/>
      <c r="BW853" s="48"/>
      <c r="BX853" s="48"/>
      <c r="BY853" s="48"/>
      <c r="BZ853" s="48"/>
      <c r="CA853" s="48"/>
      <c r="CB853" s="48"/>
      <c r="CC853" s="48"/>
      <c r="CD853" s="48"/>
      <c r="CE853" s="48"/>
      <c r="CF853" s="48"/>
      <c r="CG853" s="48"/>
      <c r="CH853" s="48"/>
      <c r="CI853" s="48"/>
      <c r="CJ853" s="48"/>
      <c r="CK853" s="48"/>
      <c r="CL853" s="48"/>
      <c r="CM853" s="48"/>
      <c r="CN853" s="48"/>
      <c r="CO853" s="48"/>
      <c r="CP853" s="48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  <c r="DA853" s="48"/>
      <c r="DB853" s="48"/>
      <c r="DC853" s="48"/>
      <c r="DD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175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175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  <c r="BD854" s="48"/>
      <c r="BE854" s="48"/>
      <c r="BF854" s="48"/>
      <c r="BG854" s="48"/>
      <c r="BH854" s="48"/>
      <c r="BI854" s="48"/>
      <c r="BJ854" s="48"/>
      <c r="BK854" s="48"/>
      <c r="BL854" s="48"/>
      <c r="BM854" s="48"/>
      <c r="BN854" s="48"/>
      <c r="BO854" s="48"/>
      <c r="BP854" s="48"/>
      <c r="BQ854" s="48"/>
      <c r="BR854" s="48"/>
      <c r="BS854" s="48"/>
      <c r="BT854" s="48"/>
      <c r="BU854" s="48"/>
      <c r="BV854" s="48"/>
      <c r="BW854" s="48"/>
      <c r="BX854" s="48"/>
      <c r="BY854" s="48"/>
      <c r="BZ854" s="48"/>
      <c r="CA854" s="48"/>
      <c r="CB854" s="48"/>
      <c r="CC854" s="48"/>
      <c r="CD854" s="48"/>
      <c r="CE854" s="48"/>
      <c r="CF854" s="48"/>
      <c r="CG854" s="48"/>
      <c r="CH854" s="48"/>
      <c r="CI854" s="48"/>
      <c r="CJ854" s="48"/>
      <c r="CK854" s="48"/>
      <c r="CL854" s="48"/>
      <c r="CM854" s="48"/>
      <c r="CN854" s="48"/>
      <c r="CO854" s="48"/>
      <c r="CP854" s="48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  <c r="DA854" s="48"/>
      <c r="DB854" s="48"/>
      <c r="DC854" s="48"/>
      <c r="DD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175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175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  <c r="BD855" s="48"/>
      <c r="BE855" s="48"/>
      <c r="BF855" s="48"/>
      <c r="BG855" s="48"/>
      <c r="BH855" s="48"/>
      <c r="BI855" s="48"/>
      <c r="BJ855" s="48"/>
      <c r="BK855" s="48"/>
      <c r="BL855" s="48"/>
      <c r="BM855" s="48"/>
      <c r="BN855" s="48"/>
      <c r="BO855" s="48"/>
      <c r="BP855" s="48"/>
      <c r="BQ855" s="48"/>
      <c r="BR855" s="48"/>
      <c r="BS855" s="48"/>
      <c r="BT855" s="48"/>
      <c r="BU855" s="48"/>
      <c r="BV855" s="48"/>
      <c r="BW855" s="48"/>
      <c r="BX855" s="48"/>
      <c r="BY855" s="48"/>
      <c r="BZ855" s="48"/>
      <c r="CA855" s="48"/>
      <c r="CB855" s="48"/>
      <c r="CC855" s="48"/>
      <c r="CD855" s="48"/>
      <c r="CE855" s="48"/>
      <c r="CF855" s="48"/>
      <c r="CG855" s="48"/>
      <c r="CH855" s="48"/>
      <c r="CI855" s="48"/>
      <c r="CJ855" s="48"/>
      <c r="CK855" s="48"/>
      <c r="CL855" s="48"/>
      <c r="CM855" s="48"/>
      <c r="CN855" s="48"/>
      <c r="CO855" s="48"/>
      <c r="CP855" s="48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  <c r="DA855" s="48"/>
      <c r="DB855" s="48"/>
      <c r="DC855" s="48"/>
      <c r="DD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175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175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  <c r="BD856" s="48"/>
      <c r="BE856" s="48"/>
      <c r="BF856" s="48"/>
      <c r="BG856" s="48"/>
      <c r="BH856" s="48"/>
      <c r="BI856" s="48"/>
      <c r="BJ856" s="48"/>
      <c r="BK856" s="48"/>
      <c r="BL856" s="48"/>
      <c r="BM856" s="48"/>
      <c r="BN856" s="48"/>
      <c r="BO856" s="48"/>
      <c r="BP856" s="48"/>
      <c r="BQ856" s="48"/>
      <c r="BR856" s="48"/>
      <c r="BS856" s="48"/>
      <c r="BT856" s="48"/>
      <c r="BU856" s="48"/>
      <c r="BV856" s="48"/>
      <c r="BW856" s="48"/>
      <c r="BX856" s="48"/>
      <c r="BY856" s="48"/>
      <c r="BZ856" s="48"/>
      <c r="CA856" s="48"/>
      <c r="CB856" s="48"/>
      <c r="CC856" s="48"/>
      <c r="CD856" s="48"/>
      <c r="CE856" s="48"/>
      <c r="CF856" s="48"/>
      <c r="CG856" s="48"/>
      <c r="CH856" s="48"/>
      <c r="CI856" s="48"/>
      <c r="CJ856" s="48"/>
      <c r="CK856" s="48"/>
      <c r="CL856" s="48"/>
      <c r="CM856" s="48"/>
      <c r="CN856" s="48"/>
      <c r="CO856" s="48"/>
      <c r="CP856" s="48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  <c r="DA856" s="48"/>
      <c r="DB856" s="48"/>
      <c r="DC856" s="48"/>
      <c r="DD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175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175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  <c r="BD857" s="48"/>
      <c r="BE857" s="48"/>
      <c r="BF857" s="48"/>
      <c r="BG857" s="48"/>
      <c r="BH857" s="48"/>
      <c r="BI857" s="48"/>
      <c r="BJ857" s="48"/>
      <c r="BK857" s="48"/>
      <c r="BL857" s="48"/>
      <c r="BM857" s="48"/>
      <c r="BN857" s="48"/>
      <c r="BO857" s="48"/>
      <c r="BP857" s="48"/>
      <c r="BQ857" s="48"/>
      <c r="BR857" s="48"/>
      <c r="BS857" s="48"/>
      <c r="BT857" s="48"/>
      <c r="BU857" s="48"/>
      <c r="BV857" s="48"/>
      <c r="BW857" s="48"/>
      <c r="BX857" s="48"/>
      <c r="BY857" s="48"/>
      <c r="BZ857" s="48"/>
      <c r="CA857" s="48"/>
      <c r="CB857" s="48"/>
      <c r="CC857" s="48"/>
      <c r="CD857" s="48"/>
      <c r="CE857" s="48"/>
      <c r="CF857" s="48"/>
      <c r="CG857" s="48"/>
      <c r="CH857" s="48"/>
      <c r="CI857" s="48"/>
      <c r="CJ857" s="48"/>
      <c r="CK857" s="48"/>
      <c r="CL857" s="48"/>
      <c r="CM857" s="48"/>
      <c r="CN857" s="48"/>
      <c r="CO857" s="48"/>
      <c r="CP857" s="48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  <c r="DA857" s="48"/>
      <c r="DB857" s="48"/>
      <c r="DC857" s="48"/>
      <c r="DD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175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175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  <c r="CO858" s="48"/>
      <c r="CP858" s="48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175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175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  <c r="BD859" s="48"/>
      <c r="BE859" s="48"/>
      <c r="BF859" s="48"/>
      <c r="BG859" s="48"/>
      <c r="BH859" s="48"/>
      <c r="BI859" s="48"/>
      <c r="BJ859" s="48"/>
      <c r="BK859" s="48"/>
      <c r="BL859" s="48"/>
      <c r="BM859" s="48"/>
      <c r="BN859" s="48"/>
      <c r="BO859" s="48"/>
      <c r="BP859" s="48"/>
      <c r="BQ859" s="48"/>
      <c r="BR859" s="48"/>
      <c r="BS859" s="48"/>
      <c r="BT859" s="48"/>
      <c r="BU859" s="48"/>
      <c r="BV859" s="48"/>
      <c r="BW859" s="48"/>
      <c r="BX859" s="48"/>
      <c r="BY859" s="48"/>
      <c r="BZ859" s="48"/>
      <c r="CA859" s="48"/>
      <c r="CB859" s="48"/>
      <c r="CC859" s="48"/>
      <c r="CD859" s="48"/>
      <c r="CE859" s="48"/>
      <c r="CF859" s="48"/>
      <c r="CG859" s="48"/>
      <c r="CH859" s="48"/>
      <c r="CI859" s="48"/>
      <c r="CJ859" s="48"/>
      <c r="CK859" s="48"/>
      <c r="CL859" s="48"/>
      <c r="CM859" s="48"/>
      <c r="CN859" s="48"/>
      <c r="CO859" s="48"/>
      <c r="CP859" s="48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  <c r="DA859" s="48"/>
      <c r="DB859" s="48"/>
      <c r="DC859" s="48"/>
      <c r="DD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175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175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  <c r="BD860" s="48"/>
      <c r="BE860" s="48"/>
      <c r="BF860" s="48"/>
      <c r="BG860" s="48"/>
      <c r="BH860" s="48"/>
      <c r="BI860" s="48"/>
      <c r="BJ860" s="48"/>
      <c r="BK860" s="48"/>
      <c r="BL860" s="48"/>
      <c r="BM860" s="48"/>
      <c r="BN860" s="48"/>
      <c r="BO860" s="48"/>
      <c r="BP860" s="48"/>
      <c r="BQ860" s="48"/>
      <c r="BR860" s="48"/>
      <c r="BS860" s="48"/>
      <c r="BT860" s="48"/>
      <c r="BU860" s="48"/>
      <c r="BV860" s="48"/>
      <c r="BW860" s="48"/>
      <c r="BX860" s="48"/>
      <c r="BY860" s="48"/>
      <c r="BZ860" s="48"/>
      <c r="CA860" s="48"/>
      <c r="CB860" s="48"/>
      <c r="CC860" s="48"/>
      <c r="CD860" s="48"/>
      <c r="CE860" s="48"/>
      <c r="CF860" s="48"/>
      <c r="CG860" s="48"/>
      <c r="CH860" s="48"/>
      <c r="CI860" s="48"/>
      <c r="CJ860" s="48"/>
      <c r="CK860" s="48"/>
      <c r="CL860" s="48"/>
      <c r="CM860" s="48"/>
      <c r="CN860" s="48"/>
      <c r="CO860" s="48"/>
      <c r="CP860" s="48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  <c r="DA860" s="48"/>
      <c r="DB860" s="48"/>
      <c r="DC860" s="48"/>
      <c r="DD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175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175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  <c r="BD861" s="48"/>
      <c r="BE861" s="48"/>
      <c r="BF861" s="48"/>
      <c r="BG861" s="48"/>
      <c r="BH861" s="48"/>
      <c r="BI861" s="48"/>
      <c r="BJ861" s="48"/>
      <c r="BK861" s="48"/>
      <c r="BL861" s="48"/>
      <c r="BM861" s="48"/>
      <c r="BN861" s="48"/>
      <c r="BO861" s="48"/>
      <c r="BP861" s="48"/>
      <c r="BQ861" s="48"/>
      <c r="BR861" s="48"/>
      <c r="BS861" s="48"/>
      <c r="BT861" s="48"/>
      <c r="BU861" s="48"/>
      <c r="BV861" s="48"/>
      <c r="BW861" s="48"/>
      <c r="BX861" s="48"/>
      <c r="BY861" s="48"/>
      <c r="BZ861" s="48"/>
      <c r="CA861" s="48"/>
      <c r="CB861" s="48"/>
      <c r="CC861" s="48"/>
      <c r="CD861" s="48"/>
      <c r="CE861" s="48"/>
      <c r="CF861" s="48"/>
      <c r="CG861" s="48"/>
      <c r="CH861" s="48"/>
      <c r="CI861" s="48"/>
      <c r="CJ861" s="48"/>
      <c r="CK861" s="48"/>
      <c r="CL861" s="48"/>
      <c r="CM861" s="48"/>
      <c r="CN861" s="48"/>
      <c r="CO861" s="48"/>
      <c r="CP861" s="48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  <c r="DA861" s="48"/>
      <c r="DB861" s="48"/>
      <c r="DC861" s="48"/>
      <c r="DD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175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175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8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175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175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  <c r="BD863" s="48"/>
      <c r="BE863" s="48"/>
      <c r="BF863" s="48"/>
      <c r="BG863" s="48"/>
      <c r="BH863" s="48"/>
      <c r="BI863" s="48"/>
      <c r="BJ863" s="48"/>
      <c r="BK863" s="48"/>
      <c r="BL863" s="48"/>
      <c r="BM863" s="48"/>
      <c r="BN863" s="48"/>
      <c r="BO863" s="48"/>
      <c r="BP863" s="48"/>
      <c r="BQ863" s="48"/>
      <c r="BR863" s="48"/>
      <c r="BS863" s="48"/>
      <c r="BT863" s="48"/>
      <c r="BU863" s="48"/>
      <c r="BV863" s="48"/>
      <c r="BW863" s="48"/>
      <c r="BX863" s="48"/>
      <c r="BY863" s="48"/>
      <c r="BZ863" s="48"/>
      <c r="CA863" s="48"/>
      <c r="CB863" s="48"/>
      <c r="CC863" s="48"/>
      <c r="CD863" s="48"/>
      <c r="CE863" s="48"/>
      <c r="CF863" s="48"/>
      <c r="CG863" s="48"/>
      <c r="CH863" s="48"/>
      <c r="CI863" s="48"/>
      <c r="CJ863" s="48"/>
      <c r="CK863" s="48"/>
      <c r="CL863" s="48"/>
      <c r="CM863" s="48"/>
      <c r="CN863" s="48"/>
      <c r="CO863" s="48"/>
      <c r="CP863" s="48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  <c r="DA863" s="48"/>
      <c r="DB863" s="48"/>
      <c r="DC863" s="48"/>
      <c r="DD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175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175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  <c r="BD864" s="48"/>
      <c r="BE864" s="48"/>
      <c r="BF864" s="48"/>
      <c r="BG864" s="48"/>
      <c r="BH864" s="48"/>
      <c r="BI864" s="48"/>
      <c r="BJ864" s="48"/>
      <c r="BK864" s="48"/>
      <c r="BL864" s="48"/>
      <c r="BM864" s="48"/>
      <c r="BN864" s="48"/>
      <c r="BO864" s="48"/>
      <c r="BP864" s="48"/>
      <c r="BQ864" s="48"/>
      <c r="BR864" s="48"/>
      <c r="BS864" s="48"/>
      <c r="BT864" s="48"/>
      <c r="BU864" s="48"/>
      <c r="BV864" s="48"/>
      <c r="BW864" s="48"/>
      <c r="BX864" s="48"/>
      <c r="BY864" s="48"/>
      <c r="BZ864" s="48"/>
      <c r="CA864" s="48"/>
      <c r="CB864" s="48"/>
      <c r="CC864" s="48"/>
      <c r="CD864" s="48"/>
      <c r="CE864" s="48"/>
      <c r="CF864" s="48"/>
      <c r="CG864" s="48"/>
      <c r="CH864" s="48"/>
      <c r="CI864" s="48"/>
      <c r="CJ864" s="48"/>
      <c r="CK864" s="48"/>
      <c r="CL864" s="48"/>
      <c r="CM864" s="48"/>
      <c r="CN864" s="48"/>
      <c r="CO864" s="48"/>
      <c r="CP864" s="48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  <c r="DA864" s="48"/>
      <c r="DB864" s="48"/>
      <c r="DC864" s="48"/>
      <c r="DD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175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175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8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175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175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  <c r="BD866" s="48"/>
      <c r="BE866" s="48"/>
      <c r="BF866" s="48"/>
      <c r="BG866" s="48"/>
      <c r="BH866" s="48"/>
      <c r="BI866" s="48"/>
      <c r="BJ866" s="48"/>
      <c r="BK866" s="48"/>
      <c r="BL866" s="48"/>
      <c r="BM866" s="48"/>
      <c r="BN866" s="48"/>
      <c r="BO866" s="48"/>
      <c r="BP866" s="48"/>
      <c r="BQ866" s="48"/>
      <c r="BR866" s="48"/>
      <c r="BS866" s="48"/>
      <c r="BT866" s="48"/>
      <c r="BU866" s="48"/>
      <c r="BV866" s="48"/>
      <c r="BW866" s="48"/>
      <c r="BX866" s="48"/>
      <c r="BY866" s="48"/>
      <c r="BZ866" s="48"/>
      <c r="CA866" s="48"/>
      <c r="CB866" s="48"/>
      <c r="CC866" s="48"/>
      <c r="CD866" s="48"/>
      <c r="CE866" s="48"/>
      <c r="CF866" s="48"/>
      <c r="CG866" s="48"/>
      <c r="CH866" s="48"/>
      <c r="CI866" s="48"/>
      <c r="CJ866" s="48"/>
      <c r="CK866" s="48"/>
      <c r="CL866" s="48"/>
      <c r="CM866" s="48"/>
      <c r="CN866" s="48"/>
      <c r="CO866" s="48"/>
      <c r="CP866" s="48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  <c r="DA866" s="48"/>
      <c r="DB866" s="48"/>
      <c r="DC866" s="48"/>
      <c r="DD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175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175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  <c r="BD867" s="48"/>
      <c r="BE867" s="48"/>
      <c r="BF867" s="48"/>
      <c r="BG867" s="48"/>
      <c r="BH867" s="48"/>
      <c r="BI867" s="48"/>
      <c r="BJ867" s="48"/>
      <c r="BK867" s="48"/>
      <c r="BL867" s="48"/>
      <c r="BM867" s="48"/>
      <c r="BN867" s="48"/>
      <c r="BO867" s="48"/>
      <c r="BP867" s="48"/>
      <c r="BQ867" s="48"/>
      <c r="BR867" s="48"/>
      <c r="BS867" s="48"/>
      <c r="BT867" s="48"/>
      <c r="BU867" s="48"/>
      <c r="BV867" s="48"/>
      <c r="BW867" s="48"/>
      <c r="BX867" s="48"/>
      <c r="BY867" s="48"/>
      <c r="BZ867" s="48"/>
      <c r="CA867" s="48"/>
      <c r="CB867" s="48"/>
      <c r="CC867" s="48"/>
      <c r="CD867" s="48"/>
      <c r="CE867" s="48"/>
      <c r="CF867" s="48"/>
      <c r="CG867" s="48"/>
      <c r="CH867" s="48"/>
      <c r="CI867" s="48"/>
      <c r="CJ867" s="48"/>
      <c r="CK867" s="48"/>
      <c r="CL867" s="48"/>
      <c r="CM867" s="48"/>
      <c r="CN867" s="48"/>
      <c r="CO867" s="48"/>
      <c r="CP867" s="48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  <c r="DA867" s="48"/>
      <c r="DB867" s="48"/>
      <c r="DC867" s="48"/>
      <c r="DD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175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175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  <c r="BD868" s="48"/>
      <c r="BE868" s="48"/>
      <c r="BF868" s="48"/>
      <c r="BG868" s="48"/>
      <c r="BH868" s="48"/>
      <c r="BI868" s="48"/>
      <c r="BJ868" s="48"/>
      <c r="BK868" s="48"/>
      <c r="BL868" s="48"/>
      <c r="BM868" s="48"/>
      <c r="BN868" s="48"/>
      <c r="BO868" s="48"/>
      <c r="BP868" s="48"/>
      <c r="BQ868" s="48"/>
      <c r="BR868" s="48"/>
      <c r="BS868" s="48"/>
      <c r="BT868" s="48"/>
      <c r="BU868" s="48"/>
      <c r="BV868" s="48"/>
      <c r="BW868" s="48"/>
      <c r="BX868" s="48"/>
      <c r="BY868" s="48"/>
      <c r="BZ868" s="48"/>
      <c r="CA868" s="48"/>
      <c r="CB868" s="48"/>
      <c r="CC868" s="48"/>
      <c r="CD868" s="48"/>
      <c r="CE868" s="48"/>
      <c r="CF868" s="48"/>
      <c r="CG868" s="48"/>
      <c r="CH868" s="48"/>
      <c r="CI868" s="48"/>
      <c r="CJ868" s="48"/>
      <c r="CK868" s="48"/>
      <c r="CL868" s="48"/>
      <c r="CM868" s="48"/>
      <c r="CN868" s="48"/>
      <c r="CO868" s="48"/>
      <c r="CP868" s="48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  <c r="DA868" s="48"/>
      <c r="DB868" s="48"/>
      <c r="DC868" s="48"/>
      <c r="DD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175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175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  <c r="BD869" s="48"/>
      <c r="BE869" s="48"/>
      <c r="BF869" s="48"/>
      <c r="BG869" s="48"/>
      <c r="BH869" s="48"/>
      <c r="BI869" s="48"/>
      <c r="BJ869" s="48"/>
      <c r="BK869" s="48"/>
      <c r="BL869" s="48"/>
      <c r="BM869" s="48"/>
      <c r="BN869" s="48"/>
      <c r="BO869" s="48"/>
      <c r="BP869" s="48"/>
      <c r="BQ869" s="48"/>
      <c r="BR869" s="48"/>
      <c r="BS869" s="48"/>
      <c r="BT869" s="48"/>
      <c r="BU869" s="48"/>
      <c r="BV869" s="48"/>
      <c r="BW869" s="48"/>
      <c r="BX869" s="48"/>
      <c r="BY869" s="48"/>
      <c r="BZ869" s="48"/>
      <c r="CA869" s="48"/>
      <c r="CB869" s="48"/>
      <c r="CC869" s="48"/>
      <c r="CD869" s="48"/>
      <c r="CE869" s="48"/>
      <c r="CF869" s="48"/>
      <c r="CG869" s="48"/>
      <c r="CH869" s="48"/>
      <c r="CI869" s="48"/>
      <c r="CJ869" s="48"/>
      <c r="CK869" s="48"/>
      <c r="CL869" s="48"/>
      <c r="CM869" s="48"/>
      <c r="CN869" s="48"/>
      <c r="CO869" s="48"/>
      <c r="CP869" s="48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  <c r="DA869" s="48"/>
      <c r="DB869" s="48"/>
      <c r="DC869" s="48"/>
      <c r="DD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175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175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  <c r="BD870" s="48"/>
      <c r="BE870" s="48"/>
      <c r="BF870" s="48"/>
      <c r="BG870" s="48"/>
      <c r="BH870" s="48"/>
      <c r="BI870" s="48"/>
      <c r="BJ870" s="48"/>
      <c r="BK870" s="48"/>
      <c r="BL870" s="48"/>
      <c r="BM870" s="48"/>
      <c r="BN870" s="48"/>
      <c r="BO870" s="48"/>
      <c r="BP870" s="48"/>
      <c r="BQ870" s="48"/>
      <c r="BR870" s="48"/>
      <c r="BS870" s="48"/>
      <c r="BT870" s="48"/>
      <c r="BU870" s="48"/>
      <c r="BV870" s="48"/>
      <c r="BW870" s="48"/>
      <c r="BX870" s="48"/>
      <c r="BY870" s="48"/>
      <c r="BZ870" s="48"/>
      <c r="CA870" s="48"/>
      <c r="CB870" s="48"/>
      <c r="CC870" s="48"/>
      <c r="CD870" s="48"/>
      <c r="CE870" s="48"/>
      <c r="CF870" s="48"/>
      <c r="CG870" s="48"/>
      <c r="CH870" s="48"/>
      <c r="CI870" s="48"/>
      <c r="CJ870" s="48"/>
      <c r="CK870" s="48"/>
      <c r="CL870" s="48"/>
      <c r="CM870" s="48"/>
      <c r="CN870" s="48"/>
      <c r="CO870" s="48"/>
      <c r="CP870" s="48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  <c r="DA870" s="48"/>
      <c r="DB870" s="48"/>
      <c r="DC870" s="48"/>
      <c r="DD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175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175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8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175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175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  <c r="BD872" s="48"/>
      <c r="BE872" s="48"/>
      <c r="BF872" s="48"/>
      <c r="BG872" s="48"/>
      <c r="BH872" s="48"/>
      <c r="BI872" s="48"/>
      <c r="BJ872" s="48"/>
      <c r="BK872" s="48"/>
      <c r="BL872" s="48"/>
      <c r="BM872" s="48"/>
      <c r="BN872" s="48"/>
      <c r="BO872" s="48"/>
      <c r="BP872" s="48"/>
      <c r="BQ872" s="48"/>
      <c r="BR872" s="48"/>
      <c r="BS872" s="48"/>
      <c r="BT872" s="48"/>
      <c r="BU872" s="48"/>
      <c r="BV872" s="48"/>
      <c r="BW872" s="48"/>
      <c r="BX872" s="48"/>
      <c r="BY872" s="48"/>
      <c r="BZ872" s="48"/>
      <c r="CA872" s="48"/>
      <c r="CB872" s="48"/>
      <c r="CC872" s="48"/>
      <c r="CD872" s="48"/>
      <c r="CE872" s="48"/>
      <c r="CF872" s="48"/>
      <c r="CG872" s="48"/>
      <c r="CH872" s="48"/>
      <c r="CI872" s="48"/>
      <c r="CJ872" s="48"/>
      <c r="CK872" s="48"/>
      <c r="CL872" s="48"/>
      <c r="CM872" s="48"/>
      <c r="CN872" s="48"/>
      <c r="CO872" s="48"/>
      <c r="CP872" s="48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  <c r="DA872" s="48"/>
      <c r="DB872" s="48"/>
      <c r="DC872" s="48"/>
      <c r="DD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175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175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  <c r="CO873" s="48"/>
      <c r="CP873" s="48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175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175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  <c r="BD874" s="48"/>
      <c r="BE874" s="48"/>
      <c r="BF874" s="48"/>
      <c r="BG874" s="48"/>
      <c r="BH874" s="48"/>
      <c r="BI874" s="48"/>
      <c r="BJ874" s="48"/>
      <c r="BK874" s="48"/>
      <c r="BL874" s="48"/>
      <c r="BM874" s="48"/>
      <c r="BN874" s="48"/>
      <c r="BO874" s="48"/>
      <c r="BP874" s="48"/>
      <c r="BQ874" s="48"/>
      <c r="BR874" s="48"/>
      <c r="BS874" s="48"/>
      <c r="BT874" s="48"/>
      <c r="BU874" s="48"/>
      <c r="BV874" s="48"/>
      <c r="BW874" s="48"/>
      <c r="BX874" s="48"/>
      <c r="BY874" s="48"/>
      <c r="BZ874" s="48"/>
      <c r="CA874" s="48"/>
      <c r="CB874" s="48"/>
      <c r="CC874" s="48"/>
      <c r="CD874" s="48"/>
      <c r="CE874" s="48"/>
      <c r="CF874" s="48"/>
      <c r="CG874" s="48"/>
      <c r="CH874" s="48"/>
      <c r="CI874" s="48"/>
      <c r="CJ874" s="48"/>
      <c r="CK874" s="48"/>
      <c r="CL874" s="48"/>
      <c r="CM874" s="48"/>
      <c r="CN874" s="48"/>
      <c r="CO874" s="48"/>
      <c r="CP874" s="48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  <c r="DA874" s="48"/>
      <c r="DB874" s="48"/>
      <c r="DC874" s="48"/>
      <c r="DD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175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175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  <c r="BD875" s="48"/>
      <c r="BE875" s="48"/>
      <c r="BF875" s="48"/>
      <c r="BG875" s="48"/>
      <c r="BH875" s="48"/>
      <c r="BI875" s="48"/>
      <c r="BJ875" s="48"/>
      <c r="BK875" s="48"/>
      <c r="BL875" s="48"/>
      <c r="BM875" s="48"/>
      <c r="BN875" s="48"/>
      <c r="BO875" s="48"/>
      <c r="BP875" s="48"/>
      <c r="BQ875" s="48"/>
      <c r="BR875" s="48"/>
      <c r="BS875" s="48"/>
      <c r="BT875" s="48"/>
      <c r="BU875" s="48"/>
      <c r="BV875" s="48"/>
      <c r="BW875" s="48"/>
      <c r="BX875" s="48"/>
      <c r="BY875" s="48"/>
      <c r="BZ875" s="48"/>
      <c r="CA875" s="48"/>
      <c r="CB875" s="48"/>
      <c r="CC875" s="48"/>
      <c r="CD875" s="48"/>
      <c r="CE875" s="48"/>
      <c r="CF875" s="48"/>
      <c r="CG875" s="48"/>
      <c r="CH875" s="48"/>
      <c r="CI875" s="48"/>
      <c r="CJ875" s="48"/>
      <c r="CK875" s="48"/>
      <c r="CL875" s="48"/>
      <c r="CM875" s="48"/>
      <c r="CN875" s="48"/>
      <c r="CO875" s="48"/>
      <c r="CP875" s="48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  <c r="DA875" s="48"/>
      <c r="DB875" s="48"/>
      <c r="DC875" s="48"/>
      <c r="DD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175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175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  <c r="CO876" s="48"/>
      <c r="CP876" s="48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175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175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  <c r="BD877" s="48"/>
      <c r="BE877" s="48"/>
      <c r="BF877" s="48"/>
      <c r="BG877" s="48"/>
      <c r="BH877" s="48"/>
      <c r="BI877" s="48"/>
      <c r="BJ877" s="48"/>
      <c r="BK877" s="48"/>
      <c r="BL877" s="48"/>
      <c r="BM877" s="48"/>
      <c r="BN877" s="48"/>
      <c r="BO877" s="48"/>
      <c r="BP877" s="48"/>
      <c r="BQ877" s="48"/>
      <c r="BR877" s="48"/>
      <c r="BS877" s="48"/>
      <c r="BT877" s="48"/>
      <c r="BU877" s="48"/>
      <c r="BV877" s="48"/>
      <c r="BW877" s="48"/>
      <c r="BX877" s="48"/>
      <c r="BY877" s="48"/>
      <c r="BZ877" s="48"/>
      <c r="CA877" s="48"/>
      <c r="CB877" s="48"/>
      <c r="CC877" s="48"/>
      <c r="CD877" s="48"/>
      <c r="CE877" s="48"/>
      <c r="CF877" s="48"/>
      <c r="CG877" s="48"/>
      <c r="CH877" s="48"/>
      <c r="CI877" s="48"/>
      <c r="CJ877" s="48"/>
      <c r="CK877" s="48"/>
      <c r="CL877" s="48"/>
      <c r="CM877" s="48"/>
      <c r="CN877" s="48"/>
      <c r="CO877" s="48"/>
      <c r="CP877" s="48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  <c r="DA877" s="48"/>
      <c r="DB877" s="48"/>
      <c r="DC877" s="48"/>
      <c r="DD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175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175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  <c r="BD878" s="48"/>
      <c r="BE878" s="48"/>
      <c r="BF878" s="48"/>
      <c r="BG878" s="48"/>
      <c r="BH878" s="48"/>
      <c r="BI878" s="48"/>
      <c r="BJ878" s="48"/>
      <c r="BK878" s="48"/>
      <c r="BL878" s="48"/>
      <c r="BM878" s="48"/>
      <c r="BN878" s="48"/>
      <c r="BO878" s="48"/>
      <c r="BP878" s="48"/>
      <c r="BQ878" s="48"/>
      <c r="BR878" s="48"/>
      <c r="BS878" s="48"/>
      <c r="BT878" s="48"/>
      <c r="BU878" s="48"/>
      <c r="BV878" s="48"/>
      <c r="BW878" s="48"/>
      <c r="BX878" s="48"/>
      <c r="BY878" s="48"/>
      <c r="BZ878" s="48"/>
      <c r="CA878" s="48"/>
      <c r="CB878" s="48"/>
      <c r="CC878" s="48"/>
      <c r="CD878" s="48"/>
      <c r="CE878" s="48"/>
      <c r="CF878" s="48"/>
      <c r="CG878" s="48"/>
      <c r="CH878" s="48"/>
      <c r="CI878" s="48"/>
      <c r="CJ878" s="48"/>
      <c r="CK878" s="48"/>
      <c r="CL878" s="48"/>
      <c r="CM878" s="48"/>
      <c r="CN878" s="48"/>
      <c r="CO878" s="48"/>
      <c r="CP878" s="48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  <c r="DA878" s="48"/>
      <c r="DB878" s="48"/>
      <c r="DC878" s="48"/>
      <c r="DD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175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175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  <c r="BD879" s="48"/>
      <c r="BE879" s="48"/>
      <c r="BF879" s="48"/>
      <c r="BG879" s="48"/>
      <c r="BH879" s="48"/>
      <c r="BI879" s="48"/>
      <c r="BJ879" s="48"/>
      <c r="BK879" s="48"/>
      <c r="BL879" s="48"/>
      <c r="BM879" s="48"/>
      <c r="BN879" s="48"/>
      <c r="BO879" s="48"/>
      <c r="BP879" s="48"/>
      <c r="BQ879" s="48"/>
      <c r="BR879" s="48"/>
      <c r="BS879" s="48"/>
      <c r="BT879" s="48"/>
      <c r="BU879" s="48"/>
      <c r="BV879" s="48"/>
      <c r="BW879" s="48"/>
      <c r="BX879" s="48"/>
      <c r="BY879" s="48"/>
      <c r="BZ879" s="48"/>
      <c r="CA879" s="48"/>
      <c r="CB879" s="48"/>
      <c r="CC879" s="48"/>
      <c r="CD879" s="48"/>
      <c r="CE879" s="48"/>
      <c r="CF879" s="48"/>
      <c r="CG879" s="48"/>
      <c r="CH879" s="48"/>
      <c r="CI879" s="48"/>
      <c r="CJ879" s="48"/>
      <c r="CK879" s="48"/>
      <c r="CL879" s="48"/>
      <c r="CM879" s="48"/>
      <c r="CN879" s="48"/>
      <c r="CO879" s="48"/>
      <c r="CP879" s="48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  <c r="DA879" s="48"/>
      <c r="DB879" s="48"/>
      <c r="DC879" s="48"/>
      <c r="DD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175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175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8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175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175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  <c r="BD881" s="48"/>
      <c r="BE881" s="48"/>
      <c r="BF881" s="48"/>
      <c r="BG881" s="48"/>
      <c r="BH881" s="48"/>
      <c r="BI881" s="48"/>
      <c r="BJ881" s="48"/>
      <c r="BK881" s="48"/>
      <c r="BL881" s="48"/>
      <c r="BM881" s="48"/>
      <c r="BN881" s="48"/>
      <c r="BO881" s="48"/>
      <c r="BP881" s="48"/>
      <c r="BQ881" s="48"/>
      <c r="BR881" s="48"/>
      <c r="BS881" s="48"/>
      <c r="BT881" s="48"/>
      <c r="BU881" s="48"/>
      <c r="BV881" s="48"/>
      <c r="BW881" s="48"/>
      <c r="BX881" s="48"/>
      <c r="BY881" s="48"/>
      <c r="BZ881" s="48"/>
      <c r="CA881" s="48"/>
      <c r="CB881" s="48"/>
      <c r="CC881" s="48"/>
      <c r="CD881" s="48"/>
      <c r="CE881" s="48"/>
      <c r="CF881" s="48"/>
      <c r="CG881" s="48"/>
      <c r="CH881" s="48"/>
      <c r="CI881" s="48"/>
      <c r="CJ881" s="48"/>
      <c r="CK881" s="48"/>
      <c r="CL881" s="48"/>
      <c r="CM881" s="48"/>
      <c r="CN881" s="48"/>
      <c r="CO881" s="48"/>
      <c r="CP881" s="48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  <c r="DA881" s="48"/>
      <c r="DB881" s="48"/>
      <c r="DC881" s="48"/>
      <c r="DD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175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175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  <c r="BD882" s="48"/>
      <c r="BE882" s="48"/>
      <c r="BF882" s="48"/>
      <c r="BG882" s="48"/>
      <c r="BH882" s="48"/>
      <c r="BI882" s="48"/>
      <c r="BJ882" s="48"/>
      <c r="BK882" s="48"/>
      <c r="BL882" s="48"/>
      <c r="BM882" s="48"/>
      <c r="BN882" s="48"/>
      <c r="BO882" s="48"/>
      <c r="BP882" s="48"/>
      <c r="BQ882" s="48"/>
      <c r="BR882" s="48"/>
      <c r="BS882" s="48"/>
      <c r="BT882" s="48"/>
      <c r="BU882" s="48"/>
      <c r="BV882" s="48"/>
      <c r="BW882" s="48"/>
      <c r="BX882" s="48"/>
      <c r="BY882" s="48"/>
      <c r="BZ882" s="48"/>
      <c r="CA882" s="48"/>
      <c r="CB882" s="48"/>
      <c r="CC882" s="48"/>
      <c r="CD882" s="48"/>
      <c r="CE882" s="48"/>
      <c r="CF882" s="48"/>
      <c r="CG882" s="48"/>
      <c r="CH882" s="48"/>
      <c r="CI882" s="48"/>
      <c r="CJ882" s="48"/>
      <c r="CK882" s="48"/>
      <c r="CL882" s="48"/>
      <c r="CM882" s="48"/>
      <c r="CN882" s="48"/>
      <c r="CO882" s="48"/>
      <c r="CP882" s="48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  <c r="DA882" s="48"/>
      <c r="DB882" s="48"/>
      <c r="DC882" s="48"/>
      <c r="DD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175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175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  <c r="BD883" s="48"/>
      <c r="BE883" s="48"/>
      <c r="BF883" s="48"/>
      <c r="BG883" s="48"/>
      <c r="BH883" s="48"/>
      <c r="BI883" s="48"/>
      <c r="BJ883" s="48"/>
      <c r="BK883" s="48"/>
      <c r="BL883" s="48"/>
      <c r="BM883" s="48"/>
      <c r="BN883" s="48"/>
      <c r="BO883" s="48"/>
      <c r="BP883" s="48"/>
      <c r="BQ883" s="48"/>
      <c r="BR883" s="48"/>
      <c r="BS883" s="48"/>
      <c r="BT883" s="48"/>
      <c r="BU883" s="48"/>
      <c r="BV883" s="48"/>
      <c r="BW883" s="48"/>
      <c r="BX883" s="48"/>
      <c r="BY883" s="48"/>
      <c r="BZ883" s="48"/>
      <c r="CA883" s="48"/>
      <c r="CB883" s="48"/>
      <c r="CC883" s="48"/>
      <c r="CD883" s="48"/>
      <c r="CE883" s="48"/>
      <c r="CF883" s="48"/>
      <c r="CG883" s="48"/>
      <c r="CH883" s="48"/>
      <c r="CI883" s="48"/>
      <c r="CJ883" s="48"/>
      <c r="CK883" s="48"/>
      <c r="CL883" s="48"/>
      <c r="CM883" s="48"/>
      <c r="CN883" s="48"/>
      <c r="CO883" s="48"/>
      <c r="CP883" s="48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  <c r="DA883" s="48"/>
      <c r="DB883" s="48"/>
      <c r="DC883" s="48"/>
      <c r="DD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175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175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  <c r="BD884" s="48"/>
      <c r="BE884" s="48"/>
      <c r="BF884" s="48"/>
      <c r="BG884" s="48"/>
      <c r="BH884" s="48"/>
      <c r="BI884" s="48"/>
      <c r="BJ884" s="48"/>
      <c r="BK884" s="48"/>
      <c r="BL884" s="48"/>
      <c r="BM884" s="48"/>
      <c r="BN884" s="48"/>
      <c r="BO884" s="48"/>
      <c r="BP884" s="48"/>
      <c r="BQ884" s="48"/>
      <c r="BR884" s="48"/>
      <c r="BS884" s="48"/>
      <c r="BT884" s="48"/>
      <c r="BU884" s="48"/>
      <c r="BV884" s="48"/>
      <c r="BW884" s="48"/>
      <c r="BX884" s="48"/>
      <c r="BY884" s="48"/>
      <c r="BZ884" s="48"/>
      <c r="CA884" s="48"/>
      <c r="CB884" s="48"/>
      <c r="CC884" s="48"/>
      <c r="CD884" s="48"/>
      <c r="CE884" s="48"/>
      <c r="CF884" s="48"/>
      <c r="CG884" s="48"/>
      <c r="CH884" s="48"/>
      <c r="CI884" s="48"/>
      <c r="CJ884" s="48"/>
      <c r="CK884" s="48"/>
      <c r="CL884" s="48"/>
      <c r="CM884" s="48"/>
      <c r="CN884" s="48"/>
      <c r="CO884" s="48"/>
      <c r="CP884" s="48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  <c r="DA884" s="48"/>
      <c r="DB884" s="48"/>
      <c r="DC884" s="48"/>
      <c r="DD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175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175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  <c r="CO885" s="48"/>
      <c r="CP885" s="48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175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175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  <c r="BD886" s="48"/>
      <c r="BE886" s="48"/>
      <c r="BF886" s="48"/>
      <c r="BG886" s="48"/>
      <c r="BH886" s="48"/>
      <c r="BI886" s="48"/>
      <c r="BJ886" s="48"/>
      <c r="BK886" s="48"/>
      <c r="BL886" s="48"/>
      <c r="BM886" s="48"/>
      <c r="BN886" s="48"/>
      <c r="BO886" s="48"/>
      <c r="BP886" s="48"/>
      <c r="BQ886" s="48"/>
      <c r="BR886" s="48"/>
      <c r="BS886" s="48"/>
      <c r="BT886" s="48"/>
      <c r="BU886" s="48"/>
      <c r="BV886" s="48"/>
      <c r="BW886" s="48"/>
      <c r="BX886" s="48"/>
      <c r="BY886" s="48"/>
      <c r="BZ886" s="48"/>
      <c r="CA886" s="48"/>
      <c r="CB886" s="48"/>
      <c r="CC886" s="48"/>
      <c r="CD886" s="48"/>
      <c r="CE886" s="48"/>
      <c r="CF886" s="48"/>
      <c r="CG886" s="48"/>
      <c r="CH886" s="48"/>
      <c r="CI886" s="48"/>
      <c r="CJ886" s="48"/>
      <c r="CK886" s="48"/>
      <c r="CL886" s="48"/>
      <c r="CM886" s="48"/>
      <c r="CN886" s="48"/>
      <c r="CO886" s="48"/>
      <c r="CP886" s="48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  <c r="DA886" s="48"/>
      <c r="DB886" s="48"/>
      <c r="DC886" s="48"/>
      <c r="DD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175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175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  <c r="BD887" s="48"/>
      <c r="BE887" s="48"/>
      <c r="BF887" s="48"/>
      <c r="BG887" s="48"/>
      <c r="BH887" s="48"/>
      <c r="BI887" s="48"/>
      <c r="BJ887" s="48"/>
      <c r="BK887" s="48"/>
      <c r="BL887" s="48"/>
      <c r="BM887" s="48"/>
      <c r="BN887" s="48"/>
      <c r="BO887" s="48"/>
      <c r="BP887" s="48"/>
      <c r="BQ887" s="48"/>
      <c r="BR887" s="48"/>
      <c r="BS887" s="48"/>
      <c r="BT887" s="48"/>
      <c r="BU887" s="48"/>
      <c r="BV887" s="48"/>
      <c r="BW887" s="48"/>
      <c r="BX887" s="48"/>
      <c r="BY887" s="48"/>
      <c r="BZ887" s="48"/>
      <c r="CA887" s="48"/>
      <c r="CB887" s="48"/>
      <c r="CC887" s="48"/>
      <c r="CD887" s="48"/>
      <c r="CE887" s="48"/>
      <c r="CF887" s="48"/>
      <c r="CG887" s="48"/>
      <c r="CH887" s="48"/>
      <c r="CI887" s="48"/>
      <c r="CJ887" s="48"/>
      <c r="CK887" s="48"/>
      <c r="CL887" s="48"/>
      <c r="CM887" s="48"/>
      <c r="CN887" s="48"/>
      <c r="CO887" s="48"/>
      <c r="CP887" s="48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  <c r="DA887" s="48"/>
      <c r="DB887" s="48"/>
      <c r="DC887" s="48"/>
      <c r="DD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175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175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  <c r="BD888" s="48"/>
      <c r="BE888" s="48"/>
      <c r="BF888" s="48"/>
      <c r="BG888" s="48"/>
      <c r="BH888" s="48"/>
      <c r="BI888" s="48"/>
      <c r="BJ888" s="48"/>
      <c r="BK888" s="48"/>
      <c r="BL888" s="48"/>
      <c r="BM888" s="48"/>
      <c r="BN888" s="48"/>
      <c r="BO888" s="48"/>
      <c r="BP888" s="48"/>
      <c r="BQ888" s="48"/>
      <c r="BR888" s="48"/>
      <c r="BS888" s="48"/>
      <c r="BT888" s="48"/>
      <c r="BU888" s="48"/>
      <c r="BV888" s="48"/>
      <c r="BW888" s="48"/>
      <c r="BX888" s="48"/>
      <c r="BY888" s="48"/>
      <c r="BZ888" s="48"/>
      <c r="CA888" s="48"/>
      <c r="CB888" s="48"/>
      <c r="CC888" s="48"/>
      <c r="CD888" s="48"/>
      <c r="CE888" s="48"/>
      <c r="CF888" s="48"/>
      <c r="CG888" s="48"/>
      <c r="CH888" s="48"/>
      <c r="CI888" s="48"/>
      <c r="CJ888" s="48"/>
      <c r="CK888" s="48"/>
      <c r="CL888" s="48"/>
      <c r="CM888" s="48"/>
      <c r="CN888" s="48"/>
      <c r="CO888" s="48"/>
      <c r="CP888" s="48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  <c r="DA888" s="48"/>
      <c r="DB888" s="48"/>
      <c r="DC888" s="48"/>
      <c r="DD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175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175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  <c r="BD889" s="48"/>
      <c r="BE889" s="48"/>
      <c r="BF889" s="48"/>
      <c r="BG889" s="48"/>
      <c r="BH889" s="48"/>
      <c r="BI889" s="48"/>
      <c r="BJ889" s="48"/>
      <c r="BK889" s="48"/>
      <c r="BL889" s="48"/>
      <c r="BM889" s="48"/>
      <c r="BN889" s="48"/>
      <c r="BO889" s="48"/>
      <c r="BP889" s="48"/>
      <c r="BQ889" s="48"/>
      <c r="BR889" s="48"/>
      <c r="BS889" s="48"/>
      <c r="BT889" s="48"/>
      <c r="BU889" s="48"/>
      <c r="BV889" s="48"/>
      <c r="BW889" s="48"/>
      <c r="BX889" s="48"/>
      <c r="BY889" s="48"/>
      <c r="BZ889" s="48"/>
      <c r="CA889" s="48"/>
      <c r="CB889" s="48"/>
      <c r="CC889" s="48"/>
      <c r="CD889" s="48"/>
      <c r="CE889" s="48"/>
      <c r="CF889" s="48"/>
      <c r="CG889" s="48"/>
      <c r="CH889" s="48"/>
      <c r="CI889" s="48"/>
      <c r="CJ889" s="48"/>
      <c r="CK889" s="48"/>
      <c r="CL889" s="48"/>
      <c r="CM889" s="48"/>
      <c r="CN889" s="48"/>
      <c r="CO889" s="48"/>
      <c r="CP889" s="48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  <c r="DA889" s="48"/>
      <c r="DB889" s="48"/>
      <c r="DC889" s="48"/>
      <c r="DD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175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175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  <c r="BD890" s="48"/>
      <c r="BE890" s="48"/>
      <c r="BF890" s="48"/>
      <c r="BG890" s="48"/>
      <c r="BH890" s="48"/>
      <c r="BI890" s="48"/>
      <c r="BJ890" s="48"/>
      <c r="BK890" s="48"/>
      <c r="BL890" s="48"/>
      <c r="BM890" s="48"/>
      <c r="BN890" s="48"/>
      <c r="BO890" s="48"/>
      <c r="BP890" s="48"/>
      <c r="BQ890" s="48"/>
      <c r="BR890" s="48"/>
      <c r="BS890" s="48"/>
      <c r="BT890" s="48"/>
      <c r="BU890" s="48"/>
      <c r="BV890" s="48"/>
      <c r="BW890" s="48"/>
      <c r="BX890" s="48"/>
      <c r="BY890" s="48"/>
      <c r="BZ890" s="48"/>
      <c r="CA890" s="48"/>
      <c r="CB890" s="48"/>
      <c r="CC890" s="48"/>
      <c r="CD890" s="48"/>
      <c r="CE890" s="48"/>
      <c r="CF890" s="48"/>
      <c r="CG890" s="48"/>
      <c r="CH890" s="48"/>
      <c r="CI890" s="48"/>
      <c r="CJ890" s="48"/>
      <c r="CK890" s="48"/>
      <c r="CL890" s="48"/>
      <c r="CM890" s="48"/>
      <c r="CN890" s="48"/>
      <c r="CO890" s="48"/>
      <c r="CP890" s="48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  <c r="DA890" s="48"/>
      <c r="DB890" s="48"/>
      <c r="DC890" s="48"/>
      <c r="DD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175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175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  <c r="BD891" s="48"/>
      <c r="BE891" s="48"/>
      <c r="BF891" s="48"/>
      <c r="BG891" s="48"/>
      <c r="BH891" s="48"/>
      <c r="BI891" s="48"/>
      <c r="BJ891" s="48"/>
      <c r="BK891" s="48"/>
      <c r="BL891" s="48"/>
      <c r="BM891" s="48"/>
      <c r="BN891" s="48"/>
      <c r="BO891" s="48"/>
      <c r="BP891" s="48"/>
      <c r="BQ891" s="48"/>
      <c r="BR891" s="48"/>
      <c r="BS891" s="48"/>
      <c r="BT891" s="48"/>
      <c r="BU891" s="48"/>
      <c r="BV891" s="48"/>
      <c r="BW891" s="48"/>
      <c r="BX891" s="48"/>
      <c r="BY891" s="48"/>
      <c r="BZ891" s="48"/>
      <c r="CA891" s="48"/>
      <c r="CB891" s="48"/>
      <c r="CC891" s="48"/>
      <c r="CD891" s="48"/>
      <c r="CE891" s="48"/>
      <c r="CF891" s="48"/>
      <c r="CG891" s="48"/>
      <c r="CH891" s="48"/>
      <c r="CI891" s="48"/>
      <c r="CJ891" s="48"/>
      <c r="CK891" s="48"/>
      <c r="CL891" s="48"/>
      <c r="CM891" s="48"/>
      <c r="CN891" s="48"/>
      <c r="CO891" s="48"/>
      <c r="CP891" s="48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  <c r="DA891" s="48"/>
      <c r="DB891" s="48"/>
      <c r="DC891" s="48"/>
      <c r="DD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175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175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  <c r="BD892" s="48"/>
      <c r="BE892" s="48"/>
      <c r="BF892" s="48"/>
      <c r="BG892" s="48"/>
      <c r="BH892" s="48"/>
      <c r="BI892" s="48"/>
      <c r="BJ892" s="48"/>
      <c r="BK892" s="48"/>
      <c r="BL892" s="48"/>
      <c r="BM892" s="48"/>
      <c r="BN892" s="48"/>
      <c r="BO892" s="48"/>
      <c r="BP892" s="48"/>
      <c r="BQ892" s="48"/>
      <c r="BR892" s="48"/>
      <c r="BS892" s="48"/>
      <c r="BT892" s="48"/>
      <c r="BU892" s="48"/>
      <c r="BV892" s="48"/>
      <c r="BW892" s="48"/>
      <c r="BX892" s="48"/>
      <c r="BY892" s="48"/>
      <c r="BZ892" s="48"/>
      <c r="CA892" s="48"/>
      <c r="CB892" s="48"/>
      <c r="CC892" s="48"/>
      <c r="CD892" s="48"/>
      <c r="CE892" s="48"/>
      <c r="CF892" s="48"/>
      <c r="CG892" s="48"/>
      <c r="CH892" s="48"/>
      <c r="CI892" s="48"/>
      <c r="CJ892" s="48"/>
      <c r="CK892" s="48"/>
      <c r="CL892" s="48"/>
      <c r="CM892" s="48"/>
      <c r="CN892" s="48"/>
      <c r="CO892" s="48"/>
      <c r="CP892" s="48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  <c r="DA892" s="48"/>
      <c r="DB892" s="48"/>
      <c r="DC892" s="48"/>
      <c r="DD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175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175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  <c r="CO893" s="48"/>
      <c r="CP893" s="48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175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175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  <c r="BD894" s="48"/>
      <c r="BE894" s="48"/>
      <c r="BF894" s="48"/>
      <c r="BG894" s="48"/>
      <c r="BH894" s="48"/>
      <c r="BI894" s="48"/>
      <c r="BJ894" s="48"/>
      <c r="BK894" s="48"/>
      <c r="BL894" s="48"/>
      <c r="BM894" s="48"/>
      <c r="BN894" s="48"/>
      <c r="BO894" s="48"/>
      <c r="BP894" s="48"/>
      <c r="BQ894" s="48"/>
      <c r="BR894" s="48"/>
      <c r="BS894" s="48"/>
      <c r="BT894" s="48"/>
      <c r="BU894" s="48"/>
      <c r="BV894" s="48"/>
      <c r="BW894" s="48"/>
      <c r="BX894" s="48"/>
      <c r="BY894" s="48"/>
      <c r="BZ894" s="48"/>
      <c r="CA894" s="48"/>
      <c r="CB894" s="48"/>
      <c r="CC894" s="48"/>
      <c r="CD894" s="48"/>
      <c r="CE894" s="48"/>
      <c r="CF894" s="48"/>
      <c r="CG894" s="48"/>
      <c r="CH894" s="48"/>
      <c r="CI894" s="48"/>
      <c r="CJ894" s="48"/>
      <c r="CK894" s="48"/>
      <c r="CL894" s="48"/>
      <c r="CM894" s="48"/>
      <c r="CN894" s="48"/>
      <c r="CO894" s="48"/>
      <c r="CP894" s="48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  <c r="DA894" s="48"/>
      <c r="DB894" s="48"/>
      <c r="DC894" s="48"/>
      <c r="DD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175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175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  <c r="BD895" s="48"/>
      <c r="BE895" s="48"/>
      <c r="BF895" s="48"/>
      <c r="BG895" s="48"/>
      <c r="BH895" s="48"/>
      <c r="BI895" s="48"/>
      <c r="BJ895" s="48"/>
      <c r="BK895" s="48"/>
      <c r="BL895" s="48"/>
      <c r="BM895" s="48"/>
      <c r="BN895" s="48"/>
      <c r="BO895" s="48"/>
      <c r="BP895" s="48"/>
      <c r="BQ895" s="48"/>
      <c r="BR895" s="48"/>
      <c r="BS895" s="48"/>
      <c r="BT895" s="48"/>
      <c r="BU895" s="48"/>
      <c r="BV895" s="48"/>
      <c r="BW895" s="48"/>
      <c r="BX895" s="48"/>
      <c r="BY895" s="48"/>
      <c r="BZ895" s="48"/>
      <c r="CA895" s="48"/>
      <c r="CB895" s="48"/>
      <c r="CC895" s="48"/>
      <c r="CD895" s="48"/>
      <c r="CE895" s="48"/>
      <c r="CF895" s="48"/>
      <c r="CG895" s="48"/>
      <c r="CH895" s="48"/>
      <c r="CI895" s="48"/>
      <c r="CJ895" s="48"/>
      <c r="CK895" s="48"/>
      <c r="CL895" s="48"/>
      <c r="CM895" s="48"/>
      <c r="CN895" s="48"/>
      <c r="CO895" s="48"/>
      <c r="CP895" s="48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  <c r="DA895" s="48"/>
      <c r="DB895" s="48"/>
      <c r="DC895" s="48"/>
      <c r="DD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175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175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  <c r="BD896" s="48"/>
      <c r="BE896" s="48"/>
      <c r="BF896" s="48"/>
      <c r="BG896" s="48"/>
      <c r="BH896" s="48"/>
      <c r="BI896" s="48"/>
      <c r="BJ896" s="48"/>
      <c r="BK896" s="48"/>
      <c r="BL896" s="48"/>
      <c r="BM896" s="48"/>
      <c r="BN896" s="48"/>
      <c r="BO896" s="48"/>
      <c r="BP896" s="48"/>
      <c r="BQ896" s="48"/>
      <c r="BR896" s="48"/>
      <c r="BS896" s="48"/>
      <c r="BT896" s="48"/>
      <c r="BU896" s="48"/>
      <c r="BV896" s="48"/>
      <c r="BW896" s="48"/>
      <c r="BX896" s="48"/>
      <c r="BY896" s="48"/>
      <c r="BZ896" s="48"/>
      <c r="CA896" s="48"/>
      <c r="CB896" s="48"/>
      <c r="CC896" s="48"/>
      <c r="CD896" s="48"/>
      <c r="CE896" s="48"/>
      <c r="CF896" s="48"/>
      <c r="CG896" s="48"/>
      <c r="CH896" s="48"/>
      <c r="CI896" s="48"/>
      <c r="CJ896" s="48"/>
      <c r="CK896" s="48"/>
      <c r="CL896" s="48"/>
      <c r="CM896" s="48"/>
      <c r="CN896" s="48"/>
      <c r="CO896" s="48"/>
      <c r="CP896" s="48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  <c r="DA896" s="48"/>
      <c r="DB896" s="48"/>
      <c r="DC896" s="48"/>
      <c r="DD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175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175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  <c r="BD897" s="48"/>
      <c r="BE897" s="48"/>
      <c r="BF897" s="48"/>
      <c r="BG897" s="48"/>
      <c r="BH897" s="48"/>
      <c r="BI897" s="48"/>
      <c r="BJ897" s="48"/>
      <c r="BK897" s="48"/>
      <c r="BL897" s="48"/>
      <c r="BM897" s="48"/>
      <c r="BN897" s="48"/>
      <c r="BO897" s="48"/>
      <c r="BP897" s="48"/>
      <c r="BQ897" s="48"/>
      <c r="BR897" s="48"/>
      <c r="BS897" s="48"/>
      <c r="BT897" s="48"/>
      <c r="BU897" s="48"/>
      <c r="BV897" s="48"/>
      <c r="BW897" s="48"/>
      <c r="BX897" s="48"/>
      <c r="BY897" s="48"/>
      <c r="BZ897" s="48"/>
      <c r="CA897" s="48"/>
      <c r="CB897" s="48"/>
      <c r="CC897" s="48"/>
      <c r="CD897" s="48"/>
      <c r="CE897" s="48"/>
      <c r="CF897" s="48"/>
      <c r="CG897" s="48"/>
      <c r="CH897" s="48"/>
      <c r="CI897" s="48"/>
      <c r="CJ897" s="48"/>
      <c r="CK897" s="48"/>
      <c r="CL897" s="48"/>
      <c r="CM897" s="48"/>
      <c r="CN897" s="48"/>
      <c r="CO897" s="48"/>
      <c r="CP897" s="48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  <c r="DA897" s="48"/>
      <c r="DB897" s="48"/>
      <c r="DC897" s="48"/>
      <c r="DD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175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175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  <c r="BD898" s="48"/>
      <c r="BE898" s="48"/>
      <c r="BF898" s="48"/>
      <c r="BG898" s="48"/>
      <c r="BH898" s="48"/>
      <c r="BI898" s="48"/>
      <c r="BJ898" s="48"/>
      <c r="BK898" s="48"/>
      <c r="BL898" s="48"/>
      <c r="BM898" s="48"/>
      <c r="BN898" s="48"/>
      <c r="BO898" s="48"/>
      <c r="BP898" s="48"/>
      <c r="BQ898" s="48"/>
      <c r="BR898" s="48"/>
      <c r="BS898" s="48"/>
      <c r="BT898" s="48"/>
      <c r="BU898" s="48"/>
      <c r="BV898" s="48"/>
      <c r="BW898" s="48"/>
      <c r="BX898" s="48"/>
      <c r="BY898" s="48"/>
      <c r="BZ898" s="48"/>
      <c r="CA898" s="48"/>
      <c r="CB898" s="48"/>
      <c r="CC898" s="48"/>
      <c r="CD898" s="48"/>
      <c r="CE898" s="48"/>
      <c r="CF898" s="48"/>
      <c r="CG898" s="48"/>
      <c r="CH898" s="48"/>
      <c r="CI898" s="48"/>
      <c r="CJ898" s="48"/>
      <c r="CK898" s="48"/>
      <c r="CL898" s="48"/>
      <c r="CM898" s="48"/>
      <c r="CN898" s="48"/>
      <c r="CO898" s="48"/>
      <c r="CP898" s="48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  <c r="DA898" s="48"/>
      <c r="DB898" s="48"/>
      <c r="DC898" s="48"/>
      <c r="DD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175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175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  <c r="BD899" s="48"/>
      <c r="BE899" s="48"/>
      <c r="BF899" s="48"/>
      <c r="BG899" s="48"/>
      <c r="BH899" s="48"/>
      <c r="BI899" s="48"/>
      <c r="BJ899" s="48"/>
      <c r="BK899" s="48"/>
      <c r="BL899" s="48"/>
      <c r="BM899" s="48"/>
      <c r="BN899" s="48"/>
      <c r="BO899" s="48"/>
      <c r="BP899" s="48"/>
      <c r="BQ899" s="48"/>
      <c r="BR899" s="48"/>
      <c r="BS899" s="48"/>
      <c r="BT899" s="48"/>
      <c r="BU899" s="48"/>
      <c r="BV899" s="48"/>
      <c r="BW899" s="48"/>
      <c r="BX899" s="48"/>
      <c r="BY899" s="48"/>
      <c r="BZ899" s="48"/>
      <c r="CA899" s="48"/>
      <c r="CB899" s="48"/>
      <c r="CC899" s="48"/>
      <c r="CD899" s="48"/>
      <c r="CE899" s="48"/>
      <c r="CF899" s="48"/>
      <c r="CG899" s="48"/>
      <c r="CH899" s="48"/>
      <c r="CI899" s="48"/>
      <c r="CJ899" s="48"/>
      <c r="CK899" s="48"/>
      <c r="CL899" s="48"/>
      <c r="CM899" s="48"/>
      <c r="CN899" s="48"/>
      <c r="CO899" s="48"/>
      <c r="CP899" s="48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  <c r="DA899" s="48"/>
      <c r="DB899" s="48"/>
      <c r="DC899" s="48"/>
      <c r="DD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175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175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  <c r="BD900" s="48"/>
      <c r="BE900" s="48"/>
      <c r="BF900" s="48"/>
      <c r="BG900" s="48"/>
      <c r="BH900" s="48"/>
      <c r="BI900" s="48"/>
      <c r="BJ900" s="48"/>
      <c r="BK900" s="48"/>
      <c r="BL900" s="48"/>
      <c r="BM900" s="48"/>
      <c r="BN900" s="48"/>
      <c r="BO900" s="48"/>
      <c r="BP900" s="48"/>
      <c r="BQ900" s="48"/>
      <c r="BR900" s="48"/>
      <c r="BS900" s="48"/>
      <c r="BT900" s="48"/>
      <c r="BU900" s="48"/>
      <c r="BV900" s="48"/>
      <c r="BW900" s="48"/>
      <c r="BX900" s="48"/>
      <c r="BY900" s="48"/>
      <c r="BZ900" s="48"/>
      <c r="CA900" s="48"/>
      <c r="CB900" s="48"/>
      <c r="CC900" s="48"/>
      <c r="CD900" s="48"/>
      <c r="CE900" s="48"/>
      <c r="CF900" s="48"/>
      <c r="CG900" s="48"/>
      <c r="CH900" s="48"/>
      <c r="CI900" s="48"/>
      <c r="CJ900" s="48"/>
      <c r="CK900" s="48"/>
      <c r="CL900" s="48"/>
      <c r="CM900" s="48"/>
      <c r="CN900" s="48"/>
      <c r="CO900" s="48"/>
      <c r="CP900" s="48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  <c r="DA900" s="48"/>
      <c r="DB900" s="48"/>
      <c r="DC900" s="48"/>
      <c r="DD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175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175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  <c r="BD901" s="48"/>
      <c r="BE901" s="48"/>
      <c r="BF901" s="48"/>
      <c r="BG901" s="48"/>
      <c r="BH901" s="48"/>
      <c r="BI901" s="48"/>
      <c r="BJ901" s="48"/>
      <c r="BK901" s="48"/>
      <c r="BL901" s="48"/>
      <c r="BM901" s="48"/>
      <c r="BN901" s="48"/>
      <c r="BO901" s="48"/>
      <c r="BP901" s="48"/>
      <c r="BQ901" s="48"/>
      <c r="BR901" s="48"/>
      <c r="BS901" s="48"/>
      <c r="BT901" s="48"/>
      <c r="BU901" s="48"/>
      <c r="BV901" s="48"/>
      <c r="BW901" s="48"/>
      <c r="BX901" s="48"/>
      <c r="BY901" s="48"/>
      <c r="BZ901" s="48"/>
      <c r="CA901" s="48"/>
      <c r="CB901" s="48"/>
      <c r="CC901" s="48"/>
      <c r="CD901" s="48"/>
      <c r="CE901" s="48"/>
      <c r="CF901" s="48"/>
      <c r="CG901" s="48"/>
      <c r="CH901" s="48"/>
      <c r="CI901" s="48"/>
      <c r="CJ901" s="48"/>
      <c r="CK901" s="48"/>
      <c r="CL901" s="48"/>
      <c r="CM901" s="48"/>
      <c r="CN901" s="48"/>
      <c r="CO901" s="48"/>
      <c r="CP901" s="48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  <c r="DA901" s="48"/>
      <c r="DB901" s="48"/>
      <c r="DC901" s="48"/>
      <c r="DD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175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175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  <c r="BD902" s="48"/>
      <c r="BE902" s="48"/>
      <c r="BF902" s="48"/>
      <c r="BG902" s="48"/>
      <c r="BH902" s="48"/>
      <c r="BI902" s="48"/>
      <c r="BJ902" s="48"/>
      <c r="BK902" s="48"/>
      <c r="BL902" s="48"/>
      <c r="BM902" s="48"/>
      <c r="BN902" s="48"/>
      <c r="BO902" s="48"/>
      <c r="BP902" s="48"/>
      <c r="BQ902" s="48"/>
      <c r="BR902" s="48"/>
      <c r="BS902" s="48"/>
      <c r="BT902" s="48"/>
      <c r="BU902" s="48"/>
      <c r="BV902" s="48"/>
      <c r="BW902" s="48"/>
      <c r="BX902" s="48"/>
      <c r="BY902" s="48"/>
      <c r="BZ902" s="48"/>
      <c r="CA902" s="48"/>
      <c r="CB902" s="48"/>
      <c r="CC902" s="48"/>
      <c r="CD902" s="48"/>
      <c r="CE902" s="48"/>
      <c r="CF902" s="48"/>
      <c r="CG902" s="48"/>
      <c r="CH902" s="48"/>
      <c r="CI902" s="48"/>
      <c r="CJ902" s="48"/>
      <c r="CK902" s="48"/>
      <c r="CL902" s="48"/>
      <c r="CM902" s="48"/>
      <c r="CN902" s="48"/>
      <c r="CO902" s="48"/>
      <c r="CP902" s="48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  <c r="DA902" s="48"/>
      <c r="DB902" s="48"/>
      <c r="DC902" s="48"/>
      <c r="DD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175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175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  <c r="BD903" s="48"/>
      <c r="BE903" s="48"/>
      <c r="BF903" s="48"/>
      <c r="BG903" s="48"/>
      <c r="BH903" s="48"/>
      <c r="BI903" s="48"/>
      <c r="BJ903" s="48"/>
      <c r="BK903" s="48"/>
      <c r="BL903" s="48"/>
      <c r="BM903" s="48"/>
      <c r="BN903" s="48"/>
      <c r="BO903" s="48"/>
      <c r="BP903" s="48"/>
      <c r="BQ903" s="48"/>
      <c r="BR903" s="48"/>
      <c r="BS903" s="48"/>
      <c r="BT903" s="48"/>
      <c r="BU903" s="48"/>
      <c r="BV903" s="48"/>
      <c r="BW903" s="48"/>
      <c r="BX903" s="48"/>
      <c r="BY903" s="48"/>
      <c r="BZ903" s="48"/>
      <c r="CA903" s="48"/>
      <c r="CB903" s="48"/>
      <c r="CC903" s="48"/>
      <c r="CD903" s="48"/>
      <c r="CE903" s="48"/>
      <c r="CF903" s="48"/>
      <c r="CG903" s="48"/>
      <c r="CH903" s="48"/>
      <c r="CI903" s="48"/>
      <c r="CJ903" s="48"/>
      <c r="CK903" s="48"/>
      <c r="CL903" s="48"/>
      <c r="CM903" s="48"/>
      <c r="CN903" s="48"/>
      <c r="CO903" s="48"/>
      <c r="CP903" s="48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  <c r="DA903" s="48"/>
      <c r="DB903" s="48"/>
      <c r="DC903" s="48"/>
      <c r="DD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175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175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  <c r="BD904" s="48"/>
      <c r="BE904" s="48"/>
      <c r="BF904" s="48"/>
      <c r="BG904" s="48"/>
      <c r="BH904" s="48"/>
      <c r="BI904" s="48"/>
      <c r="BJ904" s="48"/>
      <c r="BK904" s="48"/>
      <c r="BL904" s="48"/>
      <c r="BM904" s="48"/>
      <c r="BN904" s="48"/>
      <c r="BO904" s="48"/>
      <c r="BP904" s="48"/>
      <c r="BQ904" s="48"/>
      <c r="BR904" s="48"/>
      <c r="BS904" s="48"/>
      <c r="BT904" s="48"/>
      <c r="BU904" s="48"/>
      <c r="BV904" s="48"/>
      <c r="BW904" s="48"/>
      <c r="BX904" s="48"/>
      <c r="BY904" s="48"/>
      <c r="BZ904" s="48"/>
      <c r="CA904" s="48"/>
      <c r="CB904" s="48"/>
      <c r="CC904" s="48"/>
      <c r="CD904" s="48"/>
      <c r="CE904" s="48"/>
      <c r="CF904" s="48"/>
      <c r="CG904" s="48"/>
      <c r="CH904" s="48"/>
      <c r="CI904" s="48"/>
      <c r="CJ904" s="48"/>
      <c r="CK904" s="48"/>
      <c r="CL904" s="48"/>
      <c r="CM904" s="48"/>
      <c r="CN904" s="48"/>
      <c r="CO904" s="48"/>
      <c r="CP904" s="48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  <c r="DA904" s="48"/>
      <c r="DB904" s="48"/>
      <c r="DC904" s="48"/>
      <c r="DD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175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175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  <c r="BD905" s="48"/>
      <c r="BE905" s="48"/>
      <c r="BF905" s="48"/>
      <c r="BG905" s="48"/>
      <c r="BH905" s="48"/>
      <c r="BI905" s="48"/>
      <c r="BJ905" s="48"/>
      <c r="BK905" s="48"/>
      <c r="BL905" s="48"/>
      <c r="BM905" s="48"/>
      <c r="BN905" s="48"/>
      <c r="BO905" s="48"/>
      <c r="BP905" s="48"/>
      <c r="BQ905" s="48"/>
      <c r="BR905" s="48"/>
      <c r="BS905" s="48"/>
      <c r="BT905" s="48"/>
      <c r="BU905" s="48"/>
      <c r="BV905" s="48"/>
      <c r="BW905" s="48"/>
      <c r="BX905" s="48"/>
      <c r="BY905" s="48"/>
      <c r="BZ905" s="48"/>
      <c r="CA905" s="48"/>
      <c r="CB905" s="48"/>
      <c r="CC905" s="48"/>
      <c r="CD905" s="48"/>
      <c r="CE905" s="48"/>
      <c r="CF905" s="48"/>
      <c r="CG905" s="48"/>
      <c r="CH905" s="48"/>
      <c r="CI905" s="48"/>
      <c r="CJ905" s="48"/>
      <c r="CK905" s="48"/>
      <c r="CL905" s="48"/>
      <c r="CM905" s="48"/>
      <c r="CN905" s="48"/>
      <c r="CO905" s="48"/>
      <c r="CP905" s="48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  <c r="DA905" s="48"/>
      <c r="DB905" s="48"/>
      <c r="DC905" s="48"/>
      <c r="DD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175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175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  <c r="BD906" s="48"/>
      <c r="BE906" s="48"/>
      <c r="BF906" s="48"/>
      <c r="BG906" s="48"/>
      <c r="BH906" s="48"/>
      <c r="BI906" s="48"/>
      <c r="BJ906" s="48"/>
      <c r="BK906" s="48"/>
      <c r="BL906" s="48"/>
      <c r="BM906" s="48"/>
      <c r="BN906" s="48"/>
      <c r="BO906" s="48"/>
      <c r="BP906" s="48"/>
      <c r="BQ906" s="48"/>
      <c r="BR906" s="48"/>
      <c r="BS906" s="48"/>
      <c r="BT906" s="48"/>
      <c r="BU906" s="48"/>
      <c r="BV906" s="48"/>
      <c r="BW906" s="48"/>
      <c r="BX906" s="48"/>
      <c r="BY906" s="48"/>
      <c r="BZ906" s="48"/>
      <c r="CA906" s="48"/>
      <c r="CB906" s="48"/>
      <c r="CC906" s="48"/>
      <c r="CD906" s="48"/>
      <c r="CE906" s="48"/>
      <c r="CF906" s="48"/>
      <c r="CG906" s="48"/>
      <c r="CH906" s="48"/>
      <c r="CI906" s="48"/>
      <c r="CJ906" s="48"/>
      <c r="CK906" s="48"/>
      <c r="CL906" s="48"/>
      <c r="CM906" s="48"/>
      <c r="CN906" s="48"/>
      <c r="CO906" s="48"/>
      <c r="CP906" s="48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  <c r="DA906" s="48"/>
      <c r="DB906" s="48"/>
      <c r="DC906" s="48"/>
      <c r="DD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175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175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  <c r="BD907" s="48"/>
      <c r="BE907" s="48"/>
      <c r="BF907" s="48"/>
      <c r="BG907" s="48"/>
      <c r="BH907" s="48"/>
      <c r="BI907" s="48"/>
      <c r="BJ907" s="48"/>
      <c r="BK907" s="48"/>
      <c r="BL907" s="48"/>
      <c r="BM907" s="48"/>
      <c r="BN907" s="48"/>
      <c r="BO907" s="48"/>
      <c r="BP907" s="48"/>
      <c r="BQ907" s="48"/>
      <c r="BR907" s="48"/>
      <c r="BS907" s="48"/>
      <c r="BT907" s="48"/>
      <c r="BU907" s="48"/>
      <c r="BV907" s="48"/>
      <c r="BW907" s="48"/>
      <c r="BX907" s="48"/>
      <c r="BY907" s="48"/>
      <c r="BZ907" s="48"/>
      <c r="CA907" s="48"/>
      <c r="CB907" s="48"/>
      <c r="CC907" s="48"/>
      <c r="CD907" s="48"/>
      <c r="CE907" s="48"/>
      <c r="CF907" s="48"/>
      <c r="CG907" s="48"/>
      <c r="CH907" s="48"/>
      <c r="CI907" s="48"/>
      <c r="CJ907" s="48"/>
      <c r="CK907" s="48"/>
      <c r="CL907" s="48"/>
      <c r="CM907" s="48"/>
      <c r="CN907" s="48"/>
      <c r="CO907" s="48"/>
      <c r="CP907" s="48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  <c r="DA907" s="48"/>
      <c r="DB907" s="48"/>
      <c r="DC907" s="48"/>
      <c r="DD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175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175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  <c r="BD908" s="48"/>
      <c r="BE908" s="48"/>
      <c r="BF908" s="48"/>
      <c r="BG908" s="48"/>
      <c r="BH908" s="48"/>
      <c r="BI908" s="48"/>
      <c r="BJ908" s="48"/>
      <c r="BK908" s="48"/>
      <c r="BL908" s="48"/>
      <c r="BM908" s="48"/>
      <c r="BN908" s="48"/>
      <c r="BO908" s="48"/>
      <c r="BP908" s="48"/>
      <c r="BQ908" s="48"/>
      <c r="BR908" s="48"/>
      <c r="BS908" s="48"/>
      <c r="BT908" s="48"/>
      <c r="BU908" s="48"/>
      <c r="BV908" s="48"/>
      <c r="BW908" s="48"/>
      <c r="BX908" s="48"/>
      <c r="BY908" s="48"/>
      <c r="BZ908" s="48"/>
      <c r="CA908" s="48"/>
      <c r="CB908" s="48"/>
      <c r="CC908" s="48"/>
      <c r="CD908" s="48"/>
      <c r="CE908" s="48"/>
      <c r="CF908" s="48"/>
      <c r="CG908" s="48"/>
      <c r="CH908" s="48"/>
      <c r="CI908" s="48"/>
      <c r="CJ908" s="48"/>
      <c r="CK908" s="48"/>
      <c r="CL908" s="48"/>
      <c r="CM908" s="48"/>
      <c r="CN908" s="48"/>
      <c r="CO908" s="48"/>
      <c r="CP908" s="48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  <c r="DA908" s="48"/>
      <c r="DB908" s="48"/>
      <c r="DC908" s="48"/>
      <c r="DD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175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175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  <c r="BD909" s="48"/>
      <c r="BE909" s="48"/>
      <c r="BF909" s="48"/>
      <c r="BG909" s="48"/>
      <c r="BH909" s="48"/>
      <c r="BI909" s="48"/>
      <c r="BJ909" s="48"/>
      <c r="BK909" s="48"/>
      <c r="BL909" s="48"/>
      <c r="BM909" s="48"/>
      <c r="BN909" s="48"/>
      <c r="BO909" s="48"/>
      <c r="BP909" s="48"/>
      <c r="BQ909" s="48"/>
      <c r="BR909" s="48"/>
      <c r="BS909" s="48"/>
      <c r="BT909" s="48"/>
      <c r="BU909" s="48"/>
      <c r="BV909" s="48"/>
      <c r="BW909" s="48"/>
      <c r="BX909" s="48"/>
      <c r="BY909" s="48"/>
      <c r="BZ909" s="48"/>
      <c r="CA909" s="48"/>
      <c r="CB909" s="48"/>
      <c r="CC909" s="48"/>
      <c r="CD909" s="48"/>
      <c r="CE909" s="48"/>
      <c r="CF909" s="48"/>
      <c r="CG909" s="48"/>
      <c r="CH909" s="48"/>
      <c r="CI909" s="48"/>
      <c r="CJ909" s="48"/>
      <c r="CK909" s="48"/>
      <c r="CL909" s="48"/>
      <c r="CM909" s="48"/>
      <c r="CN909" s="48"/>
      <c r="CO909" s="48"/>
      <c r="CP909" s="48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  <c r="DA909" s="48"/>
      <c r="DB909" s="48"/>
      <c r="DC909" s="48"/>
      <c r="DD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175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175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  <c r="BD910" s="48"/>
      <c r="BE910" s="48"/>
      <c r="BF910" s="48"/>
      <c r="BG910" s="48"/>
      <c r="BH910" s="48"/>
      <c r="BI910" s="48"/>
      <c r="BJ910" s="48"/>
      <c r="BK910" s="48"/>
      <c r="BL910" s="48"/>
      <c r="BM910" s="48"/>
      <c r="BN910" s="48"/>
      <c r="BO910" s="48"/>
      <c r="BP910" s="48"/>
      <c r="BQ910" s="48"/>
      <c r="BR910" s="48"/>
      <c r="BS910" s="48"/>
      <c r="BT910" s="48"/>
      <c r="BU910" s="48"/>
      <c r="BV910" s="48"/>
      <c r="BW910" s="48"/>
      <c r="BX910" s="48"/>
      <c r="BY910" s="48"/>
      <c r="BZ910" s="48"/>
      <c r="CA910" s="48"/>
      <c r="CB910" s="48"/>
      <c r="CC910" s="48"/>
      <c r="CD910" s="48"/>
      <c r="CE910" s="48"/>
      <c r="CF910" s="48"/>
      <c r="CG910" s="48"/>
      <c r="CH910" s="48"/>
      <c r="CI910" s="48"/>
      <c r="CJ910" s="48"/>
      <c r="CK910" s="48"/>
      <c r="CL910" s="48"/>
      <c r="CM910" s="48"/>
      <c r="CN910" s="48"/>
      <c r="CO910" s="48"/>
      <c r="CP910" s="48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  <c r="DA910" s="48"/>
      <c r="DB910" s="48"/>
      <c r="DC910" s="48"/>
      <c r="DD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175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175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  <c r="BD911" s="48"/>
      <c r="BE911" s="48"/>
      <c r="BF911" s="48"/>
      <c r="BG911" s="48"/>
      <c r="BH911" s="48"/>
      <c r="BI911" s="48"/>
      <c r="BJ911" s="48"/>
      <c r="BK911" s="48"/>
      <c r="BL911" s="48"/>
      <c r="BM911" s="48"/>
      <c r="BN911" s="48"/>
      <c r="BO911" s="48"/>
      <c r="BP911" s="48"/>
      <c r="BQ911" s="48"/>
      <c r="BR911" s="48"/>
      <c r="BS911" s="48"/>
      <c r="BT911" s="48"/>
      <c r="BU911" s="48"/>
      <c r="BV911" s="48"/>
      <c r="BW911" s="48"/>
      <c r="BX911" s="48"/>
      <c r="BY911" s="48"/>
      <c r="BZ911" s="48"/>
      <c r="CA911" s="48"/>
      <c r="CB911" s="48"/>
      <c r="CC911" s="48"/>
      <c r="CD911" s="48"/>
      <c r="CE911" s="48"/>
      <c r="CF911" s="48"/>
      <c r="CG911" s="48"/>
      <c r="CH911" s="48"/>
      <c r="CI911" s="48"/>
      <c r="CJ911" s="48"/>
      <c r="CK911" s="48"/>
      <c r="CL911" s="48"/>
      <c r="CM911" s="48"/>
      <c r="CN911" s="48"/>
      <c r="CO911" s="48"/>
      <c r="CP911" s="48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  <c r="DA911" s="48"/>
      <c r="DB911" s="48"/>
      <c r="DC911" s="48"/>
      <c r="DD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175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175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  <c r="BD912" s="48"/>
      <c r="BE912" s="48"/>
      <c r="BF912" s="48"/>
      <c r="BG912" s="48"/>
      <c r="BH912" s="48"/>
      <c r="BI912" s="48"/>
      <c r="BJ912" s="48"/>
      <c r="BK912" s="48"/>
      <c r="BL912" s="48"/>
      <c r="BM912" s="48"/>
      <c r="BN912" s="48"/>
      <c r="BO912" s="48"/>
      <c r="BP912" s="48"/>
      <c r="BQ912" s="48"/>
      <c r="BR912" s="48"/>
      <c r="BS912" s="48"/>
      <c r="BT912" s="48"/>
      <c r="BU912" s="48"/>
      <c r="BV912" s="48"/>
      <c r="BW912" s="48"/>
      <c r="BX912" s="48"/>
      <c r="BY912" s="48"/>
      <c r="BZ912" s="48"/>
      <c r="CA912" s="48"/>
      <c r="CB912" s="48"/>
      <c r="CC912" s="48"/>
      <c r="CD912" s="48"/>
      <c r="CE912" s="48"/>
      <c r="CF912" s="48"/>
      <c r="CG912" s="48"/>
      <c r="CH912" s="48"/>
      <c r="CI912" s="48"/>
      <c r="CJ912" s="48"/>
      <c r="CK912" s="48"/>
      <c r="CL912" s="48"/>
      <c r="CM912" s="48"/>
      <c r="CN912" s="48"/>
      <c r="CO912" s="48"/>
      <c r="CP912" s="48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  <c r="DA912" s="48"/>
      <c r="DB912" s="48"/>
      <c r="DC912" s="48"/>
      <c r="DD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175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175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  <c r="BD913" s="48"/>
      <c r="BE913" s="48"/>
      <c r="BF913" s="48"/>
      <c r="BG913" s="48"/>
      <c r="BH913" s="48"/>
      <c r="BI913" s="48"/>
      <c r="BJ913" s="48"/>
      <c r="BK913" s="48"/>
      <c r="BL913" s="48"/>
      <c r="BM913" s="48"/>
      <c r="BN913" s="48"/>
      <c r="BO913" s="48"/>
      <c r="BP913" s="48"/>
      <c r="BQ913" s="48"/>
      <c r="BR913" s="48"/>
      <c r="BS913" s="48"/>
      <c r="BT913" s="48"/>
      <c r="BU913" s="48"/>
      <c r="BV913" s="48"/>
      <c r="BW913" s="48"/>
      <c r="BX913" s="48"/>
      <c r="BY913" s="48"/>
      <c r="BZ913" s="48"/>
      <c r="CA913" s="48"/>
      <c r="CB913" s="48"/>
      <c r="CC913" s="48"/>
      <c r="CD913" s="48"/>
      <c r="CE913" s="48"/>
      <c r="CF913" s="48"/>
      <c r="CG913" s="48"/>
      <c r="CH913" s="48"/>
      <c r="CI913" s="48"/>
      <c r="CJ913" s="48"/>
      <c r="CK913" s="48"/>
      <c r="CL913" s="48"/>
      <c r="CM913" s="48"/>
      <c r="CN913" s="48"/>
      <c r="CO913" s="48"/>
      <c r="CP913" s="48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  <c r="DA913" s="48"/>
      <c r="DB913" s="48"/>
      <c r="DC913" s="48"/>
      <c r="DD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175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175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  <c r="BD914" s="48"/>
      <c r="BE914" s="48"/>
      <c r="BF914" s="48"/>
      <c r="BG914" s="48"/>
      <c r="BH914" s="48"/>
      <c r="BI914" s="48"/>
      <c r="BJ914" s="48"/>
      <c r="BK914" s="48"/>
      <c r="BL914" s="48"/>
      <c r="BM914" s="48"/>
      <c r="BN914" s="48"/>
      <c r="BO914" s="48"/>
      <c r="BP914" s="48"/>
      <c r="BQ914" s="48"/>
      <c r="BR914" s="48"/>
      <c r="BS914" s="48"/>
      <c r="BT914" s="48"/>
      <c r="BU914" s="48"/>
      <c r="BV914" s="48"/>
      <c r="BW914" s="48"/>
      <c r="BX914" s="48"/>
      <c r="BY914" s="48"/>
      <c r="BZ914" s="48"/>
      <c r="CA914" s="48"/>
      <c r="CB914" s="48"/>
      <c r="CC914" s="48"/>
      <c r="CD914" s="48"/>
      <c r="CE914" s="48"/>
      <c r="CF914" s="48"/>
      <c r="CG914" s="48"/>
      <c r="CH914" s="48"/>
      <c r="CI914" s="48"/>
      <c r="CJ914" s="48"/>
      <c r="CK914" s="48"/>
      <c r="CL914" s="48"/>
      <c r="CM914" s="48"/>
      <c r="CN914" s="48"/>
      <c r="CO914" s="48"/>
      <c r="CP914" s="48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  <c r="DA914" s="48"/>
      <c r="DB914" s="48"/>
      <c r="DC914" s="48"/>
      <c r="DD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175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175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  <c r="BD915" s="48"/>
      <c r="BE915" s="48"/>
      <c r="BF915" s="48"/>
      <c r="BG915" s="48"/>
      <c r="BH915" s="48"/>
      <c r="BI915" s="48"/>
      <c r="BJ915" s="48"/>
      <c r="BK915" s="48"/>
      <c r="BL915" s="48"/>
      <c r="BM915" s="48"/>
      <c r="BN915" s="48"/>
      <c r="BO915" s="48"/>
      <c r="BP915" s="48"/>
      <c r="BQ915" s="48"/>
      <c r="BR915" s="48"/>
      <c r="BS915" s="48"/>
      <c r="BT915" s="48"/>
      <c r="BU915" s="48"/>
      <c r="BV915" s="48"/>
      <c r="BW915" s="48"/>
      <c r="BX915" s="48"/>
      <c r="BY915" s="48"/>
      <c r="BZ915" s="48"/>
      <c r="CA915" s="48"/>
      <c r="CB915" s="48"/>
      <c r="CC915" s="48"/>
      <c r="CD915" s="48"/>
      <c r="CE915" s="48"/>
      <c r="CF915" s="48"/>
      <c r="CG915" s="48"/>
      <c r="CH915" s="48"/>
      <c r="CI915" s="48"/>
      <c r="CJ915" s="48"/>
      <c r="CK915" s="48"/>
      <c r="CL915" s="48"/>
      <c r="CM915" s="48"/>
      <c r="CN915" s="48"/>
      <c r="CO915" s="48"/>
      <c r="CP915" s="48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  <c r="DA915" s="48"/>
      <c r="DB915" s="48"/>
      <c r="DC915" s="48"/>
      <c r="DD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175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175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  <c r="BD916" s="48"/>
      <c r="BE916" s="48"/>
      <c r="BF916" s="48"/>
      <c r="BG916" s="48"/>
      <c r="BH916" s="48"/>
      <c r="BI916" s="48"/>
      <c r="BJ916" s="48"/>
      <c r="BK916" s="48"/>
      <c r="BL916" s="48"/>
      <c r="BM916" s="48"/>
      <c r="BN916" s="48"/>
      <c r="BO916" s="48"/>
      <c r="BP916" s="48"/>
      <c r="BQ916" s="48"/>
      <c r="BR916" s="48"/>
      <c r="BS916" s="48"/>
      <c r="BT916" s="48"/>
      <c r="BU916" s="48"/>
      <c r="BV916" s="48"/>
      <c r="BW916" s="48"/>
      <c r="BX916" s="48"/>
      <c r="BY916" s="48"/>
      <c r="BZ916" s="48"/>
      <c r="CA916" s="48"/>
      <c r="CB916" s="48"/>
      <c r="CC916" s="48"/>
      <c r="CD916" s="48"/>
      <c r="CE916" s="48"/>
      <c r="CF916" s="48"/>
      <c r="CG916" s="48"/>
      <c r="CH916" s="48"/>
      <c r="CI916" s="48"/>
      <c r="CJ916" s="48"/>
      <c r="CK916" s="48"/>
      <c r="CL916" s="48"/>
      <c r="CM916" s="48"/>
      <c r="CN916" s="48"/>
      <c r="CO916" s="48"/>
      <c r="CP916" s="48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  <c r="DA916" s="48"/>
      <c r="DB916" s="48"/>
      <c r="DC916" s="48"/>
      <c r="DD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175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175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  <c r="BD917" s="48"/>
      <c r="BE917" s="48"/>
      <c r="BF917" s="48"/>
      <c r="BG917" s="48"/>
      <c r="BH917" s="48"/>
      <c r="BI917" s="48"/>
      <c r="BJ917" s="48"/>
      <c r="BK917" s="48"/>
      <c r="BL917" s="48"/>
      <c r="BM917" s="48"/>
      <c r="BN917" s="48"/>
      <c r="BO917" s="48"/>
      <c r="BP917" s="48"/>
      <c r="BQ917" s="48"/>
      <c r="BR917" s="48"/>
      <c r="BS917" s="48"/>
      <c r="BT917" s="48"/>
      <c r="BU917" s="48"/>
      <c r="BV917" s="48"/>
      <c r="BW917" s="48"/>
      <c r="BX917" s="48"/>
      <c r="BY917" s="48"/>
      <c r="BZ917" s="48"/>
      <c r="CA917" s="48"/>
      <c r="CB917" s="48"/>
      <c r="CC917" s="48"/>
      <c r="CD917" s="48"/>
      <c r="CE917" s="48"/>
      <c r="CF917" s="48"/>
      <c r="CG917" s="48"/>
      <c r="CH917" s="48"/>
      <c r="CI917" s="48"/>
      <c r="CJ917" s="48"/>
      <c r="CK917" s="48"/>
      <c r="CL917" s="48"/>
      <c r="CM917" s="48"/>
      <c r="CN917" s="48"/>
      <c r="CO917" s="48"/>
      <c r="CP917" s="48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  <c r="DA917" s="48"/>
      <c r="DB917" s="48"/>
      <c r="DC917" s="48"/>
      <c r="DD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175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175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  <c r="BD918" s="48"/>
      <c r="BE918" s="48"/>
      <c r="BF918" s="48"/>
      <c r="BG918" s="48"/>
      <c r="BH918" s="48"/>
      <c r="BI918" s="48"/>
      <c r="BJ918" s="48"/>
      <c r="BK918" s="48"/>
      <c r="BL918" s="48"/>
      <c r="BM918" s="48"/>
      <c r="BN918" s="48"/>
      <c r="BO918" s="48"/>
      <c r="BP918" s="48"/>
      <c r="BQ918" s="48"/>
      <c r="BR918" s="48"/>
      <c r="BS918" s="48"/>
      <c r="BT918" s="48"/>
      <c r="BU918" s="48"/>
      <c r="BV918" s="48"/>
      <c r="BW918" s="48"/>
      <c r="BX918" s="48"/>
      <c r="BY918" s="48"/>
      <c r="BZ918" s="48"/>
      <c r="CA918" s="48"/>
      <c r="CB918" s="48"/>
      <c r="CC918" s="48"/>
      <c r="CD918" s="48"/>
      <c r="CE918" s="48"/>
      <c r="CF918" s="48"/>
      <c r="CG918" s="48"/>
      <c r="CH918" s="48"/>
      <c r="CI918" s="48"/>
      <c r="CJ918" s="48"/>
      <c r="CK918" s="48"/>
      <c r="CL918" s="48"/>
      <c r="CM918" s="48"/>
      <c r="CN918" s="48"/>
      <c r="CO918" s="48"/>
      <c r="CP918" s="48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  <c r="DA918" s="48"/>
      <c r="DB918" s="48"/>
      <c r="DC918" s="48"/>
      <c r="DD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175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175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  <c r="BD919" s="48"/>
      <c r="BE919" s="48"/>
      <c r="BF919" s="48"/>
      <c r="BG919" s="48"/>
      <c r="BH919" s="48"/>
      <c r="BI919" s="48"/>
      <c r="BJ919" s="48"/>
      <c r="BK919" s="48"/>
      <c r="BL919" s="48"/>
      <c r="BM919" s="48"/>
      <c r="BN919" s="48"/>
      <c r="BO919" s="48"/>
      <c r="BP919" s="48"/>
      <c r="BQ919" s="48"/>
      <c r="BR919" s="48"/>
      <c r="BS919" s="48"/>
      <c r="BT919" s="48"/>
      <c r="BU919" s="48"/>
      <c r="BV919" s="48"/>
      <c r="BW919" s="48"/>
      <c r="BX919" s="48"/>
      <c r="BY919" s="48"/>
      <c r="BZ919" s="48"/>
      <c r="CA919" s="48"/>
      <c r="CB919" s="48"/>
      <c r="CC919" s="48"/>
      <c r="CD919" s="48"/>
      <c r="CE919" s="48"/>
      <c r="CF919" s="48"/>
      <c r="CG919" s="48"/>
      <c r="CH919" s="48"/>
      <c r="CI919" s="48"/>
      <c r="CJ919" s="48"/>
      <c r="CK919" s="48"/>
      <c r="CL919" s="48"/>
      <c r="CM919" s="48"/>
      <c r="CN919" s="48"/>
      <c r="CO919" s="48"/>
      <c r="CP919" s="48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  <c r="DA919" s="48"/>
      <c r="DB919" s="48"/>
      <c r="DC919" s="48"/>
      <c r="DD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175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175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  <c r="BD920" s="48"/>
      <c r="BE920" s="48"/>
      <c r="BF920" s="48"/>
      <c r="BG920" s="48"/>
      <c r="BH920" s="48"/>
      <c r="BI920" s="48"/>
      <c r="BJ920" s="48"/>
      <c r="BK920" s="48"/>
      <c r="BL920" s="48"/>
      <c r="BM920" s="48"/>
      <c r="BN920" s="48"/>
      <c r="BO920" s="48"/>
      <c r="BP920" s="48"/>
      <c r="BQ920" s="48"/>
      <c r="BR920" s="48"/>
      <c r="BS920" s="48"/>
      <c r="BT920" s="48"/>
      <c r="BU920" s="48"/>
      <c r="BV920" s="48"/>
      <c r="BW920" s="48"/>
      <c r="BX920" s="48"/>
      <c r="BY920" s="48"/>
      <c r="BZ920" s="48"/>
      <c r="CA920" s="48"/>
      <c r="CB920" s="48"/>
      <c r="CC920" s="48"/>
      <c r="CD920" s="48"/>
      <c r="CE920" s="48"/>
      <c r="CF920" s="48"/>
      <c r="CG920" s="48"/>
      <c r="CH920" s="48"/>
      <c r="CI920" s="48"/>
      <c r="CJ920" s="48"/>
      <c r="CK920" s="48"/>
      <c r="CL920" s="48"/>
      <c r="CM920" s="48"/>
      <c r="CN920" s="48"/>
      <c r="CO920" s="48"/>
      <c r="CP920" s="48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  <c r="DA920" s="48"/>
      <c r="DB920" s="48"/>
      <c r="DC920" s="48"/>
      <c r="DD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175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175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  <c r="BD921" s="48"/>
      <c r="BE921" s="48"/>
      <c r="BF921" s="48"/>
      <c r="BG921" s="48"/>
      <c r="BH921" s="48"/>
      <c r="BI921" s="48"/>
      <c r="BJ921" s="48"/>
      <c r="BK921" s="48"/>
      <c r="BL921" s="48"/>
      <c r="BM921" s="48"/>
      <c r="BN921" s="48"/>
      <c r="BO921" s="48"/>
      <c r="BP921" s="48"/>
      <c r="BQ921" s="48"/>
      <c r="BR921" s="48"/>
      <c r="BS921" s="48"/>
      <c r="BT921" s="48"/>
      <c r="BU921" s="48"/>
      <c r="BV921" s="48"/>
      <c r="BW921" s="48"/>
      <c r="BX921" s="48"/>
      <c r="BY921" s="48"/>
      <c r="BZ921" s="48"/>
      <c r="CA921" s="48"/>
      <c r="CB921" s="48"/>
      <c r="CC921" s="48"/>
      <c r="CD921" s="48"/>
      <c r="CE921" s="48"/>
      <c r="CF921" s="48"/>
      <c r="CG921" s="48"/>
      <c r="CH921" s="48"/>
      <c r="CI921" s="48"/>
      <c r="CJ921" s="48"/>
      <c r="CK921" s="48"/>
      <c r="CL921" s="48"/>
      <c r="CM921" s="48"/>
      <c r="CN921" s="48"/>
      <c r="CO921" s="48"/>
      <c r="CP921" s="48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  <c r="DA921" s="48"/>
      <c r="DB921" s="48"/>
      <c r="DC921" s="48"/>
      <c r="DD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175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175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  <c r="BD922" s="48"/>
      <c r="BE922" s="48"/>
      <c r="BF922" s="48"/>
      <c r="BG922" s="48"/>
      <c r="BH922" s="48"/>
      <c r="BI922" s="48"/>
      <c r="BJ922" s="48"/>
      <c r="BK922" s="48"/>
      <c r="BL922" s="48"/>
      <c r="BM922" s="48"/>
      <c r="BN922" s="48"/>
      <c r="BO922" s="48"/>
      <c r="BP922" s="48"/>
      <c r="BQ922" s="48"/>
      <c r="BR922" s="48"/>
      <c r="BS922" s="48"/>
      <c r="BT922" s="48"/>
      <c r="BU922" s="48"/>
      <c r="BV922" s="48"/>
      <c r="BW922" s="48"/>
      <c r="BX922" s="48"/>
      <c r="BY922" s="48"/>
      <c r="BZ922" s="48"/>
      <c r="CA922" s="48"/>
      <c r="CB922" s="48"/>
      <c r="CC922" s="48"/>
      <c r="CD922" s="48"/>
      <c r="CE922" s="48"/>
      <c r="CF922" s="48"/>
      <c r="CG922" s="48"/>
      <c r="CH922" s="48"/>
      <c r="CI922" s="48"/>
      <c r="CJ922" s="48"/>
      <c r="CK922" s="48"/>
      <c r="CL922" s="48"/>
      <c r="CM922" s="48"/>
      <c r="CN922" s="48"/>
      <c r="CO922" s="48"/>
      <c r="CP922" s="48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  <c r="DA922" s="48"/>
      <c r="DB922" s="48"/>
      <c r="DC922" s="48"/>
      <c r="DD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175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175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  <c r="BD923" s="48"/>
      <c r="BE923" s="48"/>
      <c r="BF923" s="48"/>
      <c r="BG923" s="48"/>
      <c r="BH923" s="48"/>
      <c r="BI923" s="48"/>
      <c r="BJ923" s="48"/>
      <c r="BK923" s="48"/>
      <c r="BL923" s="48"/>
      <c r="BM923" s="48"/>
      <c r="BN923" s="48"/>
      <c r="BO923" s="48"/>
      <c r="BP923" s="48"/>
      <c r="BQ923" s="48"/>
      <c r="BR923" s="48"/>
      <c r="BS923" s="48"/>
      <c r="BT923" s="48"/>
      <c r="BU923" s="48"/>
      <c r="BV923" s="48"/>
      <c r="BW923" s="48"/>
      <c r="BX923" s="48"/>
      <c r="BY923" s="48"/>
      <c r="BZ923" s="48"/>
      <c r="CA923" s="48"/>
      <c r="CB923" s="48"/>
      <c r="CC923" s="48"/>
      <c r="CD923" s="48"/>
      <c r="CE923" s="48"/>
      <c r="CF923" s="48"/>
      <c r="CG923" s="48"/>
      <c r="CH923" s="48"/>
      <c r="CI923" s="48"/>
      <c r="CJ923" s="48"/>
      <c r="CK923" s="48"/>
      <c r="CL923" s="48"/>
      <c r="CM923" s="48"/>
      <c r="CN923" s="48"/>
      <c r="CO923" s="48"/>
      <c r="CP923" s="48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  <c r="DA923" s="48"/>
      <c r="DB923" s="48"/>
      <c r="DC923" s="48"/>
      <c r="DD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175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175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  <c r="BD924" s="48"/>
      <c r="BE924" s="48"/>
      <c r="BF924" s="48"/>
      <c r="BG924" s="48"/>
      <c r="BH924" s="48"/>
      <c r="BI924" s="48"/>
      <c r="BJ924" s="48"/>
      <c r="BK924" s="48"/>
      <c r="BL924" s="48"/>
      <c r="BM924" s="48"/>
      <c r="BN924" s="48"/>
      <c r="BO924" s="48"/>
      <c r="BP924" s="48"/>
      <c r="BQ924" s="48"/>
      <c r="BR924" s="48"/>
      <c r="BS924" s="48"/>
      <c r="BT924" s="48"/>
      <c r="BU924" s="48"/>
      <c r="BV924" s="48"/>
      <c r="BW924" s="48"/>
      <c r="BX924" s="48"/>
      <c r="BY924" s="48"/>
      <c r="BZ924" s="48"/>
      <c r="CA924" s="48"/>
      <c r="CB924" s="48"/>
      <c r="CC924" s="48"/>
      <c r="CD924" s="48"/>
      <c r="CE924" s="48"/>
      <c r="CF924" s="48"/>
      <c r="CG924" s="48"/>
      <c r="CH924" s="48"/>
      <c r="CI924" s="48"/>
      <c r="CJ924" s="48"/>
      <c r="CK924" s="48"/>
      <c r="CL924" s="48"/>
      <c r="CM924" s="48"/>
      <c r="CN924" s="48"/>
      <c r="CO924" s="48"/>
      <c r="CP924" s="48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  <c r="DA924" s="48"/>
      <c r="DB924" s="48"/>
      <c r="DC924" s="48"/>
      <c r="DD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175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175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  <c r="BD925" s="48"/>
      <c r="BE925" s="48"/>
      <c r="BF925" s="48"/>
      <c r="BG925" s="48"/>
      <c r="BH925" s="48"/>
      <c r="BI925" s="48"/>
      <c r="BJ925" s="48"/>
      <c r="BK925" s="48"/>
      <c r="BL925" s="48"/>
      <c r="BM925" s="48"/>
      <c r="BN925" s="48"/>
      <c r="BO925" s="48"/>
      <c r="BP925" s="48"/>
      <c r="BQ925" s="48"/>
      <c r="BR925" s="48"/>
      <c r="BS925" s="48"/>
      <c r="BT925" s="48"/>
      <c r="BU925" s="48"/>
      <c r="BV925" s="48"/>
      <c r="BW925" s="48"/>
      <c r="BX925" s="48"/>
      <c r="BY925" s="48"/>
      <c r="BZ925" s="48"/>
      <c r="CA925" s="48"/>
      <c r="CB925" s="48"/>
      <c r="CC925" s="48"/>
      <c r="CD925" s="48"/>
      <c r="CE925" s="48"/>
      <c r="CF925" s="48"/>
      <c r="CG925" s="48"/>
      <c r="CH925" s="48"/>
      <c r="CI925" s="48"/>
      <c r="CJ925" s="48"/>
      <c r="CK925" s="48"/>
      <c r="CL925" s="48"/>
      <c r="CM925" s="48"/>
      <c r="CN925" s="48"/>
      <c r="CO925" s="48"/>
      <c r="CP925" s="48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  <c r="DA925" s="48"/>
      <c r="DB925" s="48"/>
      <c r="DC925" s="48"/>
      <c r="DD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175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175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  <c r="BD926" s="48"/>
      <c r="BE926" s="48"/>
      <c r="BF926" s="48"/>
      <c r="BG926" s="48"/>
      <c r="BH926" s="48"/>
      <c r="BI926" s="48"/>
      <c r="BJ926" s="48"/>
      <c r="BK926" s="48"/>
      <c r="BL926" s="48"/>
      <c r="BM926" s="48"/>
      <c r="BN926" s="48"/>
      <c r="BO926" s="48"/>
      <c r="BP926" s="48"/>
      <c r="BQ926" s="48"/>
      <c r="BR926" s="48"/>
      <c r="BS926" s="48"/>
      <c r="BT926" s="48"/>
      <c r="BU926" s="48"/>
      <c r="BV926" s="48"/>
      <c r="BW926" s="48"/>
      <c r="BX926" s="48"/>
      <c r="BY926" s="48"/>
      <c r="BZ926" s="48"/>
      <c r="CA926" s="48"/>
      <c r="CB926" s="48"/>
      <c r="CC926" s="48"/>
      <c r="CD926" s="48"/>
      <c r="CE926" s="48"/>
      <c r="CF926" s="48"/>
      <c r="CG926" s="48"/>
      <c r="CH926" s="48"/>
      <c r="CI926" s="48"/>
      <c r="CJ926" s="48"/>
      <c r="CK926" s="48"/>
      <c r="CL926" s="48"/>
      <c r="CM926" s="48"/>
      <c r="CN926" s="48"/>
      <c r="CO926" s="48"/>
      <c r="CP926" s="48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  <c r="DA926" s="48"/>
      <c r="DB926" s="48"/>
      <c r="DC926" s="48"/>
      <c r="DD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175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175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  <c r="BD927" s="48"/>
      <c r="BE927" s="48"/>
      <c r="BF927" s="48"/>
      <c r="BG927" s="48"/>
      <c r="BH927" s="48"/>
      <c r="BI927" s="48"/>
      <c r="BJ927" s="48"/>
      <c r="BK927" s="48"/>
      <c r="BL927" s="48"/>
      <c r="BM927" s="48"/>
      <c r="BN927" s="48"/>
      <c r="BO927" s="48"/>
      <c r="BP927" s="48"/>
      <c r="BQ927" s="48"/>
      <c r="BR927" s="48"/>
      <c r="BS927" s="48"/>
      <c r="BT927" s="48"/>
      <c r="BU927" s="48"/>
      <c r="BV927" s="48"/>
      <c r="BW927" s="48"/>
      <c r="BX927" s="48"/>
      <c r="BY927" s="48"/>
      <c r="BZ927" s="48"/>
      <c r="CA927" s="48"/>
      <c r="CB927" s="48"/>
      <c r="CC927" s="48"/>
      <c r="CD927" s="48"/>
      <c r="CE927" s="48"/>
      <c r="CF927" s="48"/>
      <c r="CG927" s="48"/>
      <c r="CH927" s="48"/>
      <c r="CI927" s="48"/>
      <c r="CJ927" s="48"/>
      <c r="CK927" s="48"/>
      <c r="CL927" s="48"/>
      <c r="CM927" s="48"/>
      <c r="CN927" s="48"/>
      <c r="CO927" s="48"/>
      <c r="CP927" s="48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  <c r="DA927" s="48"/>
      <c r="DB927" s="48"/>
      <c r="DC927" s="48"/>
      <c r="DD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175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175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  <c r="BD928" s="48"/>
      <c r="BE928" s="48"/>
      <c r="BF928" s="48"/>
      <c r="BG928" s="48"/>
      <c r="BH928" s="48"/>
      <c r="BI928" s="48"/>
      <c r="BJ928" s="48"/>
      <c r="BK928" s="48"/>
      <c r="BL928" s="48"/>
      <c r="BM928" s="48"/>
      <c r="BN928" s="48"/>
      <c r="BO928" s="48"/>
      <c r="BP928" s="48"/>
      <c r="BQ928" s="48"/>
      <c r="BR928" s="48"/>
      <c r="BS928" s="48"/>
      <c r="BT928" s="48"/>
      <c r="BU928" s="48"/>
      <c r="BV928" s="48"/>
      <c r="BW928" s="48"/>
      <c r="BX928" s="48"/>
      <c r="BY928" s="48"/>
      <c r="BZ928" s="48"/>
      <c r="CA928" s="48"/>
      <c r="CB928" s="48"/>
      <c r="CC928" s="48"/>
      <c r="CD928" s="48"/>
      <c r="CE928" s="48"/>
      <c r="CF928" s="48"/>
      <c r="CG928" s="48"/>
      <c r="CH928" s="48"/>
      <c r="CI928" s="48"/>
      <c r="CJ928" s="48"/>
      <c r="CK928" s="48"/>
      <c r="CL928" s="48"/>
      <c r="CM928" s="48"/>
      <c r="CN928" s="48"/>
      <c r="CO928" s="48"/>
      <c r="CP928" s="48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  <c r="DA928" s="48"/>
      <c r="DB928" s="48"/>
      <c r="DC928" s="48"/>
      <c r="DD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175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175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  <c r="BD929" s="48"/>
      <c r="BE929" s="48"/>
      <c r="BF929" s="48"/>
      <c r="BG929" s="48"/>
      <c r="BH929" s="48"/>
      <c r="BI929" s="48"/>
      <c r="BJ929" s="48"/>
      <c r="BK929" s="48"/>
      <c r="BL929" s="48"/>
      <c r="BM929" s="48"/>
      <c r="BN929" s="48"/>
      <c r="BO929" s="48"/>
      <c r="BP929" s="48"/>
      <c r="BQ929" s="48"/>
      <c r="BR929" s="48"/>
      <c r="BS929" s="48"/>
      <c r="BT929" s="48"/>
      <c r="BU929" s="48"/>
      <c r="BV929" s="48"/>
      <c r="BW929" s="48"/>
      <c r="BX929" s="48"/>
      <c r="BY929" s="48"/>
      <c r="BZ929" s="48"/>
      <c r="CA929" s="48"/>
      <c r="CB929" s="48"/>
      <c r="CC929" s="48"/>
      <c r="CD929" s="48"/>
      <c r="CE929" s="48"/>
      <c r="CF929" s="48"/>
      <c r="CG929" s="48"/>
      <c r="CH929" s="48"/>
      <c r="CI929" s="48"/>
      <c r="CJ929" s="48"/>
      <c r="CK929" s="48"/>
      <c r="CL929" s="48"/>
      <c r="CM929" s="48"/>
      <c r="CN929" s="48"/>
      <c r="CO929" s="48"/>
      <c r="CP929" s="48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  <c r="DA929" s="48"/>
      <c r="DB929" s="48"/>
      <c r="DC929" s="48"/>
      <c r="DD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175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175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  <c r="BD930" s="48"/>
      <c r="BE930" s="48"/>
      <c r="BF930" s="48"/>
      <c r="BG930" s="48"/>
      <c r="BH930" s="48"/>
      <c r="BI930" s="48"/>
      <c r="BJ930" s="48"/>
      <c r="BK930" s="48"/>
      <c r="BL930" s="48"/>
      <c r="BM930" s="48"/>
      <c r="BN930" s="48"/>
      <c r="BO930" s="48"/>
      <c r="BP930" s="48"/>
      <c r="BQ930" s="48"/>
      <c r="BR930" s="48"/>
      <c r="BS930" s="48"/>
      <c r="BT930" s="48"/>
      <c r="BU930" s="48"/>
      <c r="BV930" s="48"/>
      <c r="BW930" s="48"/>
      <c r="BX930" s="48"/>
      <c r="BY930" s="48"/>
      <c r="BZ930" s="48"/>
      <c r="CA930" s="48"/>
      <c r="CB930" s="48"/>
      <c r="CC930" s="48"/>
      <c r="CD930" s="48"/>
      <c r="CE930" s="48"/>
      <c r="CF930" s="48"/>
      <c r="CG930" s="48"/>
      <c r="CH930" s="48"/>
      <c r="CI930" s="48"/>
      <c r="CJ930" s="48"/>
      <c r="CK930" s="48"/>
      <c r="CL930" s="48"/>
      <c r="CM930" s="48"/>
      <c r="CN930" s="48"/>
      <c r="CO930" s="48"/>
      <c r="CP930" s="48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  <c r="DA930" s="48"/>
      <c r="DB930" s="48"/>
      <c r="DC930" s="48"/>
      <c r="DD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175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175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/>
      <c r="BJ931" s="48"/>
      <c r="BK931" s="48"/>
      <c r="BL931" s="48"/>
      <c r="BM931" s="48"/>
      <c r="BN931" s="48"/>
      <c r="BO931" s="48"/>
      <c r="BP931" s="48"/>
      <c r="BQ931" s="48"/>
      <c r="BR931" s="48"/>
      <c r="BS931" s="48"/>
      <c r="BT931" s="48"/>
      <c r="BU931" s="48"/>
      <c r="BV931" s="48"/>
      <c r="BW931" s="48"/>
      <c r="BX931" s="48"/>
      <c r="BY931" s="48"/>
      <c r="BZ931" s="48"/>
      <c r="CA931" s="48"/>
      <c r="CB931" s="48"/>
      <c r="CC931" s="48"/>
      <c r="CD931" s="48"/>
      <c r="CE931" s="48"/>
      <c r="CF931" s="48"/>
      <c r="CG931" s="48"/>
      <c r="CH931" s="48"/>
      <c r="CI931" s="48"/>
      <c r="CJ931" s="48"/>
      <c r="CK931" s="48"/>
      <c r="CL931" s="48"/>
      <c r="CM931" s="48"/>
      <c r="CN931" s="48"/>
      <c r="CO931" s="48"/>
      <c r="CP931" s="48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  <c r="DA931" s="48"/>
      <c r="DB931" s="48"/>
      <c r="DC931" s="48"/>
      <c r="DD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175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175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  <c r="BD932" s="48"/>
      <c r="BE932" s="48"/>
      <c r="BF932" s="48"/>
      <c r="BG932" s="48"/>
      <c r="BH932" s="48"/>
      <c r="BI932" s="48"/>
      <c r="BJ932" s="48"/>
      <c r="BK932" s="48"/>
      <c r="BL932" s="48"/>
      <c r="BM932" s="48"/>
      <c r="BN932" s="48"/>
      <c r="BO932" s="48"/>
      <c r="BP932" s="48"/>
      <c r="BQ932" s="48"/>
      <c r="BR932" s="48"/>
      <c r="BS932" s="48"/>
      <c r="BT932" s="48"/>
      <c r="BU932" s="48"/>
      <c r="BV932" s="48"/>
      <c r="BW932" s="48"/>
      <c r="BX932" s="48"/>
      <c r="BY932" s="48"/>
      <c r="BZ932" s="48"/>
      <c r="CA932" s="48"/>
      <c r="CB932" s="48"/>
      <c r="CC932" s="48"/>
      <c r="CD932" s="48"/>
      <c r="CE932" s="48"/>
      <c r="CF932" s="48"/>
      <c r="CG932" s="48"/>
      <c r="CH932" s="48"/>
      <c r="CI932" s="48"/>
      <c r="CJ932" s="48"/>
      <c r="CK932" s="48"/>
      <c r="CL932" s="48"/>
      <c r="CM932" s="48"/>
      <c r="CN932" s="48"/>
      <c r="CO932" s="48"/>
      <c r="CP932" s="48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  <c r="DA932" s="48"/>
      <c r="DB932" s="48"/>
      <c r="DC932" s="48"/>
      <c r="DD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175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175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  <c r="BD933" s="48"/>
      <c r="BE933" s="48"/>
      <c r="BF933" s="48"/>
      <c r="BG933" s="48"/>
      <c r="BH933" s="48"/>
      <c r="BI933" s="48"/>
      <c r="BJ933" s="48"/>
      <c r="BK933" s="48"/>
      <c r="BL933" s="48"/>
      <c r="BM933" s="48"/>
      <c r="BN933" s="48"/>
      <c r="BO933" s="48"/>
      <c r="BP933" s="48"/>
      <c r="BQ933" s="48"/>
      <c r="BR933" s="48"/>
      <c r="BS933" s="48"/>
      <c r="BT933" s="48"/>
      <c r="BU933" s="48"/>
      <c r="BV933" s="48"/>
      <c r="BW933" s="48"/>
      <c r="BX933" s="48"/>
      <c r="BY933" s="48"/>
      <c r="BZ933" s="48"/>
      <c r="CA933" s="48"/>
      <c r="CB933" s="48"/>
      <c r="CC933" s="48"/>
      <c r="CD933" s="48"/>
      <c r="CE933" s="48"/>
      <c r="CF933" s="48"/>
      <c r="CG933" s="48"/>
      <c r="CH933" s="48"/>
      <c r="CI933" s="48"/>
      <c r="CJ933" s="48"/>
      <c r="CK933" s="48"/>
      <c r="CL933" s="48"/>
      <c r="CM933" s="48"/>
      <c r="CN933" s="48"/>
      <c r="CO933" s="48"/>
      <c r="CP933" s="48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  <c r="DA933" s="48"/>
      <c r="DB933" s="48"/>
      <c r="DC933" s="48"/>
      <c r="DD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175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175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  <c r="BD934" s="48"/>
      <c r="BE934" s="48"/>
      <c r="BF934" s="48"/>
      <c r="BG934" s="48"/>
      <c r="BH934" s="48"/>
      <c r="BI934" s="48"/>
      <c r="BJ934" s="48"/>
      <c r="BK934" s="48"/>
      <c r="BL934" s="48"/>
      <c r="BM934" s="48"/>
      <c r="BN934" s="48"/>
      <c r="BO934" s="48"/>
      <c r="BP934" s="48"/>
      <c r="BQ934" s="48"/>
      <c r="BR934" s="48"/>
      <c r="BS934" s="48"/>
      <c r="BT934" s="48"/>
      <c r="BU934" s="48"/>
      <c r="BV934" s="48"/>
      <c r="BW934" s="48"/>
      <c r="BX934" s="48"/>
      <c r="BY934" s="48"/>
      <c r="BZ934" s="48"/>
      <c r="CA934" s="48"/>
      <c r="CB934" s="48"/>
      <c r="CC934" s="48"/>
      <c r="CD934" s="48"/>
      <c r="CE934" s="48"/>
      <c r="CF934" s="48"/>
      <c r="CG934" s="48"/>
      <c r="CH934" s="48"/>
      <c r="CI934" s="48"/>
      <c r="CJ934" s="48"/>
      <c r="CK934" s="48"/>
      <c r="CL934" s="48"/>
      <c r="CM934" s="48"/>
      <c r="CN934" s="48"/>
      <c r="CO934" s="48"/>
      <c r="CP934" s="48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  <c r="DA934" s="48"/>
      <c r="DB934" s="48"/>
      <c r="DC934" s="48"/>
      <c r="DD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175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175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  <c r="BD935" s="48"/>
      <c r="BE935" s="48"/>
      <c r="BF935" s="48"/>
      <c r="BG935" s="48"/>
      <c r="BH935" s="48"/>
      <c r="BI935" s="48"/>
      <c r="BJ935" s="48"/>
      <c r="BK935" s="48"/>
      <c r="BL935" s="48"/>
      <c r="BM935" s="48"/>
      <c r="BN935" s="48"/>
      <c r="BO935" s="48"/>
      <c r="BP935" s="48"/>
      <c r="BQ935" s="48"/>
      <c r="BR935" s="48"/>
      <c r="BS935" s="48"/>
      <c r="BT935" s="48"/>
      <c r="BU935" s="48"/>
      <c r="BV935" s="48"/>
      <c r="BW935" s="48"/>
      <c r="BX935" s="48"/>
      <c r="BY935" s="48"/>
      <c r="BZ935" s="48"/>
      <c r="CA935" s="48"/>
      <c r="CB935" s="48"/>
      <c r="CC935" s="48"/>
      <c r="CD935" s="48"/>
      <c r="CE935" s="48"/>
      <c r="CF935" s="48"/>
      <c r="CG935" s="48"/>
      <c r="CH935" s="48"/>
      <c r="CI935" s="48"/>
      <c r="CJ935" s="48"/>
      <c r="CK935" s="48"/>
      <c r="CL935" s="48"/>
      <c r="CM935" s="48"/>
      <c r="CN935" s="48"/>
      <c r="CO935" s="48"/>
      <c r="CP935" s="48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  <c r="DA935" s="48"/>
      <c r="DB935" s="48"/>
      <c r="DC935" s="48"/>
      <c r="DD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175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175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  <c r="BD936" s="48"/>
      <c r="BE936" s="48"/>
      <c r="BF936" s="48"/>
      <c r="BG936" s="48"/>
      <c r="BH936" s="48"/>
      <c r="BI936" s="48"/>
      <c r="BJ936" s="48"/>
      <c r="BK936" s="48"/>
      <c r="BL936" s="48"/>
      <c r="BM936" s="48"/>
      <c r="BN936" s="48"/>
      <c r="BO936" s="48"/>
      <c r="BP936" s="48"/>
      <c r="BQ936" s="48"/>
      <c r="BR936" s="48"/>
      <c r="BS936" s="48"/>
      <c r="BT936" s="48"/>
      <c r="BU936" s="48"/>
      <c r="BV936" s="48"/>
      <c r="BW936" s="48"/>
      <c r="BX936" s="48"/>
      <c r="BY936" s="48"/>
      <c r="BZ936" s="48"/>
      <c r="CA936" s="48"/>
      <c r="CB936" s="48"/>
      <c r="CC936" s="48"/>
      <c r="CD936" s="48"/>
      <c r="CE936" s="48"/>
      <c r="CF936" s="48"/>
      <c r="CG936" s="48"/>
      <c r="CH936" s="48"/>
      <c r="CI936" s="48"/>
      <c r="CJ936" s="48"/>
      <c r="CK936" s="48"/>
      <c r="CL936" s="48"/>
      <c r="CM936" s="48"/>
      <c r="CN936" s="48"/>
      <c r="CO936" s="48"/>
      <c r="CP936" s="48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  <c r="DA936" s="48"/>
      <c r="DB936" s="48"/>
      <c r="DC936" s="48"/>
      <c r="DD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175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175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  <c r="BD937" s="48"/>
      <c r="BE937" s="48"/>
      <c r="BF937" s="48"/>
      <c r="BG937" s="48"/>
      <c r="BH937" s="48"/>
      <c r="BI937" s="48"/>
      <c r="BJ937" s="48"/>
      <c r="BK937" s="48"/>
      <c r="BL937" s="48"/>
      <c r="BM937" s="48"/>
      <c r="BN937" s="48"/>
      <c r="BO937" s="48"/>
      <c r="BP937" s="48"/>
      <c r="BQ937" s="48"/>
      <c r="BR937" s="48"/>
      <c r="BS937" s="48"/>
      <c r="BT937" s="48"/>
      <c r="BU937" s="48"/>
      <c r="BV937" s="48"/>
      <c r="BW937" s="48"/>
      <c r="BX937" s="48"/>
      <c r="BY937" s="48"/>
      <c r="BZ937" s="48"/>
      <c r="CA937" s="48"/>
      <c r="CB937" s="48"/>
      <c r="CC937" s="48"/>
      <c r="CD937" s="48"/>
      <c r="CE937" s="48"/>
      <c r="CF937" s="48"/>
      <c r="CG937" s="48"/>
      <c r="CH937" s="48"/>
      <c r="CI937" s="48"/>
      <c r="CJ937" s="48"/>
      <c r="CK937" s="48"/>
      <c r="CL937" s="48"/>
      <c r="CM937" s="48"/>
      <c r="CN937" s="48"/>
      <c r="CO937" s="48"/>
      <c r="CP937" s="48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  <c r="DA937" s="48"/>
      <c r="DB937" s="48"/>
      <c r="DC937" s="48"/>
      <c r="DD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175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175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  <c r="BD938" s="48"/>
      <c r="BE938" s="48"/>
      <c r="BF938" s="48"/>
      <c r="BG938" s="48"/>
      <c r="BH938" s="48"/>
      <c r="BI938" s="48"/>
      <c r="BJ938" s="48"/>
      <c r="BK938" s="48"/>
      <c r="BL938" s="48"/>
      <c r="BM938" s="48"/>
      <c r="BN938" s="48"/>
      <c r="BO938" s="48"/>
      <c r="BP938" s="48"/>
      <c r="BQ938" s="48"/>
      <c r="BR938" s="48"/>
      <c r="BS938" s="48"/>
      <c r="BT938" s="48"/>
      <c r="BU938" s="48"/>
      <c r="BV938" s="48"/>
      <c r="BW938" s="48"/>
      <c r="BX938" s="48"/>
      <c r="BY938" s="48"/>
      <c r="BZ938" s="48"/>
      <c r="CA938" s="48"/>
      <c r="CB938" s="48"/>
      <c r="CC938" s="48"/>
      <c r="CD938" s="48"/>
      <c r="CE938" s="48"/>
      <c r="CF938" s="48"/>
      <c r="CG938" s="48"/>
      <c r="CH938" s="48"/>
      <c r="CI938" s="48"/>
      <c r="CJ938" s="48"/>
      <c r="CK938" s="48"/>
      <c r="CL938" s="48"/>
      <c r="CM938" s="48"/>
      <c r="CN938" s="48"/>
      <c r="CO938" s="48"/>
      <c r="CP938" s="48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  <c r="DA938" s="48"/>
      <c r="DB938" s="48"/>
      <c r="DC938" s="48"/>
      <c r="DD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175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175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  <c r="BD939" s="48"/>
      <c r="BE939" s="48"/>
      <c r="BF939" s="48"/>
      <c r="BG939" s="48"/>
      <c r="BH939" s="48"/>
      <c r="BI939" s="48"/>
      <c r="BJ939" s="48"/>
      <c r="BK939" s="48"/>
      <c r="BL939" s="48"/>
      <c r="BM939" s="48"/>
      <c r="BN939" s="48"/>
      <c r="BO939" s="48"/>
      <c r="BP939" s="48"/>
      <c r="BQ939" s="48"/>
      <c r="BR939" s="48"/>
      <c r="BS939" s="48"/>
      <c r="BT939" s="48"/>
      <c r="BU939" s="48"/>
      <c r="BV939" s="48"/>
      <c r="BW939" s="48"/>
      <c r="BX939" s="48"/>
      <c r="BY939" s="48"/>
      <c r="BZ939" s="48"/>
      <c r="CA939" s="48"/>
      <c r="CB939" s="48"/>
      <c r="CC939" s="48"/>
      <c r="CD939" s="48"/>
      <c r="CE939" s="48"/>
      <c r="CF939" s="48"/>
      <c r="CG939" s="48"/>
      <c r="CH939" s="48"/>
      <c r="CI939" s="48"/>
      <c r="CJ939" s="48"/>
      <c r="CK939" s="48"/>
      <c r="CL939" s="48"/>
      <c r="CM939" s="48"/>
      <c r="CN939" s="48"/>
      <c r="CO939" s="48"/>
      <c r="CP939" s="48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  <c r="DA939" s="48"/>
      <c r="DB939" s="48"/>
      <c r="DC939" s="48"/>
      <c r="DD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175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175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  <c r="BD940" s="48"/>
      <c r="BE940" s="48"/>
      <c r="BF940" s="48"/>
      <c r="BG940" s="48"/>
      <c r="BH940" s="48"/>
      <c r="BI940" s="48"/>
      <c r="BJ940" s="48"/>
      <c r="BK940" s="48"/>
      <c r="BL940" s="48"/>
      <c r="BM940" s="48"/>
      <c r="BN940" s="48"/>
      <c r="BO940" s="48"/>
      <c r="BP940" s="48"/>
      <c r="BQ940" s="48"/>
      <c r="BR940" s="48"/>
      <c r="BS940" s="48"/>
      <c r="BT940" s="48"/>
      <c r="BU940" s="48"/>
      <c r="BV940" s="48"/>
      <c r="BW940" s="48"/>
      <c r="BX940" s="48"/>
      <c r="BY940" s="48"/>
      <c r="BZ940" s="48"/>
      <c r="CA940" s="48"/>
      <c r="CB940" s="48"/>
      <c r="CC940" s="48"/>
      <c r="CD940" s="48"/>
      <c r="CE940" s="48"/>
      <c r="CF940" s="48"/>
      <c r="CG940" s="48"/>
      <c r="CH940" s="48"/>
      <c r="CI940" s="48"/>
      <c r="CJ940" s="48"/>
      <c r="CK940" s="48"/>
      <c r="CL940" s="48"/>
      <c r="CM940" s="48"/>
      <c r="CN940" s="48"/>
      <c r="CO940" s="48"/>
      <c r="CP940" s="48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  <c r="DA940" s="48"/>
      <c r="DB940" s="48"/>
      <c r="DC940" s="48"/>
      <c r="DD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175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175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  <c r="BD941" s="48"/>
      <c r="BE941" s="48"/>
      <c r="BF941" s="48"/>
      <c r="BG941" s="48"/>
      <c r="BH941" s="48"/>
      <c r="BI941" s="48"/>
      <c r="BJ941" s="48"/>
      <c r="BK941" s="48"/>
      <c r="BL941" s="48"/>
      <c r="BM941" s="48"/>
      <c r="BN941" s="48"/>
      <c r="BO941" s="48"/>
      <c r="BP941" s="48"/>
      <c r="BQ941" s="48"/>
      <c r="BR941" s="48"/>
      <c r="BS941" s="48"/>
      <c r="BT941" s="48"/>
      <c r="BU941" s="48"/>
      <c r="BV941" s="48"/>
      <c r="BW941" s="48"/>
      <c r="BX941" s="48"/>
      <c r="BY941" s="48"/>
      <c r="BZ941" s="48"/>
      <c r="CA941" s="48"/>
      <c r="CB941" s="48"/>
      <c r="CC941" s="48"/>
      <c r="CD941" s="48"/>
      <c r="CE941" s="48"/>
      <c r="CF941" s="48"/>
      <c r="CG941" s="48"/>
      <c r="CH941" s="48"/>
      <c r="CI941" s="48"/>
      <c r="CJ941" s="48"/>
      <c r="CK941" s="48"/>
      <c r="CL941" s="48"/>
      <c r="CM941" s="48"/>
      <c r="CN941" s="48"/>
      <c r="CO941" s="48"/>
      <c r="CP941" s="48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  <c r="DA941" s="48"/>
      <c r="DB941" s="48"/>
      <c r="DC941" s="48"/>
      <c r="DD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175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175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  <c r="BD942" s="48"/>
      <c r="BE942" s="48"/>
      <c r="BF942" s="48"/>
      <c r="BG942" s="48"/>
      <c r="BH942" s="48"/>
      <c r="BI942" s="48"/>
      <c r="BJ942" s="48"/>
      <c r="BK942" s="48"/>
      <c r="BL942" s="48"/>
      <c r="BM942" s="48"/>
      <c r="BN942" s="48"/>
      <c r="BO942" s="48"/>
      <c r="BP942" s="48"/>
      <c r="BQ942" s="48"/>
      <c r="BR942" s="48"/>
      <c r="BS942" s="48"/>
      <c r="BT942" s="48"/>
      <c r="BU942" s="48"/>
      <c r="BV942" s="48"/>
      <c r="BW942" s="48"/>
      <c r="BX942" s="48"/>
      <c r="BY942" s="48"/>
      <c r="BZ942" s="48"/>
      <c r="CA942" s="48"/>
      <c r="CB942" s="48"/>
      <c r="CC942" s="48"/>
      <c r="CD942" s="48"/>
      <c r="CE942" s="48"/>
      <c r="CF942" s="48"/>
      <c r="CG942" s="48"/>
      <c r="CH942" s="48"/>
      <c r="CI942" s="48"/>
      <c r="CJ942" s="48"/>
      <c r="CK942" s="48"/>
      <c r="CL942" s="48"/>
      <c r="CM942" s="48"/>
      <c r="CN942" s="48"/>
      <c r="CO942" s="48"/>
      <c r="CP942" s="48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  <c r="DA942" s="48"/>
      <c r="DB942" s="48"/>
      <c r="DC942" s="48"/>
      <c r="DD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175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175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  <c r="BD943" s="48"/>
      <c r="BE943" s="48"/>
      <c r="BF943" s="48"/>
      <c r="BG943" s="48"/>
      <c r="BH943" s="48"/>
      <c r="BI943" s="48"/>
      <c r="BJ943" s="48"/>
      <c r="BK943" s="48"/>
      <c r="BL943" s="48"/>
      <c r="BM943" s="48"/>
      <c r="BN943" s="48"/>
      <c r="BO943" s="48"/>
      <c r="BP943" s="48"/>
      <c r="BQ943" s="48"/>
      <c r="BR943" s="48"/>
      <c r="BS943" s="48"/>
      <c r="BT943" s="48"/>
      <c r="BU943" s="48"/>
      <c r="BV943" s="48"/>
      <c r="BW943" s="48"/>
      <c r="BX943" s="48"/>
      <c r="BY943" s="48"/>
      <c r="BZ943" s="48"/>
      <c r="CA943" s="48"/>
      <c r="CB943" s="48"/>
      <c r="CC943" s="48"/>
      <c r="CD943" s="48"/>
      <c r="CE943" s="48"/>
      <c r="CF943" s="48"/>
      <c r="CG943" s="48"/>
      <c r="CH943" s="48"/>
      <c r="CI943" s="48"/>
      <c r="CJ943" s="48"/>
      <c r="CK943" s="48"/>
      <c r="CL943" s="48"/>
      <c r="CM943" s="48"/>
      <c r="CN943" s="48"/>
      <c r="CO943" s="48"/>
      <c r="CP943" s="48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  <c r="DA943" s="48"/>
      <c r="DB943" s="48"/>
      <c r="DC943" s="48"/>
      <c r="DD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175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175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  <c r="BD944" s="48"/>
      <c r="BE944" s="48"/>
      <c r="BF944" s="48"/>
      <c r="BG944" s="48"/>
      <c r="BH944" s="48"/>
      <c r="BI944" s="48"/>
      <c r="BJ944" s="48"/>
      <c r="BK944" s="48"/>
      <c r="BL944" s="48"/>
      <c r="BM944" s="48"/>
      <c r="BN944" s="48"/>
      <c r="BO944" s="48"/>
      <c r="BP944" s="48"/>
      <c r="BQ944" s="48"/>
      <c r="BR944" s="48"/>
      <c r="BS944" s="48"/>
      <c r="BT944" s="48"/>
      <c r="BU944" s="48"/>
      <c r="BV944" s="48"/>
      <c r="BW944" s="48"/>
      <c r="BX944" s="48"/>
      <c r="BY944" s="48"/>
      <c r="BZ944" s="48"/>
      <c r="CA944" s="48"/>
      <c r="CB944" s="48"/>
      <c r="CC944" s="48"/>
      <c r="CD944" s="48"/>
      <c r="CE944" s="48"/>
      <c r="CF944" s="48"/>
      <c r="CG944" s="48"/>
      <c r="CH944" s="48"/>
      <c r="CI944" s="48"/>
      <c r="CJ944" s="48"/>
      <c r="CK944" s="48"/>
      <c r="CL944" s="48"/>
      <c r="CM944" s="48"/>
      <c r="CN944" s="48"/>
      <c r="CO944" s="48"/>
      <c r="CP944" s="48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  <c r="DA944" s="48"/>
      <c r="DB944" s="48"/>
      <c r="DC944" s="48"/>
      <c r="DD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175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175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  <c r="BD945" s="48"/>
      <c r="BE945" s="48"/>
      <c r="BF945" s="48"/>
      <c r="BG945" s="48"/>
      <c r="BH945" s="48"/>
      <c r="BI945" s="48"/>
      <c r="BJ945" s="48"/>
      <c r="BK945" s="48"/>
      <c r="BL945" s="48"/>
      <c r="BM945" s="48"/>
      <c r="BN945" s="48"/>
      <c r="BO945" s="48"/>
      <c r="BP945" s="48"/>
      <c r="BQ945" s="48"/>
      <c r="BR945" s="48"/>
      <c r="BS945" s="48"/>
      <c r="BT945" s="48"/>
      <c r="BU945" s="48"/>
      <c r="BV945" s="48"/>
      <c r="BW945" s="48"/>
      <c r="BX945" s="48"/>
      <c r="BY945" s="48"/>
      <c r="BZ945" s="48"/>
      <c r="CA945" s="48"/>
      <c r="CB945" s="48"/>
      <c r="CC945" s="48"/>
      <c r="CD945" s="48"/>
      <c r="CE945" s="48"/>
      <c r="CF945" s="48"/>
      <c r="CG945" s="48"/>
      <c r="CH945" s="48"/>
      <c r="CI945" s="48"/>
      <c r="CJ945" s="48"/>
      <c r="CK945" s="48"/>
      <c r="CL945" s="48"/>
      <c r="CM945" s="48"/>
      <c r="CN945" s="48"/>
      <c r="CO945" s="48"/>
      <c r="CP945" s="48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  <c r="DA945" s="48"/>
      <c r="DB945" s="48"/>
      <c r="DC945" s="48"/>
      <c r="DD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175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175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  <c r="BD946" s="48"/>
      <c r="BE946" s="48"/>
      <c r="BF946" s="48"/>
      <c r="BG946" s="48"/>
      <c r="BH946" s="48"/>
      <c r="BI946" s="48"/>
      <c r="BJ946" s="48"/>
      <c r="BK946" s="48"/>
      <c r="BL946" s="48"/>
      <c r="BM946" s="48"/>
      <c r="BN946" s="48"/>
      <c r="BO946" s="48"/>
      <c r="BP946" s="48"/>
      <c r="BQ946" s="48"/>
      <c r="BR946" s="48"/>
      <c r="BS946" s="48"/>
      <c r="BT946" s="48"/>
      <c r="BU946" s="48"/>
      <c r="BV946" s="48"/>
      <c r="BW946" s="48"/>
      <c r="BX946" s="48"/>
      <c r="BY946" s="48"/>
      <c r="BZ946" s="48"/>
      <c r="CA946" s="48"/>
      <c r="CB946" s="48"/>
      <c r="CC946" s="48"/>
      <c r="CD946" s="48"/>
      <c r="CE946" s="48"/>
      <c r="CF946" s="48"/>
      <c r="CG946" s="48"/>
      <c r="CH946" s="48"/>
      <c r="CI946" s="48"/>
      <c r="CJ946" s="48"/>
      <c r="CK946" s="48"/>
      <c r="CL946" s="48"/>
      <c r="CM946" s="48"/>
      <c r="CN946" s="48"/>
      <c r="CO946" s="48"/>
      <c r="CP946" s="48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  <c r="DA946" s="48"/>
      <c r="DB946" s="48"/>
      <c r="DC946" s="48"/>
      <c r="DD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175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175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  <c r="BD947" s="48"/>
      <c r="BE947" s="48"/>
      <c r="BF947" s="48"/>
      <c r="BG947" s="48"/>
      <c r="BH947" s="48"/>
      <c r="BI947" s="48"/>
      <c r="BJ947" s="48"/>
      <c r="BK947" s="48"/>
      <c r="BL947" s="48"/>
      <c r="BM947" s="48"/>
      <c r="BN947" s="48"/>
      <c r="BO947" s="48"/>
      <c r="BP947" s="48"/>
      <c r="BQ947" s="48"/>
      <c r="BR947" s="48"/>
      <c r="BS947" s="48"/>
      <c r="BT947" s="48"/>
      <c r="BU947" s="48"/>
      <c r="BV947" s="48"/>
      <c r="BW947" s="48"/>
      <c r="BX947" s="48"/>
      <c r="BY947" s="48"/>
      <c r="BZ947" s="48"/>
      <c r="CA947" s="48"/>
      <c r="CB947" s="48"/>
      <c r="CC947" s="48"/>
      <c r="CD947" s="48"/>
      <c r="CE947" s="48"/>
      <c r="CF947" s="48"/>
      <c r="CG947" s="48"/>
      <c r="CH947" s="48"/>
      <c r="CI947" s="48"/>
      <c r="CJ947" s="48"/>
      <c r="CK947" s="48"/>
      <c r="CL947" s="48"/>
      <c r="CM947" s="48"/>
      <c r="CN947" s="48"/>
      <c r="CO947" s="48"/>
      <c r="CP947" s="48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  <c r="DA947" s="48"/>
      <c r="DB947" s="48"/>
      <c r="DC947" s="48"/>
      <c r="DD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175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175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  <c r="BD948" s="48"/>
      <c r="BE948" s="48"/>
      <c r="BF948" s="48"/>
      <c r="BG948" s="48"/>
      <c r="BH948" s="48"/>
      <c r="BI948" s="48"/>
      <c r="BJ948" s="48"/>
      <c r="BK948" s="48"/>
      <c r="BL948" s="48"/>
      <c r="BM948" s="48"/>
      <c r="BN948" s="48"/>
      <c r="BO948" s="48"/>
      <c r="BP948" s="48"/>
      <c r="BQ948" s="48"/>
      <c r="BR948" s="48"/>
      <c r="BS948" s="48"/>
      <c r="BT948" s="48"/>
      <c r="BU948" s="48"/>
      <c r="BV948" s="48"/>
      <c r="BW948" s="48"/>
      <c r="BX948" s="48"/>
      <c r="BY948" s="48"/>
      <c r="BZ948" s="48"/>
      <c r="CA948" s="48"/>
      <c r="CB948" s="48"/>
      <c r="CC948" s="48"/>
      <c r="CD948" s="48"/>
      <c r="CE948" s="48"/>
      <c r="CF948" s="48"/>
      <c r="CG948" s="48"/>
      <c r="CH948" s="48"/>
      <c r="CI948" s="48"/>
      <c r="CJ948" s="48"/>
      <c r="CK948" s="48"/>
      <c r="CL948" s="48"/>
      <c r="CM948" s="48"/>
      <c r="CN948" s="48"/>
      <c r="CO948" s="48"/>
      <c r="CP948" s="48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  <c r="DA948" s="48"/>
      <c r="DB948" s="48"/>
      <c r="DC948" s="48"/>
      <c r="DD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175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175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  <c r="BD949" s="48"/>
      <c r="BE949" s="48"/>
      <c r="BF949" s="48"/>
      <c r="BG949" s="48"/>
      <c r="BH949" s="48"/>
      <c r="BI949" s="48"/>
      <c r="BJ949" s="48"/>
      <c r="BK949" s="48"/>
      <c r="BL949" s="48"/>
      <c r="BM949" s="48"/>
      <c r="BN949" s="48"/>
      <c r="BO949" s="48"/>
      <c r="BP949" s="48"/>
      <c r="BQ949" s="48"/>
      <c r="BR949" s="48"/>
      <c r="BS949" s="48"/>
      <c r="BT949" s="48"/>
      <c r="BU949" s="48"/>
      <c r="BV949" s="48"/>
      <c r="BW949" s="48"/>
      <c r="BX949" s="48"/>
      <c r="BY949" s="48"/>
      <c r="BZ949" s="48"/>
      <c r="CA949" s="48"/>
      <c r="CB949" s="48"/>
      <c r="CC949" s="48"/>
      <c r="CD949" s="48"/>
      <c r="CE949" s="48"/>
      <c r="CF949" s="48"/>
      <c r="CG949" s="48"/>
      <c r="CH949" s="48"/>
      <c r="CI949" s="48"/>
      <c r="CJ949" s="48"/>
      <c r="CK949" s="48"/>
      <c r="CL949" s="48"/>
      <c r="CM949" s="48"/>
      <c r="CN949" s="48"/>
      <c r="CO949" s="48"/>
      <c r="CP949" s="48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  <c r="DA949" s="48"/>
      <c r="DB949" s="48"/>
      <c r="DC949" s="48"/>
      <c r="DD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175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175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  <c r="BD950" s="48"/>
      <c r="BE950" s="48"/>
      <c r="BF950" s="48"/>
      <c r="BG950" s="48"/>
      <c r="BH950" s="48"/>
      <c r="BI950" s="48"/>
      <c r="BJ950" s="48"/>
      <c r="BK950" s="48"/>
      <c r="BL950" s="48"/>
      <c r="BM950" s="48"/>
      <c r="BN950" s="48"/>
      <c r="BO950" s="48"/>
      <c r="BP950" s="48"/>
      <c r="BQ950" s="48"/>
      <c r="BR950" s="48"/>
      <c r="BS950" s="48"/>
      <c r="BT950" s="48"/>
      <c r="BU950" s="48"/>
      <c r="BV950" s="48"/>
      <c r="BW950" s="48"/>
      <c r="BX950" s="48"/>
      <c r="BY950" s="48"/>
      <c r="BZ950" s="48"/>
      <c r="CA950" s="48"/>
      <c r="CB950" s="48"/>
      <c r="CC950" s="48"/>
      <c r="CD950" s="48"/>
      <c r="CE950" s="48"/>
      <c r="CF950" s="48"/>
      <c r="CG950" s="48"/>
      <c r="CH950" s="48"/>
      <c r="CI950" s="48"/>
      <c r="CJ950" s="48"/>
      <c r="CK950" s="48"/>
      <c r="CL950" s="48"/>
      <c r="CM950" s="48"/>
      <c r="CN950" s="48"/>
      <c r="CO950" s="48"/>
      <c r="CP950" s="48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  <c r="DA950" s="48"/>
      <c r="DB950" s="48"/>
      <c r="DC950" s="48"/>
      <c r="DD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175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175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  <c r="BD951" s="48"/>
      <c r="BE951" s="48"/>
      <c r="BF951" s="48"/>
      <c r="BG951" s="48"/>
      <c r="BH951" s="48"/>
      <c r="BI951" s="48"/>
      <c r="BJ951" s="48"/>
      <c r="BK951" s="48"/>
      <c r="BL951" s="48"/>
      <c r="BM951" s="48"/>
      <c r="BN951" s="48"/>
      <c r="BO951" s="48"/>
      <c r="BP951" s="48"/>
      <c r="BQ951" s="48"/>
      <c r="BR951" s="48"/>
      <c r="BS951" s="48"/>
      <c r="BT951" s="48"/>
      <c r="BU951" s="48"/>
      <c r="BV951" s="48"/>
      <c r="BW951" s="48"/>
      <c r="BX951" s="48"/>
      <c r="BY951" s="48"/>
      <c r="BZ951" s="48"/>
      <c r="CA951" s="48"/>
      <c r="CB951" s="48"/>
      <c r="CC951" s="48"/>
      <c r="CD951" s="48"/>
      <c r="CE951" s="48"/>
      <c r="CF951" s="48"/>
      <c r="CG951" s="48"/>
      <c r="CH951" s="48"/>
      <c r="CI951" s="48"/>
      <c r="CJ951" s="48"/>
      <c r="CK951" s="48"/>
      <c r="CL951" s="48"/>
      <c r="CM951" s="48"/>
      <c r="CN951" s="48"/>
      <c r="CO951" s="48"/>
      <c r="CP951" s="48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  <c r="DA951" s="48"/>
      <c r="DB951" s="48"/>
      <c r="DC951" s="48"/>
      <c r="DD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175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175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  <c r="BD952" s="48"/>
      <c r="BE952" s="48"/>
      <c r="BF952" s="48"/>
      <c r="BG952" s="48"/>
      <c r="BH952" s="48"/>
      <c r="BI952" s="48"/>
      <c r="BJ952" s="48"/>
      <c r="BK952" s="48"/>
      <c r="BL952" s="48"/>
      <c r="BM952" s="48"/>
      <c r="BN952" s="48"/>
      <c r="BO952" s="48"/>
      <c r="BP952" s="48"/>
      <c r="BQ952" s="48"/>
      <c r="BR952" s="48"/>
      <c r="BS952" s="48"/>
      <c r="BT952" s="48"/>
      <c r="BU952" s="48"/>
      <c r="BV952" s="48"/>
      <c r="BW952" s="48"/>
      <c r="BX952" s="48"/>
      <c r="BY952" s="48"/>
      <c r="BZ952" s="48"/>
      <c r="CA952" s="48"/>
      <c r="CB952" s="48"/>
      <c r="CC952" s="48"/>
      <c r="CD952" s="48"/>
      <c r="CE952" s="48"/>
      <c r="CF952" s="48"/>
      <c r="CG952" s="48"/>
      <c r="CH952" s="48"/>
      <c r="CI952" s="48"/>
      <c r="CJ952" s="48"/>
      <c r="CK952" s="48"/>
      <c r="CL952" s="48"/>
      <c r="CM952" s="48"/>
      <c r="CN952" s="48"/>
      <c r="CO952" s="48"/>
      <c r="CP952" s="48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  <c r="DA952" s="48"/>
      <c r="DB952" s="48"/>
      <c r="DC952" s="48"/>
      <c r="DD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175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175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  <c r="BD953" s="48"/>
      <c r="BE953" s="48"/>
      <c r="BF953" s="48"/>
      <c r="BG953" s="48"/>
      <c r="BH953" s="48"/>
      <c r="BI953" s="48"/>
      <c r="BJ953" s="48"/>
      <c r="BK953" s="48"/>
      <c r="BL953" s="48"/>
      <c r="BM953" s="48"/>
      <c r="BN953" s="48"/>
      <c r="BO953" s="48"/>
      <c r="BP953" s="48"/>
      <c r="BQ953" s="48"/>
      <c r="BR953" s="48"/>
      <c r="BS953" s="48"/>
      <c r="BT953" s="48"/>
      <c r="BU953" s="48"/>
      <c r="BV953" s="48"/>
      <c r="BW953" s="48"/>
      <c r="BX953" s="48"/>
      <c r="BY953" s="48"/>
      <c r="BZ953" s="48"/>
      <c r="CA953" s="48"/>
      <c r="CB953" s="48"/>
      <c r="CC953" s="48"/>
      <c r="CD953" s="48"/>
      <c r="CE953" s="48"/>
      <c r="CF953" s="48"/>
      <c r="CG953" s="48"/>
      <c r="CH953" s="48"/>
      <c r="CI953" s="48"/>
      <c r="CJ953" s="48"/>
      <c r="CK953" s="48"/>
      <c r="CL953" s="48"/>
      <c r="CM953" s="48"/>
      <c r="CN953" s="48"/>
      <c r="CO953" s="48"/>
      <c r="CP953" s="48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  <c r="DA953" s="48"/>
      <c r="DB953" s="48"/>
      <c r="DC953" s="48"/>
      <c r="DD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175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175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  <c r="BD954" s="48"/>
      <c r="BE954" s="48"/>
      <c r="BF954" s="48"/>
      <c r="BG954" s="48"/>
      <c r="BH954" s="48"/>
      <c r="BI954" s="48"/>
      <c r="BJ954" s="48"/>
      <c r="BK954" s="48"/>
      <c r="BL954" s="48"/>
      <c r="BM954" s="48"/>
      <c r="BN954" s="48"/>
      <c r="BO954" s="48"/>
      <c r="BP954" s="48"/>
      <c r="BQ954" s="48"/>
      <c r="BR954" s="48"/>
      <c r="BS954" s="48"/>
      <c r="BT954" s="48"/>
      <c r="BU954" s="48"/>
      <c r="BV954" s="48"/>
      <c r="BW954" s="48"/>
      <c r="BX954" s="48"/>
      <c r="BY954" s="48"/>
      <c r="BZ954" s="48"/>
      <c r="CA954" s="48"/>
      <c r="CB954" s="48"/>
      <c r="CC954" s="48"/>
      <c r="CD954" s="48"/>
      <c r="CE954" s="48"/>
      <c r="CF954" s="48"/>
      <c r="CG954" s="48"/>
      <c r="CH954" s="48"/>
      <c r="CI954" s="48"/>
      <c r="CJ954" s="48"/>
      <c r="CK954" s="48"/>
      <c r="CL954" s="48"/>
      <c r="CM954" s="48"/>
      <c r="CN954" s="48"/>
      <c r="CO954" s="48"/>
      <c r="CP954" s="48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  <c r="DA954" s="48"/>
      <c r="DB954" s="48"/>
      <c r="DC954" s="48"/>
      <c r="DD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175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175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  <c r="BD955" s="48"/>
      <c r="BE955" s="48"/>
      <c r="BF955" s="48"/>
      <c r="BG955" s="48"/>
      <c r="BH955" s="48"/>
      <c r="BI955" s="48"/>
      <c r="BJ955" s="48"/>
      <c r="BK955" s="48"/>
      <c r="BL955" s="48"/>
      <c r="BM955" s="48"/>
      <c r="BN955" s="48"/>
      <c r="BO955" s="48"/>
      <c r="BP955" s="48"/>
      <c r="BQ955" s="48"/>
      <c r="BR955" s="48"/>
      <c r="BS955" s="48"/>
      <c r="BT955" s="48"/>
      <c r="BU955" s="48"/>
      <c r="BV955" s="48"/>
      <c r="BW955" s="48"/>
      <c r="BX955" s="48"/>
      <c r="BY955" s="48"/>
      <c r="BZ955" s="48"/>
      <c r="CA955" s="48"/>
      <c r="CB955" s="48"/>
      <c r="CC955" s="48"/>
      <c r="CD955" s="48"/>
      <c r="CE955" s="48"/>
      <c r="CF955" s="48"/>
      <c r="CG955" s="48"/>
      <c r="CH955" s="48"/>
      <c r="CI955" s="48"/>
      <c r="CJ955" s="48"/>
      <c r="CK955" s="48"/>
      <c r="CL955" s="48"/>
      <c r="CM955" s="48"/>
      <c r="CN955" s="48"/>
      <c r="CO955" s="48"/>
      <c r="CP955" s="48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  <c r="DA955" s="48"/>
      <c r="DB955" s="48"/>
      <c r="DC955" s="48"/>
      <c r="DD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175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175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  <c r="BD956" s="48"/>
      <c r="BE956" s="48"/>
      <c r="BF956" s="48"/>
      <c r="BG956" s="48"/>
      <c r="BH956" s="48"/>
      <c r="BI956" s="48"/>
      <c r="BJ956" s="48"/>
      <c r="BK956" s="48"/>
      <c r="BL956" s="48"/>
      <c r="BM956" s="48"/>
      <c r="BN956" s="48"/>
      <c r="BO956" s="48"/>
      <c r="BP956" s="48"/>
      <c r="BQ956" s="48"/>
      <c r="BR956" s="48"/>
      <c r="BS956" s="48"/>
      <c r="BT956" s="48"/>
      <c r="BU956" s="48"/>
      <c r="BV956" s="48"/>
      <c r="BW956" s="48"/>
      <c r="BX956" s="48"/>
      <c r="BY956" s="48"/>
      <c r="BZ956" s="48"/>
      <c r="CA956" s="48"/>
      <c r="CB956" s="48"/>
      <c r="CC956" s="48"/>
      <c r="CD956" s="48"/>
      <c r="CE956" s="48"/>
      <c r="CF956" s="48"/>
      <c r="CG956" s="48"/>
      <c r="CH956" s="48"/>
      <c r="CI956" s="48"/>
      <c r="CJ956" s="48"/>
      <c r="CK956" s="48"/>
      <c r="CL956" s="48"/>
      <c r="CM956" s="48"/>
      <c r="CN956" s="48"/>
      <c r="CO956" s="48"/>
      <c r="CP956" s="48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  <c r="DA956" s="48"/>
      <c r="DB956" s="48"/>
      <c r="DC956" s="48"/>
      <c r="DD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175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175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  <c r="BD957" s="48"/>
      <c r="BE957" s="48"/>
      <c r="BF957" s="48"/>
      <c r="BG957" s="48"/>
      <c r="BH957" s="48"/>
      <c r="BI957" s="48"/>
      <c r="BJ957" s="48"/>
      <c r="BK957" s="48"/>
      <c r="BL957" s="48"/>
      <c r="BM957" s="48"/>
      <c r="BN957" s="48"/>
      <c r="BO957" s="48"/>
      <c r="BP957" s="48"/>
      <c r="BQ957" s="48"/>
      <c r="BR957" s="48"/>
      <c r="BS957" s="48"/>
      <c r="BT957" s="48"/>
      <c r="BU957" s="48"/>
      <c r="BV957" s="48"/>
      <c r="BW957" s="48"/>
      <c r="BX957" s="48"/>
      <c r="BY957" s="48"/>
      <c r="BZ957" s="48"/>
      <c r="CA957" s="48"/>
      <c r="CB957" s="48"/>
      <c r="CC957" s="48"/>
      <c r="CD957" s="48"/>
      <c r="CE957" s="48"/>
      <c r="CF957" s="48"/>
      <c r="CG957" s="48"/>
      <c r="CH957" s="48"/>
      <c r="CI957" s="48"/>
      <c r="CJ957" s="48"/>
      <c r="CK957" s="48"/>
      <c r="CL957" s="48"/>
      <c r="CM957" s="48"/>
      <c r="CN957" s="48"/>
      <c r="CO957" s="48"/>
      <c r="CP957" s="48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  <c r="DA957" s="48"/>
      <c r="DB957" s="48"/>
      <c r="DC957" s="48"/>
      <c r="DD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175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175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  <c r="BD958" s="48"/>
      <c r="BE958" s="48"/>
      <c r="BF958" s="48"/>
      <c r="BG958" s="48"/>
      <c r="BH958" s="48"/>
      <c r="BI958" s="48"/>
      <c r="BJ958" s="48"/>
      <c r="BK958" s="48"/>
      <c r="BL958" s="48"/>
      <c r="BM958" s="48"/>
      <c r="BN958" s="48"/>
      <c r="BO958" s="48"/>
      <c r="BP958" s="48"/>
      <c r="BQ958" s="48"/>
      <c r="BR958" s="48"/>
      <c r="BS958" s="48"/>
      <c r="BT958" s="48"/>
      <c r="BU958" s="48"/>
      <c r="BV958" s="48"/>
      <c r="BW958" s="48"/>
      <c r="BX958" s="48"/>
      <c r="BY958" s="48"/>
      <c r="BZ958" s="48"/>
      <c r="CA958" s="48"/>
      <c r="CB958" s="48"/>
      <c r="CC958" s="48"/>
      <c r="CD958" s="48"/>
      <c r="CE958" s="48"/>
      <c r="CF958" s="48"/>
      <c r="CG958" s="48"/>
      <c r="CH958" s="48"/>
      <c r="CI958" s="48"/>
      <c r="CJ958" s="48"/>
      <c r="CK958" s="48"/>
      <c r="CL958" s="48"/>
      <c r="CM958" s="48"/>
      <c r="CN958" s="48"/>
      <c r="CO958" s="48"/>
      <c r="CP958" s="48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  <c r="DA958" s="48"/>
      <c r="DB958" s="48"/>
      <c r="DC958" s="48"/>
      <c r="DD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175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175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  <c r="BD959" s="48"/>
      <c r="BE959" s="48"/>
      <c r="BF959" s="48"/>
      <c r="BG959" s="48"/>
      <c r="BH959" s="48"/>
      <c r="BI959" s="48"/>
      <c r="BJ959" s="48"/>
      <c r="BK959" s="48"/>
      <c r="BL959" s="48"/>
      <c r="BM959" s="48"/>
      <c r="BN959" s="48"/>
      <c r="BO959" s="48"/>
      <c r="BP959" s="48"/>
      <c r="BQ959" s="48"/>
      <c r="BR959" s="48"/>
      <c r="BS959" s="48"/>
      <c r="BT959" s="48"/>
      <c r="BU959" s="48"/>
      <c r="BV959" s="48"/>
      <c r="BW959" s="48"/>
      <c r="BX959" s="48"/>
      <c r="BY959" s="48"/>
      <c r="BZ959" s="48"/>
      <c r="CA959" s="48"/>
      <c r="CB959" s="48"/>
      <c r="CC959" s="48"/>
      <c r="CD959" s="48"/>
      <c r="CE959" s="48"/>
      <c r="CF959" s="48"/>
      <c r="CG959" s="48"/>
      <c r="CH959" s="48"/>
      <c r="CI959" s="48"/>
      <c r="CJ959" s="48"/>
      <c r="CK959" s="48"/>
      <c r="CL959" s="48"/>
      <c r="CM959" s="48"/>
      <c r="CN959" s="48"/>
      <c r="CO959" s="48"/>
      <c r="CP959" s="48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  <c r="DA959" s="48"/>
      <c r="DB959" s="48"/>
      <c r="DC959" s="48"/>
      <c r="DD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175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175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  <c r="BD960" s="48"/>
      <c r="BE960" s="48"/>
      <c r="BF960" s="48"/>
      <c r="BG960" s="48"/>
      <c r="BH960" s="48"/>
      <c r="BI960" s="48"/>
      <c r="BJ960" s="48"/>
      <c r="BK960" s="48"/>
      <c r="BL960" s="48"/>
      <c r="BM960" s="48"/>
      <c r="BN960" s="48"/>
      <c r="BO960" s="48"/>
      <c r="BP960" s="48"/>
      <c r="BQ960" s="48"/>
      <c r="BR960" s="48"/>
      <c r="BS960" s="48"/>
      <c r="BT960" s="48"/>
      <c r="BU960" s="48"/>
      <c r="BV960" s="48"/>
      <c r="BW960" s="48"/>
      <c r="BX960" s="48"/>
      <c r="BY960" s="48"/>
      <c r="BZ960" s="48"/>
      <c r="CA960" s="48"/>
      <c r="CB960" s="48"/>
      <c r="CC960" s="48"/>
      <c r="CD960" s="48"/>
      <c r="CE960" s="48"/>
      <c r="CF960" s="48"/>
      <c r="CG960" s="48"/>
      <c r="CH960" s="48"/>
      <c r="CI960" s="48"/>
      <c r="CJ960" s="48"/>
      <c r="CK960" s="48"/>
      <c r="CL960" s="48"/>
      <c r="CM960" s="48"/>
      <c r="CN960" s="48"/>
      <c r="CO960" s="48"/>
      <c r="CP960" s="48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  <c r="DA960" s="48"/>
      <c r="DB960" s="48"/>
      <c r="DC960" s="48"/>
      <c r="DD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175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175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  <c r="BD961" s="48"/>
      <c r="BE961" s="48"/>
      <c r="BF961" s="48"/>
      <c r="BG961" s="48"/>
      <c r="BH961" s="48"/>
      <c r="BI961" s="48"/>
      <c r="BJ961" s="48"/>
      <c r="BK961" s="48"/>
      <c r="BL961" s="48"/>
      <c r="BM961" s="48"/>
      <c r="BN961" s="48"/>
      <c r="BO961" s="48"/>
      <c r="BP961" s="48"/>
      <c r="BQ961" s="48"/>
      <c r="BR961" s="48"/>
      <c r="BS961" s="48"/>
      <c r="BT961" s="48"/>
      <c r="BU961" s="48"/>
      <c r="BV961" s="48"/>
      <c r="BW961" s="48"/>
      <c r="BX961" s="48"/>
      <c r="BY961" s="48"/>
      <c r="BZ961" s="48"/>
      <c r="CA961" s="48"/>
      <c r="CB961" s="48"/>
      <c r="CC961" s="48"/>
      <c r="CD961" s="48"/>
      <c r="CE961" s="48"/>
      <c r="CF961" s="48"/>
      <c r="CG961" s="48"/>
      <c r="CH961" s="48"/>
      <c r="CI961" s="48"/>
      <c r="CJ961" s="48"/>
      <c r="CK961" s="48"/>
      <c r="CL961" s="48"/>
      <c r="CM961" s="48"/>
      <c r="CN961" s="48"/>
      <c r="CO961" s="48"/>
      <c r="CP961" s="48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  <c r="DA961" s="48"/>
      <c r="DB961" s="48"/>
      <c r="DC961" s="48"/>
      <c r="DD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175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175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  <c r="BD962" s="48"/>
      <c r="BE962" s="48"/>
      <c r="BF962" s="48"/>
      <c r="BG962" s="48"/>
      <c r="BH962" s="48"/>
      <c r="BI962" s="48"/>
      <c r="BJ962" s="48"/>
      <c r="BK962" s="48"/>
      <c r="BL962" s="48"/>
      <c r="BM962" s="48"/>
      <c r="BN962" s="48"/>
      <c r="BO962" s="48"/>
      <c r="BP962" s="48"/>
      <c r="BQ962" s="48"/>
      <c r="BR962" s="48"/>
      <c r="BS962" s="48"/>
      <c r="BT962" s="48"/>
      <c r="BU962" s="48"/>
      <c r="BV962" s="48"/>
      <c r="BW962" s="48"/>
      <c r="BX962" s="48"/>
      <c r="BY962" s="48"/>
      <c r="BZ962" s="48"/>
      <c r="CA962" s="48"/>
      <c r="CB962" s="48"/>
      <c r="CC962" s="48"/>
      <c r="CD962" s="48"/>
      <c r="CE962" s="48"/>
      <c r="CF962" s="48"/>
      <c r="CG962" s="48"/>
      <c r="CH962" s="48"/>
      <c r="CI962" s="48"/>
      <c r="CJ962" s="48"/>
      <c r="CK962" s="48"/>
      <c r="CL962" s="48"/>
      <c r="CM962" s="48"/>
      <c r="CN962" s="48"/>
      <c r="CO962" s="48"/>
      <c r="CP962" s="48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  <c r="DA962" s="48"/>
      <c r="DB962" s="48"/>
      <c r="DC962" s="48"/>
      <c r="DD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175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175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  <c r="BD963" s="48"/>
      <c r="BE963" s="48"/>
      <c r="BF963" s="48"/>
      <c r="BG963" s="48"/>
      <c r="BH963" s="48"/>
      <c r="BI963" s="48"/>
      <c r="BJ963" s="48"/>
      <c r="BK963" s="48"/>
      <c r="BL963" s="48"/>
      <c r="BM963" s="48"/>
      <c r="BN963" s="48"/>
      <c r="BO963" s="48"/>
      <c r="BP963" s="48"/>
      <c r="BQ963" s="48"/>
      <c r="BR963" s="48"/>
      <c r="BS963" s="48"/>
      <c r="BT963" s="48"/>
      <c r="BU963" s="48"/>
      <c r="BV963" s="48"/>
      <c r="BW963" s="48"/>
      <c r="BX963" s="48"/>
      <c r="BY963" s="48"/>
      <c r="BZ963" s="48"/>
      <c r="CA963" s="48"/>
      <c r="CB963" s="48"/>
      <c r="CC963" s="48"/>
      <c r="CD963" s="48"/>
      <c r="CE963" s="48"/>
      <c r="CF963" s="48"/>
      <c r="CG963" s="48"/>
      <c r="CH963" s="48"/>
      <c r="CI963" s="48"/>
      <c r="CJ963" s="48"/>
      <c r="CK963" s="48"/>
      <c r="CL963" s="48"/>
      <c r="CM963" s="48"/>
      <c r="CN963" s="48"/>
      <c r="CO963" s="48"/>
      <c r="CP963" s="48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  <c r="DA963" s="48"/>
      <c r="DB963" s="48"/>
      <c r="DC963" s="48"/>
      <c r="DD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175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175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  <c r="BD964" s="48"/>
      <c r="BE964" s="48"/>
      <c r="BF964" s="48"/>
      <c r="BG964" s="48"/>
      <c r="BH964" s="48"/>
      <c r="BI964" s="48"/>
      <c r="BJ964" s="48"/>
      <c r="BK964" s="48"/>
      <c r="BL964" s="48"/>
      <c r="BM964" s="48"/>
      <c r="BN964" s="48"/>
      <c r="BO964" s="48"/>
      <c r="BP964" s="48"/>
      <c r="BQ964" s="48"/>
      <c r="BR964" s="48"/>
      <c r="BS964" s="48"/>
      <c r="BT964" s="48"/>
      <c r="BU964" s="48"/>
      <c r="BV964" s="48"/>
      <c r="BW964" s="48"/>
      <c r="BX964" s="48"/>
      <c r="BY964" s="48"/>
      <c r="BZ964" s="48"/>
      <c r="CA964" s="48"/>
      <c r="CB964" s="48"/>
      <c r="CC964" s="48"/>
      <c r="CD964" s="48"/>
      <c r="CE964" s="48"/>
      <c r="CF964" s="48"/>
      <c r="CG964" s="48"/>
      <c r="CH964" s="48"/>
      <c r="CI964" s="48"/>
      <c r="CJ964" s="48"/>
      <c r="CK964" s="48"/>
      <c r="CL964" s="48"/>
      <c r="CM964" s="48"/>
      <c r="CN964" s="48"/>
      <c r="CO964" s="48"/>
      <c r="CP964" s="48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  <c r="DA964" s="48"/>
      <c r="DB964" s="48"/>
      <c r="DC964" s="48"/>
      <c r="DD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175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175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  <c r="BD965" s="48"/>
      <c r="BE965" s="48"/>
      <c r="BF965" s="48"/>
      <c r="BG965" s="48"/>
      <c r="BH965" s="48"/>
      <c r="BI965" s="48"/>
      <c r="BJ965" s="48"/>
      <c r="BK965" s="48"/>
      <c r="BL965" s="48"/>
      <c r="BM965" s="48"/>
      <c r="BN965" s="48"/>
      <c r="BO965" s="48"/>
      <c r="BP965" s="48"/>
      <c r="BQ965" s="48"/>
      <c r="BR965" s="48"/>
      <c r="BS965" s="48"/>
      <c r="BT965" s="48"/>
      <c r="BU965" s="48"/>
      <c r="BV965" s="48"/>
      <c r="BW965" s="48"/>
      <c r="BX965" s="48"/>
      <c r="BY965" s="48"/>
      <c r="BZ965" s="48"/>
      <c r="CA965" s="48"/>
      <c r="CB965" s="48"/>
      <c r="CC965" s="48"/>
      <c r="CD965" s="48"/>
      <c r="CE965" s="48"/>
      <c r="CF965" s="48"/>
      <c r="CG965" s="48"/>
      <c r="CH965" s="48"/>
      <c r="CI965" s="48"/>
      <c r="CJ965" s="48"/>
      <c r="CK965" s="48"/>
      <c r="CL965" s="48"/>
      <c r="CM965" s="48"/>
      <c r="CN965" s="48"/>
      <c r="CO965" s="48"/>
      <c r="CP965" s="48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  <c r="DA965" s="48"/>
      <c r="DB965" s="48"/>
      <c r="DC965" s="48"/>
      <c r="DD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175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175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  <c r="BD966" s="48"/>
      <c r="BE966" s="48"/>
      <c r="BF966" s="48"/>
      <c r="BG966" s="48"/>
      <c r="BH966" s="48"/>
      <c r="BI966" s="48"/>
      <c r="BJ966" s="48"/>
      <c r="BK966" s="48"/>
      <c r="BL966" s="48"/>
      <c r="BM966" s="48"/>
      <c r="BN966" s="48"/>
      <c r="BO966" s="48"/>
      <c r="BP966" s="48"/>
      <c r="BQ966" s="48"/>
      <c r="BR966" s="48"/>
      <c r="BS966" s="48"/>
      <c r="BT966" s="48"/>
      <c r="BU966" s="48"/>
      <c r="BV966" s="48"/>
      <c r="BW966" s="48"/>
      <c r="BX966" s="48"/>
      <c r="BY966" s="48"/>
      <c r="BZ966" s="48"/>
      <c r="CA966" s="48"/>
      <c r="CB966" s="48"/>
      <c r="CC966" s="48"/>
      <c r="CD966" s="48"/>
      <c r="CE966" s="48"/>
      <c r="CF966" s="48"/>
      <c r="CG966" s="48"/>
      <c r="CH966" s="48"/>
      <c r="CI966" s="48"/>
      <c r="CJ966" s="48"/>
      <c r="CK966" s="48"/>
      <c r="CL966" s="48"/>
      <c r="CM966" s="48"/>
      <c r="CN966" s="48"/>
      <c r="CO966" s="48"/>
      <c r="CP966" s="48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  <c r="DA966" s="48"/>
      <c r="DB966" s="48"/>
      <c r="DC966" s="48"/>
      <c r="DD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175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175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  <c r="BD967" s="48"/>
      <c r="BE967" s="48"/>
      <c r="BF967" s="48"/>
      <c r="BG967" s="48"/>
      <c r="BH967" s="48"/>
      <c r="BI967" s="48"/>
      <c r="BJ967" s="48"/>
      <c r="BK967" s="48"/>
      <c r="BL967" s="48"/>
      <c r="BM967" s="48"/>
      <c r="BN967" s="48"/>
      <c r="BO967" s="48"/>
      <c r="BP967" s="48"/>
      <c r="BQ967" s="48"/>
      <c r="BR967" s="48"/>
      <c r="BS967" s="48"/>
      <c r="BT967" s="48"/>
      <c r="BU967" s="48"/>
      <c r="BV967" s="48"/>
      <c r="BW967" s="48"/>
      <c r="BX967" s="48"/>
      <c r="BY967" s="48"/>
      <c r="BZ967" s="48"/>
      <c r="CA967" s="48"/>
      <c r="CB967" s="48"/>
      <c r="CC967" s="48"/>
      <c r="CD967" s="48"/>
      <c r="CE967" s="48"/>
      <c r="CF967" s="48"/>
      <c r="CG967" s="48"/>
      <c r="CH967" s="48"/>
      <c r="CI967" s="48"/>
      <c r="CJ967" s="48"/>
      <c r="CK967" s="48"/>
      <c r="CL967" s="48"/>
      <c r="CM967" s="48"/>
      <c r="CN967" s="48"/>
      <c r="CO967" s="48"/>
      <c r="CP967" s="48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  <c r="DA967" s="48"/>
      <c r="DB967" s="48"/>
      <c r="DC967" s="48"/>
      <c r="DD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175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175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  <c r="BD968" s="48"/>
      <c r="BE968" s="48"/>
      <c r="BF968" s="48"/>
      <c r="BG968" s="48"/>
      <c r="BH968" s="48"/>
      <c r="BI968" s="48"/>
      <c r="BJ968" s="48"/>
      <c r="BK968" s="48"/>
      <c r="BL968" s="48"/>
      <c r="BM968" s="48"/>
      <c r="BN968" s="48"/>
      <c r="BO968" s="48"/>
      <c r="BP968" s="48"/>
      <c r="BQ968" s="48"/>
      <c r="BR968" s="48"/>
      <c r="BS968" s="48"/>
      <c r="BT968" s="48"/>
      <c r="BU968" s="48"/>
      <c r="BV968" s="48"/>
      <c r="BW968" s="48"/>
      <c r="BX968" s="48"/>
      <c r="BY968" s="48"/>
      <c r="BZ968" s="48"/>
      <c r="CA968" s="48"/>
      <c r="CB968" s="48"/>
      <c r="CC968" s="48"/>
      <c r="CD968" s="48"/>
      <c r="CE968" s="48"/>
      <c r="CF968" s="48"/>
      <c r="CG968" s="48"/>
      <c r="CH968" s="48"/>
      <c r="CI968" s="48"/>
      <c r="CJ968" s="48"/>
      <c r="CK968" s="48"/>
      <c r="CL968" s="48"/>
      <c r="CM968" s="48"/>
      <c r="CN968" s="48"/>
      <c r="CO968" s="48"/>
      <c r="CP968" s="48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  <c r="DA968" s="48"/>
      <c r="DB968" s="48"/>
      <c r="DC968" s="48"/>
      <c r="DD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175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175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  <c r="BD969" s="48"/>
      <c r="BE969" s="48"/>
      <c r="BF969" s="48"/>
      <c r="BG969" s="48"/>
      <c r="BH969" s="48"/>
      <c r="BI969" s="48"/>
      <c r="BJ969" s="48"/>
      <c r="BK969" s="48"/>
      <c r="BL969" s="48"/>
      <c r="BM969" s="48"/>
      <c r="BN969" s="48"/>
      <c r="BO969" s="48"/>
      <c r="BP969" s="48"/>
      <c r="BQ969" s="48"/>
      <c r="BR969" s="48"/>
      <c r="BS969" s="48"/>
      <c r="BT969" s="48"/>
      <c r="BU969" s="48"/>
      <c r="BV969" s="48"/>
      <c r="BW969" s="48"/>
      <c r="BX969" s="48"/>
      <c r="BY969" s="48"/>
      <c r="BZ969" s="48"/>
      <c r="CA969" s="48"/>
      <c r="CB969" s="48"/>
      <c r="CC969" s="48"/>
      <c r="CD969" s="48"/>
      <c r="CE969" s="48"/>
      <c r="CF969" s="48"/>
      <c r="CG969" s="48"/>
      <c r="CH969" s="48"/>
      <c r="CI969" s="48"/>
      <c r="CJ969" s="48"/>
      <c r="CK969" s="48"/>
      <c r="CL969" s="48"/>
      <c r="CM969" s="48"/>
      <c r="CN969" s="48"/>
      <c r="CO969" s="48"/>
      <c r="CP969" s="48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  <c r="DA969" s="48"/>
      <c r="DB969" s="48"/>
      <c r="DC969" s="48"/>
      <c r="DD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175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175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/>
      <c r="BJ970" s="48"/>
      <c r="BK970" s="48"/>
      <c r="BL970" s="48"/>
      <c r="BM970" s="48"/>
      <c r="BN970" s="48"/>
      <c r="BO970" s="48"/>
      <c r="BP970" s="48"/>
      <c r="BQ970" s="48"/>
      <c r="BR970" s="48"/>
      <c r="BS970" s="48"/>
      <c r="BT970" s="48"/>
      <c r="BU970" s="48"/>
      <c r="BV970" s="48"/>
      <c r="BW970" s="48"/>
      <c r="BX970" s="48"/>
      <c r="BY970" s="48"/>
      <c r="BZ970" s="48"/>
      <c r="CA970" s="48"/>
      <c r="CB970" s="48"/>
      <c r="CC970" s="48"/>
      <c r="CD970" s="48"/>
      <c r="CE970" s="48"/>
      <c r="CF970" s="48"/>
      <c r="CG970" s="48"/>
      <c r="CH970" s="48"/>
      <c r="CI970" s="48"/>
      <c r="CJ970" s="48"/>
      <c r="CK970" s="48"/>
      <c r="CL970" s="48"/>
      <c r="CM970" s="48"/>
      <c r="CN970" s="48"/>
      <c r="CO970" s="48"/>
      <c r="CP970" s="48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  <c r="DA970" s="48"/>
      <c r="DB970" s="48"/>
      <c r="DC970" s="48"/>
      <c r="DD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175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175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  <c r="BD971" s="48"/>
      <c r="BE971" s="48"/>
      <c r="BF971" s="48"/>
      <c r="BG971" s="48"/>
      <c r="BH971" s="48"/>
      <c r="BI971" s="48"/>
      <c r="BJ971" s="48"/>
      <c r="BK971" s="48"/>
      <c r="BL971" s="48"/>
      <c r="BM971" s="48"/>
      <c r="BN971" s="48"/>
      <c r="BO971" s="48"/>
      <c r="BP971" s="48"/>
      <c r="BQ971" s="48"/>
      <c r="BR971" s="48"/>
      <c r="BS971" s="48"/>
      <c r="BT971" s="48"/>
      <c r="BU971" s="48"/>
      <c r="BV971" s="48"/>
      <c r="BW971" s="48"/>
      <c r="BX971" s="48"/>
      <c r="BY971" s="48"/>
      <c r="BZ971" s="48"/>
      <c r="CA971" s="48"/>
      <c r="CB971" s="48"/>
      <c r="CC971" s="48"/>
      <c r="CD971" s="48"/>
      <c r="CE971" s="48"/>
      <c r="CF971" s="48"/>
      <c r="CG971" s="48"/>
      <c r="CH971" s="48"/>
      <c r="CI971" s="48"/>
      <c r="CJ971" s="48"/>
      <c r="CK971" s="48"/>
      <c r="CL971" s="48"/>
      <c r="CM971" s="48"/>
      <c r="CN971" s="48"/>
      <c r="CO971" s="48"/>
      <c r="CP971" s="48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  <c r="DA971" s="48"/>
      <c r="DB971" s="48"/>
      <c r="DC971" s="48"/>
      <c r="DD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175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175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  <c r="BD972" s="48"/>
      <c r="BE972" s="48"/>
      <c r="BF972" s="48"/>
      <c r="BG972" s="48"/>
      <c r="BH972" s="48"/>
      <c r="BI972" s="48"/>
      <c r="BJ972" s="48"/>
      <c r="BK972" s="48"/>
      <c r="BL972" s="48"/>
      <c r="BM972" s="48"/>
      <c r="BN972" s="48"/>
      <c r="BO972" s="48"/>
      <c r="BP972" s="48"/>
      <c r="BQ972" s="48"/>
      <c r="BR972" s="48"/>
      <c r="BS972" s="48"/>
      <c r="BT972" s="48"/>
      <c r="BU972" s="48"/>
      <c r="BV972" s="48"/>
      <c r="BW972" s="48"/>
      <c r="BX972" s="48"/>
      <c r="BY972" s="48"/>
      <c r="BZ972" s="48"/>
      <c r="CA972" s="48"/>
      <c r="CB972" s="48"/>
      <c r="CC972" s="48"/>
      <c r="CD972" s="48"/>
      <c r="CE972" s="48"/>
      <c r="CF972" s="48"/>
      <c r="CG972" s="48"/>
      <c r="CH972" s="48"/>
      <c r="CI972" s="48"/>
      <c r="CJ972" s="48"/>
      <c r="CK972" s="48"/>
      <c r="CL972" s="48"/>
      <c r="CM972" s="48"/>
      <c r="CN972" s="48"/>
      <c r="CO972" s="48"/>
      <c r="CP972" s="48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  <c r="DA972" s="48"/>
      <c r="DB972" s="48"/>
      <c r="DC972" s="48"/>
      <c r="DD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175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175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  <c r="BD973" s="48"/>
      <c r="BE973" s="48"/>
      <c r="BF973" s="48"/>
      <c r="BG973" s="48"/>
      <c r="BH973" s="48"/>
      <c r="BI973" s="48"/>
      <c r="BJ973" s="48"/>
      <c r="BK973" s="48"/>
      <c r="BL973" s="48"/>
      <c r="BM973" s="48"/>
      <c r="BN973" s="48"/>
      <c r="BO973" s="48"/>
      <c r="BP973" s="48"/>
      <c r="BQ973" s="48"/>
      <c r="BR973" s="48"/>
      <c r="BS973" s="48"/>
      <c r="BT973" s="48"/>
      <c r="BU973" s="48"/>
      <c r="BV973" s="48"/>
      <c r="BW973" s="48"/>
      <c r="BX973" s="48"/>
      <c r="BY973" s="48"/>
      <c r="BZ973" s="48"/>
      <c r="CA973" s="48"/>
      <c r="CB973" s="48"/>
      <c r="CC973" s="48"/>
      <c r="CD973" s="48"/>
      <c r="CE973" s="48"/>
      <c r="CF973" s="48"/>
      <c r="CG973" s="48"/>
      <c r="CH973" s="48"/>
      <c r="CI973" s="48"/>
      <c r="CJ973" s="48"/>
      <c r="CK973" s="48"/>
      <c r="CL973" s="48"/>
      <c r="CM973" s="48"/>
      <c r="CN973" s="48"/>
      <c r="CO973" s="48"/>
      <c r="CP973" s="48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  <c r="DA973" s="48"/>
      <c r="DB973" s="48"/>
      <c r="DC973" s="48"/>
      <c r="DD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175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175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  <c r="BD974" s="48"/>
      <c r="BE974" s="48"/>
      <c r="BF974" s="48"/>
      <c r="BG974" s="48"/>
      <c r="BH974" s="48"/>
      <c r="BI974" s="48"/>
      <c r="BJ974" s="48"/>
      <c r="BK974" s="48"/>
      <c r="BL974" s="48"/>
      <c r="BM974" s="48"/>
      <c r="BN974" s="48"/>
      <c r="BO974" s="48"/>
      <c r="BP974" s="48"/>
      <c r="BQ974" s="48"/>
      <c r="BR974" s="48"/>
      <c r="BS974" s="48"/>
      <c r="BT974" s="48"/>
      <c r="BU974" s="48"/>
      <c r="BV974" s="48"/>
      <c r="BW974" s="48"/>
      <c r="BX974" s="48"/>
      <c r="BY974" s="48"/>
      <c r="BZ974" s="48"/>
      <c r="CA974" s="48"/>
      <c r="CB974" s="48"/>
      <c r="CC974" s="48"/>
      <c r="CD974" s="48"/>
      <c r="CE974" s="48"/>
      <c r="CF974" s="48"/>
      <c r="CG974" s="48"/>
      <c r="CH974" s="48"/>
      <c r="CI974" s="48"/>
      <c r="CJ974" s="48"/>
      <c r="CK974" s="48"/>
      <c r="CL974" s="48"/>
      <c r="CM974" s="48"/>
      <c r="CN974" s="48"/>
      <c r="CO974" s="48"/>
      <c r="CP974" s="48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  <c r="DA974" s="48"/>
      <c r="DB974" s="48"/>
      <c r="DC974" s="48"/>
      <c r="DD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175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175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  <c r="BD975" s="48"/>
      <c r="BE975" s="48"/>
      <c r="BF975" s="48"/>
      <c r="BG975" s="48"/>
      <c r="BH975" s="48"/>
      <c r="BI975" s="48"/>
      <c r="BJ975" s="48"/>
      <c r="BK975" s="48"/>
      <c r="BL975" s="48"/>
      <c r="BM975" s="48"/>
      <c r="BN975" s="48"/>
      <c r="BO975" s="48"/>
      <c r="BP975" s="48"/>
      <c r="BQ975" s="48"/>
      <c r="BR975" s="48"/>
      <c r="BS975" s="48"/>
      <c r="BT975" s="48"/>
      <c r="BU975" s="48"/>
      <c r="BV975" s="48"/>
      <c r="BW975" s="48"/>
      <c r="BX975" s="48"/>
      <c r="BY975" s="48"/>
      <c r="BZ975" s="48"/>
      <c r="CA975" s="48"/>
      <c r="CB975" s="48"/>
      <c r="CC975" s="48"/>
      <c r="CD975" s="48"/>
      <c r="CE975" s="48"/>
      <c r="CF975" s="48"/>
      <c r="CG975" s="48"/>
      <c r="CH975" s="48"/>
      <c r="CI975" s="48"/>
      <c r="CJ975" s="48"/>
      <c r="CK975" s="48"/>
      <c r="CL975" s="48"/>
      <c r="CM975" s="48"/>
      <c r="CN975" s="48"/>
      <c r="CO975" s="48"/>
      <c r="CP975" s="48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  <c r="DA975" s="48"/>
      <c r="DB975" s="48"/>
      <c r="DC975" s="48"/>
      <c r="DD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175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175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  <c r="BD976" s="48"/>
      <c r="BE976" s="48"/>
      <c r="BF976" s="48"/>
      <c r="BG976" s="48"/>
      <c r="BH976" s="48"/>
      <c r="BI976" s="48"/>
      <c r="BJ976" s="48"/>
      <c r="BK976" s="48"/>
      <c r="BL976" s="48"/>
      <c r="BM976" s="48"/>
      <c r="BN976" s="48"/>
      <c r="BO976" s="48"/>
      <c r="BP976" s="48"/>
      <c r="BQ976" s="48"/>
      <c r="BR976" s="48"/>
      <c r="BS976" s="48"/>
      <c r="BT976" s="48"/>
      <c r="BU976" s="48"/>
      <c r="BV976" s="48"/>
      <c r="BW976" s="48"/>
      <c r="BX976" s="48"/>
      <c r="BY976" s="48"/>
      <c r="BZ976" s="48"/>
      <c r="CA976" s="48"/>
      <c r="CB976" s="48"/>
      <c r="CC976" s="48"/>
      <c r="CD976" s="48"/>
      <c r="CE976" s="48"/>
      <c r="CF976" s="48"/>
      <c r="CG976" s="48"/>
      <c r="CH976" s="48"/>
      <c r="CI976" s="48"/>
      <c r="CJ976" s="48"/>
      <c r="CK976" s="48"/>
      <c r="CL976" s="48"/>
      <c r="CM976" s="48"/>
      <c r="CN976" s="48"/>
      <c r="CO976" s="48"/>
      <c r="CP976" s="48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  <c r="DA976" s="48"/>
      <c r="DB976" s="48"/>
      <c r="DC976" s="48"/>
      <c r="DD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175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175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  <c r="BD977" s="48"/>
      <c r="BE977" s="48"/>
      <c r="BF977" s="48"/>
      <c r="BG977" s="48"/>
      <c r="BH977" s="48"/>
      <c r="BI977" s="48"/>
      <c r="BJ977" s="48"/>
      <c r="BK977" s="48"/>
      <c r="BL977" s="48"/>
      <c r="BM977" s="48"/>
      <c r="BN977" s="48"/>
      <c r="BO977" s="48"/>
      <c r="BP977" s="48"/>
      <c r="BQ977" s="48"/>
      <c r="BR977" s="48"/>
      <c r="BS977" s="48"/>
      <c r="BT977" s="48"/>
      <c r="BU977" s="48"/>
      <c r="BV977" s="48"/>
      <c r="BW977" s="48"/>
      <c r="BX977" s="48"/>
      <c r="BY977" s="48"/>
      <c r="BZ977" s="48"/>
      <c r="CA977" s="48"/>
      <c r="CB977" s="48"/>
      <c r="CC977" s="48"/>
      <c r="CD977" s="48"/>
      <c r="CE977" s="48"/>
      <c r="CF977" s="48"/>
      <c r="CG977" s="48"/>
      <c r="CH977" s="48"/>
      <c r="CI977" s="48"/>
      <c r="CJ977" s="48"/>
      <c r="CK977" s="48"/>
      <c r="CL977" s="48"/>
      <c r="CM977" s="48"/>
      <c r="CN977" s="48"/>
      <c r="CO977" s="48"/>
      <c r="CP977" s="48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  <c r="DA977" s="48"/>
      <c r="DB977" s="48"/>
      <c r="DC977" s="48"/>
      <c r="DD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175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175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  <c r="BD978" s="48"/>
      <c r="BE978" s="48"/>
      <c r="BF978" s="48"/>
      <c r="BG978" s="48"/>
      <c r="BH978" s="48"/>
      <c r="BI978" s="48"/>
      <c r="BJ978" s="48"/>
      <c r="BK978" s="48"/>
      <c r="BL978" s="48"/>
      <c r="BM978" s="48"/>
      <c r="BN978" s="48"/>
      <c r="BO978" s="48"/>
      <c r="BP978" s="48"/>
      <c r="BQ978" s="48"/>
      <c r="BR978" s="48"/>
      <c r="BS978" s="48"/>
      <c r="BT978" s="48"/>
      <c r="BU978" s="48"/>
      <c r="BV978" s="48"/>
      <c r="BW978" s="48"/>
      <c r="BX978" s="48"/>
      <c r="BY978" s="48"/>
      <c r="BZ978" s="48"/>
      <c r="CA978" s="48"/>
      <c r="CB978" s="48"/>
      <c r="CC978" s="48"/>
      <c r="CD978" s="48"/>
      <c r="CE978" s="48"/>
      <c r="CF978" s="48"/>
      <c r="CG978" s="48"/>
      <c r="CH978" s="48"/>
      <c r="CI978" s="48"/>
      <c r="CJ978" s="48"/>
      <c r="CK978" s="48"/>
      <c r="CL978" s="48"/>
      <c r="CM978" s="48"/>
      <c r="CN978" s="48"/>
      <c r="CO978" s="48"/>
      <c r="CP978" s="48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  <c r="DA978" s="48"/>
      <c r="DB978" s="48"/>
      <c r="DC978" s="48"/>
      <c r="DD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175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175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  <c r="BD979" s="48"/>
      <c r="BE979" s="48"/>
      <c r="BF979" s="48"/>
      <c r="BG979" s="48"/>
      <c r="BH979" s="48"/>
      <c r="BI979" s="48"/>
      <c r="BJ979" s="48"/>
      <c r="BK979" s="48"/>
      <c r="BL979" s="48"/>
      <c r="BM979" s="48"/>
      <c r="BN979" s="48"/>
      <c r="BO979" s="48"/>
      <c r="BP979" s="48"/>
      <c r="BQ979" s="48"/>
      <c r="BR979" s="48"/>
      <c r="BS979" s="48"/>
      <c r="BT979" s="48"/>
      <c r="BU979" s="48"/>
      <c r="BV979" s="48"/>
      <c r="BW979" s="48"/>
      <c r="BX979" s="48"/>
      <c r="BY979" s="48"/>
      <c r="BZ979" s="48"/>
      <c r="CA979" s="48"/>
      <c r="CB979" s="48"/>
      <c r="CC979" s="48"/>
      <c r="CD979" s="48"/>
      <c r="CE979" s="48"/>
      <c r="CF979" s="48"/>
      <c r="CG979" s="48"/>
      <c r="CH979" s="48"/>
      <c r="CI979" s="48"/>
      <c r="CJ979" s="48"/>
      <c r="CK979" s="48"/>
      <c r="CL979" s="48"/>
      <c r="CM979" s="48"/>
      <c r="CN979" s="48"/>
      <c r="CO979" s="48"/>
      <c r="CP979" s="48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  <c r="DA979" s="48"/>
      <c r="DB979" s="48"/>
      <c r="DC979" s="48"/>
      <c r="DD979" s="48"/>
    </row>
    <row r="980">
      <c r="AF980" s="315"/>
      <c r="AS980" s="315"/>
    </row>
    <row r="981">
      <c r="AF981" s="315"/>
      <c r="AS981" s="315"/>
    </row>
    <row r="982">
      <c r="AF982" s="315"/>
      <c r="AS982" s="315"/>
    </row>
    <row r="983">
      <c r="AF983" s="315"/>
      <c r="AS983" s="315"/>
    </row>
    <row r="984">
      <c r="AF984" s="315"/>
      <c r="AS984" s="315"/>
    </row>
    <row r="985">
      <c r="AF985" s="315"/>
      <c r="AS985" s="315"/>
    </row>
    <row r="986">
      <c r="AF986" s="315"/>
      <c r="AS986" s="315"/>
    </row>
    <row r="987">
      <c r="AF987" s="315"/>
      <c r="AS987" s="315"/>
    </row>
    <row r="988">
      <c r="AF988" s="315"/>
      <c r="AS988" s="315"/>
    </row>
    <row r="989">
      <c r="AF989" s="315"/>
      <c r="AS989" s="315"/>
    </row>
    <row r="990">
      <c r="AF990" s="315"/>
      <c r="AS990" s="315"/>
    </row>
    <row r="991">
      <c r="AF991" s="315"/>
      <c r="AS991" s="315"/>
    </row>
    <row r="992">
      <c r="AF992" s="315"/>
      <c r="AS992" s="315"/>
    </row>
    <row r="993">
      <c r="AF993" s="315"/>
      <c r="AS993" s="315"/>
    </row>
    <row r="994">
      <c r="AF994" s="315"/>
      <c r="AS994" s="315"/>
    </row>
    <row r="995">
      <c r="AF995" s="315"/>
      <c r="AS995" s="315"/>
    </row>
    <row r="996">
      <c r="AF996" s="315"/>
      <c r="AS996" s="315"/>
    </row>
    <row r="997">
      <c r="AF997" s="315"/>
      <c r="AS997" s="315"/>
    </row>
    <row r="998">
      <c r="AF998" s="315"/>
      <c r="AS998" s="315"/>
    </row>
    <row r="999">
      <c r="AF999" s="315"/>
      <c r="AS999" s="315"/>
    </row>
    <row r="1000">
      <c r="AF1000" s="315"/>
      <c r="AS1000" s="315"/>
    </row>
  </sheetData>
  <autoFilter ref="$G$1:$AE$112"/>
  <mergeCells count="15">
    <mergeCell ref="T114:AE114"/>
    <mergeCell ref="T117:AE117"/>
    <mergeCell ref="T119:AE119"/>
    <mergeCell ref="T122:AE122"/>
    <mergeCell ref="AA124:AE124"/>
    <mergeCell ref="AA127:AE127"/>
    <mergeCell ref="T129:AE129"/>
    <mergeCell ref="T132:AE132"/>
    <mergeCell ref="A1:E1"/>
    <mergeCell ref="G1:R1"/>
    <mergeCell ref="T1:AE1"/>
    <mergeCell ref="AG1:AR1"/>
    <mergeCell ref="AT1:BE1"/>
    <mergeCell ref="T109:AE109"/>
    <mergeCell ref="T112:AE1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14.5"/>
    <col customWidth="1" min="4" max="4" width="13.13"/>
    <col customWidth="1" min="5" max="5" width="16.63"/>
    <col customWidth="1" min="6" max="6" width="17.38"/>
    <col customWidth="1" min="7" max="7" width="6.63"/>
    <col customWidth="1" min="8" max="8" width="15.63"/>
    <col customWidth="1" min="9" max="9" width="16.88"/>
    <col customWidth="1" min="10" max="10" width="16.75"/>
    <col customWidth="1" min="11" max="11" width="19.5"/>
    <col customWidth="1" min="12" max="12" width="11.5"/>
    <col customWidth="1" min="13" max="13" width="5.63"/>
    <col customWidth="1" min="14" max="14" width="7.13"/>
    <col customWidth="1" min="15" max="15" width="23.75"/>
    <col customWidth="1" min="16" max="16" width="16.63"/>
    <col customWidth="1" min="17" max="17" width="14.88"/>
    <col customWidth="1" min="18" max="18" width="16.25"/>
    <col customWidth="1" min="19" max="19" width="11.5"/>
    <col customWidth="1" min="20" max="20" width="5.5"/>
    <col customWidth="1" min="21" max="21" width="7.88"/>
    <col customWidth="1" min="22" max="22" width="21.75"/>
    <col customWidth="1" min="23" max="23" width="16.13"/>
    <col customWidth="1" min="24" max="24" width="16.25"/>
    <col customWidth="1" min="25" max="25" width="16.5"/>
    <col customWidth="1" min="26" max="26" width="20.25"/>
    <col customWidth="1" min="27" max="27" width="11.75"/>
    <col customWidth="1" min="28" max="28" width="7.0"/>
    <col customWidth="1" min="29" max="29" width="13.88"/>
    <col customWidth="1" min="30" max="30" width="21.63"/>
  </cols>
  <sheetData>
    <row r="1">
      <c r="A1" s="314"/>
      <c r="B1" s="113" t="s">
        <v>1765</v>
      </c>
      <c r="F1" s="48"/>
      <c r="G1" s="113" t="s">
        <v>1766</v>
      </c>
      <c r="L1" s="48"/>
      <c r="M1" s="68"/>
      <c r="N1" s="113" t="s">
        <v>1767</v>
      </c>
      <c r="S1" s="68"/>
      <c r="T1" s="68"/>
      <c r="U1" s="113" t="s">
        <v>1768</v>
      </c>
      <c r="Z1" s="68"/>
      <c r="AA1" s="68"/>
      <c r="AB1" s="113" t="s">
        <v>1769</v>
      </c>
      <c r="AG1" s="48"/>
    </row>
    <row r="2">
      <c r="A2" s="48"/>
      <c r="B2" s="316">
        <v>46023.0</v>
      </c>
      <c r="C2" s="316">
        <v>46024.0</v>
      </c>
      <c r="D2" s="48"/>
      <c r="E2" s="48"/>
      <c r="F2" s="48"/>
      <c r="G2" s="48"/>
      <c r="H2" s="316">
        <v>46028.0</v>
      </c>
      <c r="I2" s="316">
        <v>46029.0</v>
      </c>
      <c r="J2" s="316">
        <v>46030.0</v>
      </c>
      <c r="K2" s="316">
        <v>46031.0</v>
      </c>
      <c r="L2" s="48"/>
      <c r="M2" s="48"/>
      <c r="N2" s="1"/>
      <c r="O2" s="316">
        <v>46035.0</v>
      </c>
      <c r="P2" s="316">
        <v>46036.0</v>
      </c>
      <c r="Q2" s="316">
        <v>46037.0</v>
      </c>
      <c r="R2" s="316">
        <v>46038.0</v>
      </c>
      <c r="S2" s="317" t="s">
        <v>1770</v>
      </c>
      <c r="T2" s="1"/>
      <c r="U2" s="318"/>
      <c r="V2" s="316">
        <v>46042.0</v>
      </c>
      <c r="W2" s="316">
        <v>46043.0</v>
      </c>
      <c r="X2" s="316">
        <v>46044.0</v>
      </c>
      <c r="Y2" s="316">
        <v>46045.0</v>
      </c>
      <c r="Z2" s="68"/>
      <c r="AA2" s="1"/>
      <c r="AB2" s="1"/>
      <c r="AC2" s="316">
        <v>46049.0</v>
      </c>
      <c r="AD2" s="316">
        <v>46050.0</v>
      </c>
      <c r="AE2" s="316">
        <v>46051.0</v>
      </c>
      <c r="AF2" s="316">
        <v>46052.0</v>
      </c>
      <c r="AG2" s="316"/>
    </row>
    <row r="3">
      <c r="A3" s="319" t="s">
        <v>0</v>
      </c>
      <c r="B3" s="320"/>
      <c r="C3" s="320"/>
      <c r="D3" s="48"/>
      <c r="E3" s="48"/>
      <c r="F3" s="48"/>
      <c r="G3" s="319" t="s">
        <v>0</v>
      </c>
      <c r="H3" s="44" t="s">
        <v>435</v>
      </c>
      <c r="I3" s="56"/>
      <c r="J3" s="44" t="s">
        <v>435</v>
      </c>
      <c r="K3" s="10"/>
      <c r="L3" s="48"/>
      <c r="M3" s="68"/>
      <c r="N3" s="319" t="s">
        <v>0</v>
      </c>
      <c r="O3" s="44" t="s">
        <v>435</v>
      </c>
      <c r="P3" s="298"/>
      <c r="Q3" s="44" t="s">
        <v>435</v>
      </c>
      <c r="R3" s="194" t="s">
        <v>1345</v>
      </c>
      <c r="T3" s="68"/>
      <c r="U3" s="319" t="s">
        <v>0</v>
      </c>
      <c r="V3" s="28" t="s">
        <v>1427</v>
      </c>
      <c r="W3" s="203"/>
      <c r="X3" s="9"/>
      <c r="Z3" s="68"/>
      <c r="AA3" s="68"/>
      <c r="AB3" s="319" t="s">
        <v>0</v>
      </c>
      <c r="AC3" s="9"/>
      <c r="AD3" s="22"/>
      <c r="AE3" s="9"/>
      <c r="AF3" s="194" t="s">
        <v>877</v>
      </c>
      <c r="AG3" s="48"/>
    </row>
    <row r="4">
      <c r="A4" s="319" t="s">
        <v>5</v>
      </c>
      <c r="B4" s="320"/>
      <c r="C4" s="320"/>
      <c r="D4" s="48"/>
      <c r="E4" s="48"/>
      <c r="F4" s="48"/>
      <c r="G4" s="319" t="s">
        <v>5</v>
      </c>
      <c r="H4" s="44" t="s">
        <v>435</v>
      </c>
      <c r="I4" s="10"/>
      <c r="J4" s="44" t="s">
        <v>435</v>
      </c>
      <c r="K4" s="16" t="s">
        <v>1076</v>
      </c>
      <c r="L4" s="48"/>
      <c r="M4" s="68"/>
      <c r="N4" s="319" t="s">
        <v>5</v>
      </c>
      <c r="O4" s="44" t="s">
        <v>435</v>
      </c>
      <c r="P4" s="203"/>
      <c r="Q4" s="44" t="s">
        <v>435</v>
      </c>
      <c r="R4" s="194" t="s">
        <v>1076</v>
      </c>
      <c r="T4" s="68"/>
      <c r="U4" s="319" t="s">
        <v>5</v>
      </c>
      <c r="V4" s="78"/>
      <c r="W4" s="203"/>
      <c r="X4" s="9"/>
      <c r="Y4" s="194" t="s">
        <v>1187</v>
      </c>
      <c r="Z4" s="68"/>
      <c r="AA4" s="68"/>
      <c r="AB4" s="319" t="s">
        <v>5</v>
      </c>
      <c r="AC4" s="78"/>
      <c r="AD4" s="194" t="s">
        <v>1771</v>
      </c>
      <c r="AE4" s="9"/>
      <c r="AG4" s="48"/>
    </row>
    <row r="5" ht="16.5" customHeight="1">
      <c r="A5" s="319" t="s">
        <v>13</v>
      </c>
      <c r="B5" s="320"/>
      <c r="C5" s="320"/>
      <c r="D5" s="48"/>
      <c r="E5" s="48"/>
      <c r="F5" s="48"/>
      <c r="G5" s="319" t="s">
        <v>13</v>
      </c>
      <c r="H5" s="44" t="s">
        <v>435</v>
      </c>
      <c r="I5" s="56" t="s">
        <v>892</v>
      </c>
      <c r="J5" s="44" t="s">
        <v>435</v>
      </c>
      <c r="L5" s="48"/>
      <c r="M5" s="68"/>
      <c r="N5" s="319" t="s">
        <v>13</v>
      </c>
      <c r="O5" s="44" t="s">
        <v>435</v>
      </c>
      <c r="P5" s="10" t="s">
        <v>892</v>
      </c>
      <c r="Q5" s="44" t="s">
        <v>435</v>
      </c>
      <c r="R5" s="194" t="s">
        <v>21</v>
      </c>
      <c r="T5" s="68"/>
      <c r="U5" s="319" t="s">
        <v>13</v>
      </c>
      <c r="V5" s="78"/>
      <c r="W5" s="47"/>
      <c r="X5" s="9"/>
      <c r="Y5" s="194" t="s">
        <v>69</v>
      </c>
      <c r="Z5" s="68"/>
      <c r="AA5" s="68"/>
      <c r="AB5" s="319" t="s">
        <v>13</v>
      </c>
      <c r="AC5" s="78"/>
      <c r="AD5" s="194" t="s">
        <v>1727</v>
      </c>
      <c r="AE5" s="9"/>
      <c r="AF5" s="22" t="s">
        <v>1772</v>
      </c>
      <c r="AG5" s="48"/>
    </row>
    <row r="6" ht="15.0" customHeight="1">
      <c r="A6" s="319" t="s">
        <v>19</v>
      </c>
      <c r="B6" s="320"/>
      <c r="C6" s="320"/>
      <c r="D6" s="48"/>
      <c r="E6" s="48"/>
      <c r="F6" s="48"/>
      <c r="G6" s="319" t="s">
        <v>19</v>
      </c>
      <c r="H6" s="44" t="s">
        <v>435</v>
      </c>
      <c r="I6" s="22" t="s">
        <v>825</v>
      </c>
      <c r="J6" s="44" t="s">
        <v>435</v>
      </c>
      <c r="K6" s="56" t="s">
        <v>824</v>
      </c>
      <c r="L6" s="48"/>
      <c r="M6" s="68"/>
      <c r="N6" s="319" t="s">
        <v>19</v>
      </c>
      <c r="O6" s="44" t="s">
        <v>435</v>
      </c>
      <c r="P6" s="194" t="s">
        <v>825</v>
      </c>
      <c r="Q6" s="44" t="s">
        <v>435</v>
      </c>
      <c r="R6" s="194" t="s">
        <v>1093</v>
      </c>
      <c r="T6" s="68"/>
      <c r="U6" s="319" t="s">
        <v>19</v>
      </c>
      <c r="V6" s="78"/>
      <c r="W6" s="28" t="s">
        <v>1502</v>
      </c>
      <c r="X6" s="9"/>
      <c r="Y6" s="56" t="s">
        <v>824</v>
      </c>
      <c r="Z6" s="68"/>
      <c r="AA6" s="68"/>
      <c r="AB6" s="319" t="s">
        <v>19</v>
      </c>
      <c r="AC6" s="56" t="s">
        <v>1773</v>
      </c>
      <c r="AD6" s="194" t="s">
        <v>14</v>
      </c>
      <c r="AE6" s="9"/>
      <c r="AG6" s="48"/>
    </row>
    <row r="7" ht="18.0" customHeight="1">
      <c r="A7" s="321" t="s">
        <v>27</v>
      </c>
      <c r="B7" s="320"/>
      <c r="C7" s="320"/>
      <c r="D7" s="48"/>
      <c r="E7" s="48"/>
      <c r="F7" s="48"/>
      <c r="G7" s="321" t="s">
        <v>27</v>
      </c>
      <c r="H7" s="44" t="s">
        <v>435</v>
      </c>
      <c r="I7" s="56"/>
      <c r="J7" s="44" t="s">
        <v>435</v>
      </c>
      <c r="K7" s="10" t="s">
        <v>14</v>
      </c>
      <c r="L7" s="48"/>
      <c r="M7" s="68"/>
      <c r="N7" s="321" t="s">
        <v>27</v>
      </c>
      <c r="O7" s="44" t="s">
        <v>435</v>
      </c>
      <c r="P7" s="194" t="s">
        <v>1267</v>
      </c>
      <c r="Q7" s="44" t="s">
        <v>435</v>
      </c>
      <c r="R7" s="223" t="s">
        <v>51</v>
      </c>
      <c r="S7" s="43" t="s">
        <v>51</v>
      </c>
      <c r="T7" s="68"/>
      <c r="U7" s="321" t="s">
        <v>27</v>
      </c>
      <c r="V7" s="71"/>
      <c r="W7" s="322"/>
      <c r="X7" s="9"/>
      <c r="Y7" s="22" t="s">
        <v>1521</v>
      </c>
      <c r="Z7" s="68"/>
      <c r="AA7" s="68"/>
      <c r="AB7" s="321" t="s">
        <v>27</v>
      </c>
      <c r="AC7" s="71"/>
      <c r="AD7" s="194"/>
      <c r="AE7" s="9"/>
      <c r="AF7" s="22" t="s">
        <v>51</v>
      </c>
      <c r="AG7" s="48"/>
    </row>
    <row r="8" ht="15.75" customHeight="1">
      <c r="A8" s="321" t="s">
        <v>33</v>
      </c>
      <c r="B8" s="320"/>
      <c r="C8" s="320"/>
      <c r="D8" s="48"/>
      <c r="E8" s="48"/>
      <c r="F8" s="48"/>
      <c r="G8" s="321" t="s">
        <v>33</v>
      </c>
      <c r="H8" s="44" t="s">
        <v>435</v>
      </c>
      <c r="I8" s="10"/>
      <c r="J8" s="44" t="s">
        <v>435</v>
      </c>
      <c r="L8" s="48"/>
      <c r="M8" s="68"/>
      <c r="N8" s="321" t="s">
        <v>33</v>
      </c>
      <c r="O8" s="44" t="s">
        <v>435</v>
      </c>
      <c r="P8" s="56" t="s">
        <v>1291</v>
      </c>
      <c r="Q8" s="44" t="s">
        <v>435</v>
      </c>
      <c r="R8" s="56" t="s">
        <v>1401</v>
      </c>
      <c r="T8" s="68"/>
      <c r="U8" s="321" t="s">
        <v>33</v>
      </c>
      <c r="V8" s="73"/>
      <c r="W8" s="47"/>
      <c r="X8" s="9"/>
      <c r="Y8" s="15" t="s">
        <v>51</v>
      </c>
      <c r="Z8" s="68"/>
      <c r="AA8" s="68"/>
      <c r="AB8" s="321" t="s">
        <v>33</v>
      </c>
      <c r="AC8" s="73"/>
      <c r="AE8" s="9"/>
      <c r="AF8" s="194" t="s">
        <v>1093</v>
      </c>
      <c r="AG8" s="48"/>
    </row>
    <row r="9" ht="15.0" customHeight="1">
      <c r="A9" s="319" t="s">
        <v>39</v>
      </c>
      <c r="B9" s="320"/>
      <c r="C9" s="320"/>
      <c r="D9" s="48"/>
      <c r="F9" s="48"/>
      <c r="G9" s="319" t="s">
        <v>39</v>
      </c>
      <c r="H9" s="56"/>
      <c r="I9" s="44" t="s">
        <v>435</v>
      </c>
      <c r="J9" s="56" t="s">
        <v>113</v>
      </c>
      <c r="K9" s="44" t="s">
        <v>435</v>
      </c>
      <c r="L9" s="48"/>
      <c r="M9" s="68"/>
      <c r="N9" s="319" t="s">
        <v>39</v>
      </c>
      <c r="O9" s="22" t="s">
        <v>23</v>
      </c>
      <c r="P9" s="44" t="s">
        <v>435</v>
      </c>
      <c r="Q9" s="44" t="s">
        <v>435</v>
      </c>
      <c r="R9" s="323"/>
      <c r="T9" s="68"/>
      <c r="U9" s="319" t="s">
        <v>39</v>
      </c>
      <c r="V9" s="22" t="s">
        <v>1182</v>
      </c>
      <c r="W9" s="73"/>
      <c r="X9" s="44"/>
      <c r="Y9" s="73"/>
      <c r="Z9" s="68"/>
      <c r="AA9" s="68"/>
      <c r="AB9" s="319" t="s">
        <v>39</v>
      </c>
      <c r="AC9" s="22" t="s">
        <v>23</v>
      </c>
      <c r="AD9" s="73"/>
      <c r="AE9" s="44"/>
      <c r="AF9" s="73"/>
      <c r="AG9" s="48"/>
    </row>
    <row r="10" ht="14.25" customHeight="1">
      <c r="A10" s="319" t="s">
        <v>45</v>
      </c>
      <c r="B10" s="320"/>
      <c r="C10" s="320"/>
      <c r="D10" s="48"/>
      <c r="E10" s="48"/>
      <c r="F10" s="48"/>
      <c r="G10" s="319" t="s">
        <v>45</v>
      </c>
      <c r="H10" s="16" t="s">
        <v>745</v>
      </c>
      <c r="I10" s="44" t="s">
        <v>435</v>
      </c>
      <c r="J10" s="16" t="s">
        <v>960</v>
      </c>
      <c r="K10" s="10" t="s">
        <v>20</v>
      </c>
      <c r="L10" s="48"/>
      <c r="M10" s="68"/>
      <c r="N10" s="319" t="s">
        <v>45</v>
      </c>
      <c r="O10" s="194" t="s">
        <v>2</v>
      </c>
      <c r="P10" s="44" t="s">
        <v>435</v>
      </c>
      <c r="R10" s="44" t="s">
        <v>435</v>
      </c>
      <c r="T10" s="68"/>
      <c r="U10" s="319" t="s">
        <v>45</v>
      </c>
      <c r="V10" s="28" t="s">
        <v>67</v>
      </c>
      <c r="W10" s="73"/>
      <c r="X10" s="194" t="s">
        <v>1077</v>
      </c>
      <c r="Y10" s="73"/>
      <c r="Z10" s="68"/>
      <c r="AA10" s="68"/>
      <c r="AB10" s="319" t="s">
        <v>45</v>
      </c>
      <c r="AC10" s="56" t="s">
        <v>2</v>
      </c>
      <c r="AD10" s="73"/>
      <c r="AE10" s="56" t="s">
        <v>768</v>
      </c>
      <c r="AF10" s="73"/>
      <c r="AG10" s="48"/>
    </row>
    <row r="11" ht="15.0" customHeight="1">
      <c r="A11" s="319" t="s">
        <v>54</v>
      </c>
      <c r="B11" s="320"/>
      <c r="C11" s="320"/>
      <c r="D11" s="48"/>
      <c r="E11" s="48"/>
      <c r="F11" s="48"/>
      <c r="G11" s="319" t="s">
        <v>54</v>
      </c>
      <c r="H11" s="10" t="s">
        <v>769</v>
      </c>
      <c r="I11" s="44" t="s">
        <v>435</v>
      </c>
      <c r="J11" s="56" t="s">
        <v>143</v>
      </c>
      <c r="K11" s="44" t="s">
        <v>435</v>
      </c>
      <c r="L11" s="48"/>
      <c r="M11" s="68"/>
      <c r="N11" s="319" t="s">
        <v>54</v>
      </c>
      <c r="O11" s="16" t="s">
        <v>1186</v>
      </c>
      <c r="P11" s="44" t="s">
        <v>435</v>
      </c>
      <c r="Q11" s="22" t="s">
        <v>1307</v>
      </c>
      <c r="R11" s="44" t="s">
        <v>435</v>
      </c>
      <c r="T11" s="68"/>
      <c r="U11" s="319" t="s">
        <v>54</v>
      </c>
      <c r="V11" s="47"/>
      <c r="W11" s="73"/>
      <c r="Y11" s="73"/>
      <c r="Z11" s="68"/>
      <c r="AA11" s="68"/>
      <c r="AB11" s="319" t="s">
        <v>54</v>
      </c>
      <c r="AC11" s="22" t="s">
        <v>20</v>
      </c>
      <c r="AD11" s="73"/>
      <c r="AE11" s="22" t="s">
        <v>1170</v>
      </c>
      <c r="AF11" s="33"/>
      <c r="AG11" s="48"/>
    </row>
    <row r="12" ht="14.25" customHeight="1">
      <c r="A12" s="324">
        <v>0.7291666666666666</v>
      </c>
      <c r="B12" s="320"/>
      <c r="C12" s="320"/>
      <c r="D12" s="48"/>
      <c r="E12" s="48"/>
      <c r="F12" s="48"/>
      <c r="G12" s="324">
        <v>0.7291666666666666</v>
      </c>
      <c r="H12" s="16" t="s">
        <v>794</v>
      </c>
      <c r="I12" s="44" t="s">
        <v>435</v>
      </c>
      <c r="J12" s="56" t="s">
        <v>100</v>
      </c>
      <c r="K12" s="44" t="s">
        <v>435</v>
      </c>
      <c r="L12" s="48"/>
      <c r="M12" s="68"/>
      <c r="N12" s="324">
        <v>0.7291666666666666</v>
      </c>
      <c r="O12" s="56" t="s">
        <v>1201</v>
      </c>
      <c r="P12" s="44" t="s">
        <v>435</v>
      </c>
      <c r="Q12" s="56" t="s">
        <v>1321</v>
      </c>
      <c r="R12" s="44" t="s">
        <v>435</v>
      </c>
      <c r="T12" s="68"/>
      <c r="U12" s="324">
        <v>0.7291666666666666</v>
      </c>
      <c r="V12" s="194" t="s">
        <v>1461</v>
      </c>
      <c r="W12" s="73"/>
      <c r="X12" s="22" t="s">
        <v>1038</v>
      </c>
      <c r="Y12" s="73"/>
      <c r="Z12" s="68"/>
      <c r="AA12" s="68"/>
      <c r="AB12" s="324">
        <v>0.7291666666666666</v>
      </c>
      <c r="AC12" s="56" t="s">
        <v>1695</v>
      </c>
      <c r="AD12" s="73"/>
      <c r="AE12" s="16" t="s">
        <v>1774</v>
      </c>
      <c r="AF12" s="73"/>
      <c r="AG12" s="48"/>
    </row>
    <row r="13" ht="14.25" customHeight="1">
      <c r="A13" s="324">
        <v>0.7708333333333334</v>
      </c>
      <c r="B13" s="320"/>
      <c r="C13" s="320"/>
      <c r="D13" s="48"/>
      <c r="E13" s="48"/>
      <c r="F13" s="48"/>
      <c r="G13" s="324">
        <v>0.7708333333333334</v>
      </c>
      <c r="H13" s="10" t="s">
        <v>822</v>
      </c>
      <c r="I13" s="44" t="s">
        <v>435</v>
      </c>
      <c r="J13" s="56" t="s">
        <v>1013</v>
      </c>
      <c r="K13" s="44" t="s">
        <v>435</v>
      </c>
      <c r="L13" s="48"/>
      <c r="M13" s="68"/>
      <c r="N13" s="324">
        <v>0.7708333333333334</v>
      </c>
      <c r="O13" s="194" t="s">
        <v>1212</v>
      </c>
      <c r="P13" s="44" t="s">
        <v>435</v>
      </c>
      <c r="Q13" s="194" t="s">
        <v>1336</v>
      </c>
      <c r="R13" s="44" t="s">
        <v>435</v>
      </c>
      <c r="T13" s="68"/>
      <c r="U13" s="324">
        <v>0.7708333333333334</v>
      </c>
      <c r="V13" s="22" t="s">
        <v>823</v>
      </c>
      <c r="W13" s="73"/>
      <c r="X13" s="22" t="s">
        <v>1520</v>
      </c>
      <c r="Y13" s="73"/>
      <c r="Z13" s="68"/>
      <c r="AA13" s="68"/>
      <c r="AB13" s="324">
        <v>0.7708333333333334</v>
      </c>
      <c r="AC13" s="10" t="s">
        <v>1775</v>
      </c>
      <c r="AD13" s="22" t="s">
        <v>491</v>
      </c>
      <c r="AE13" s="265" t="s">
        <v>1776</v>
      </c>
      <c r="AF13" s="73"/>
      <c r="AG13" s="48"/>
    </row>
    <row r="14">
      <c r="A14" s="324">
        <v>0.8125</v>
      </c>
      <c r="B14" s="320"/>
      <c r="C14" s="320"/>
      <c r="D14" s="48"/>
      <c r="E14" s="48"/>
      <c r="F14" s="48"/>
      <c r="G14" s="324">
        <v>0.8125</v>
      </c>
      <c r="H14" s="16" t="s">
        <v>849</v>
      </c>
      <c r="I14" s="44" t="s">
        <v>435</v>
      </c>
      <c r="J14" s="10" t="s">
        <v>1040</v>
      </c>
      <c r="K14" s="44" t="s">
        <v>435</v>
      </c>
      <c r="L14" s="48"/>
      <c r="M14" s="48"/>
      <c r="N14" s="324">
        <v>0.8125</v>
      </c>
      <c r="O14" s="10" t="s">
        <v>1227</v>
      </c>
      <c r="P14" s="44" t="s">
        <v>435</v>
      </c>
      <c r="R14" s="44" t="s">
        <v>435</v>
      </c>
      <c r="T14" s="48"/>
      <c r="U14" s="324">
        <v>0.8125</v>
      </c>
      <c r="V14" s="22" t="s">
        <v>1308</v>
      </c>
      <c r="W14" s="78"/>
      <c r="X14" s="56" t="s">
        <v>1531</v>
      </c>
      <c r="Y14" s="78"/>
      <c r="Z14" s="48"/>
      <c r="AA14" s="48"/>
      <c r="AB14" s="324">
        <v>0.8125</v>
      </c>
      <c r="AC14" s="73"/>
      <c r="AD14" s="194" t="s">
        <v>126</v>
      </c>
      <c r="AE14" s="78"/>
      <c r="AF14" s="78"/>
      <c r="AG14" s="48"/>
    </row>
    <row r="15">
      <c r="A15" s="324">
        <v>0.8541666666666666</v>
      </c>
      <c r="B15" s="320"/>
      <c r="C15" s="320"/>
      <c r="D15" s="48"/>
      <c r="E15" s="48"/>
      <c r="F15" s="48"/>
      <c r="G15" s="324">
        <v>0.8541666666666666</v>
      </c>
      <c r="H15" s="194" t="s">
        <v>873</v>
      </c>
      <c r="I15" s="44" t="s">
        <v>435</v>
      </c>
      <c r="J15" s="22" t="s">
        <v>1057</v>
      </c>
      <c r="K15" s="44" t="s">
        <v>435</v>
      </c>
      <c r="L15" s="48"/>
      <c r="M15" s="48"/>
      <c r="N15" s="324">
        <v>0.8541666666666666</v>
      </c>
      <c r="P15" s="44" t="s">
        <v>435</v>
      </c>
      <c r="Q15" s="38"/>
      <c r="R15" s="44" t="s">
        <v>435</v>
      </c>
      <c r="T15" s="48"/>
      <c r="U15" s="324">
        <v>0.8541666666666666</v>
      </c>
      <c r="V15" s="194" t="s">
        <v>1305</v>
      </c>
      <c r="W15" s="78"/>
      <c r="X15" s="286" t="s">
        <v>1539</v>
      </c>
      <c r="Y15" s="78"/>
      <c r="Z15" s="48"/>
      <c r="AA15" s="48"/>
      <c r="AB15" s="324">
        <v>0.8541666666666666</v>
      </c>
      <c r="AC15" s="73"/>
      <c r="AE15" s="78"/>
      <c r="AF15" s="78"/>
      <c r="AG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O16" s="22"/>
      <c r="P16" s="47"/>
      <c r="R16" s="203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>
      <c r="F18" s="48"/>
      <c r="L18" s="48"/>
      <c r="M18" s="48"/>
      <c r="Z18" s="48"/>
      <c r="AA18" s="48"/>
      <c r="AB18" s="48"/>
      <c r="AC18" s="48"/>
      <c r="AD18" s="48"/>
      <c r="AE18" s="48"/>
      <c r="AF18" s="48"/>
      <c r="AG18" s="48"/>
    </row>
    <row r="19">
      <c r="A19" s="48"/>
      <c r="B19" s="325">
        <v>46056.0</v>
      </c>
      <c r="C19" s="325">
        <v>46057.0</v>
      </c>
      <c r="D19" s="325">
        <v>46058.0</v>
      </c>
      <c r="E19" s="325">
        <v>46059.0</v>
      </c>
      <c r="F19" s="48"/>
      <c r="G19" s="48"/>
      <c r="H19" s="325">
        <v>46063.0</v>
      </c>
      <c r="I19" s="325">
        <v>46064.0</v>
      </c>
      <c r="J19" s="325">
        <v>46065.0</v>
      </c>
      <c r="K19" s="325">
        <v>46066.0</v>
      </c>
      <c r="L19" s="48"/>
      <c r="M19" s="48"/>
      <c r="N19" s="1"/>
      <c r="O19" s="325">
        <v>46070.0</v>
      </c>
      <c r="P19" s="325">
        <v>46071.0</v>
      </c>
      <c r="Q19" s="325">
        <v>46072.0</v>
      </c>
      <c r="R19" s="325">
        <v>46073.0</v>
      </c>
      <c r="U19" s="1"/>
      <c r="V19" s="325">
        <v>46076.0</v>
      </c>
      <c r="W19" s="325">
        <v>46077.0</v>
      </c>
      <c r="X19" s="325">
        <v>46078.0</v>
      </c>
      <c r="Y19" s="325">
        <v>46079.0</v>
      </c>
      <c r="Z19" s="325">
        <v>46080.0</v>
      </c>
      <c r="AA19" s="48"/>
      <c r="AB19" s="48"/>
      <c r="AC19" s="48"/>
      <c r="AD19" s="48"/>
      <c r="AE19" s="48"/>
      <c r="AF19" s="48"/>
      <c r="AG19" s="48"/>
    </row>
    <row r="20">
      <c r="A20" s="319" t="s">
        <v>0</v>
      </c>
      <c r="B20" s="326" t="s">
        <v>435</v>
      </c>
      <c r="C20" s="56" t="s">
        <v>28</v>
      </c>
      <c r="D20" s="326" t="s">
        <v>435</v>
      </c>
      <c r="E20" s="327" t="s">
        <v>1170</v>
      </c>
      <c r="F20" s="48"/>
      <c r="G20" s="319" t="s">
        <v>0</v>
      </c>
      <c r="H20" s="328" t="s">
        <v>435</v>
      </c>
      <c r="I20" s="8" t="s">
        <v>1291</v>
      </c>
      <c r="J20" s="328" t="s">
        <v>435</v>
      </c>
      <c r="L20" s="48"/>
      <c r="M20" s="68"/>
      <c r="N20" s="319" t="s">
        <v>0</v>
      </c>
      <c r="O20" s="329" t="s">
        <v>435</v>
      </c>
      <c r="P20" s="8" t="s">
        <v>1307</v>
      </c>
      <c r="Q20" s="329" t="s">
        <v>435</v>
      </c>
      <c r="R20" s="330" t="s">
        <v>62</v>
      </c>
      <c r="U20" s="319" t="s">
        <v>0</v>
      </c>
      <c r="V20" s="329" t="s">
        <v>435</v>
      </c>
      <c r="W20" s="329" t="s">
        <v>435</v>
      </c>
      <c r="X20" s="247" t="s">
        <v>1727</v>
      </c>
      <c r="Y20" s="329" t="s">
        <v>435</v>
      </c>
      <c r="Z20" s="44" t="s">
        <v>435</v>
      </c>
      <c r="AA20" s="48"/>
      <c r="AB20" s="48"/>
      <c r="AC20" s="48"/>
      <c r="AD20" s="48"/>
      <c r="AE20" s="48"/>
      <c r="AF20" s="48"/>
      <c r="AG20" s="48"/>
    </row>
    <row r="21">
      <c r="A21" s="319" t="s">
        <v>5</v>
      </c>
      <c r="B21" s="326" t="s">
        <v>435</v>
      </c>
      <c r="C21" s="28" t="s">
        <v>771</v>
      </c>
      <c r="D21" s="326" t="s">
        <v>435</v>
      </c>
      <c r="E21" s="331" t="s">
        <v>1187</v>
      </c>
      <c r="F21" s="48"/>
      <c r="G21" s="319" t="s">
        <v>5</v>
      </c>
      <c r="H21" s="328" t="s">
        <v>435</v>
      </c>
      <c r="I21" s="35" t="s">
        <v>771</v>
      </c>
      <c r="J21" s="328" t="s">
        <v>435</v>
      </c>
      <c r="K21" s="35" t="s">
        <v>877</v>
      </c>
      <c r="L21" s="48"/>
      <c r="M21" s="68"/>
      <c r="N21" s="319" t="s">
        <v>5</v>
      </c>
      <c r="O21" s="329"/>
      <c r="P21" s="247" t="s">
        <v>893</v>
      </c>
      <c r="Q21" s="329"/>
      <c r="R21" s="21" t="s">
        <v>796</v>
      </c>
      <c r="U21" s="319" t="s">
        <v>5</v>
      </c>
      <c r="V21" s="329" t="s">
        <v>435</v>
      </c>
      <c r="W21" s="329" t="s">
        <v>435</v>
      </c>
      <c r="X21" s="247" t="s">
        <v>825</v>
      </c>
      <c r="Y21" s="329" t="s">
        <v>435</v>
      </c>
      <c r="Z21" s="44" t="s">
        <v>435</v>
      </c>
      <c r="AA21" s="48"/>
      <c r="AB21" s="48"/>
      <c r="AC21" s="48"/>
      <c r="AD21" s="48"/>
      <c r="AE21" s="48"/>
      <c r="AF21" s="48"/>
      <c r="AG21" s="48"/>
    </row>
    <row r="22">
      <c r="A22" s="319" t="s">
        <v>13</v>
      </c>
      <c r="B22" s="326" t="s">
        <v>435</v>
      </c>
      <c r="C22" s="28" t="s">
        <v>268</v>
      </c>
      <c r="D22" s="326" t="s">
        <v>435</v>
      </c>
      <c r="E22" s="332"/>
      <c r="F22" s="48"/>
      <c r="G22" s="319" t="s">
        <v>13</v>
      </c>
      <c r="H22" s="328" t="s">
        <v>435</v>
      </c>
      <c r="I22" s="8" t="s">
        <v>746</v>
      </c>
      <c r="J22" s="328" t="s">
        <v>435</v>
      </c>
      <c r="K22" s="35" t="s">
        <v>796</v>
      </c>
      <c r="L22" s="48"/>
      <c r="M22" s="68"/>
      <c r="N22" s="319" t="s">
        <v>13</v>
      </c>
      <c r="O22" s="329"/>
      <c r="P22" s="21" t="s">
        <v>825</v>
      </c>
      <c r="Q22" s="329"/>
      <c r="R22" s="35" t="s">
        <v>1662</v>
      </c>
      <c r="U22" s="319" t="s">
        <v>13</v>
      </c>
      <c r="V22" s="329" t="s">
        <v>435</v>
      </c>
      <c r="W22" s="329" t="s">
        <v>435</v>
      </c>
      <c r="X22" s="247" t="s">
        <v>14</v>
      </c>
      <c r="Y22" s="33"/>
      <c r="Z22" s="44" t="s">
        <v>435</v>
      </c>
      <c r="AA22" s="48"/>
      <c r="AB22" s="48"/>
      <c r="AC22" s="48"/>
      <c r="AD22" s="48"/>
      <c r="AE22" s="48"/>
      <c r="AF22" s="48"/>
      <c r="AG22" s="48"/>
    </row>
    <row r="23">
      <c r="A23" s="319" t="s">
        <v>19</v>
      </c>
      <c r="B23" s="326" t="s">
        <v>435</v>
      </c>
      <c r="C23" s="56" t="s">
        <v>20</v>
      </c>
      <c r="D23" s="326" t="s">
        <v>435</v>
      </c>
      <c r="F23" s="48"/>
      <c r="G23" s="319" t="s">
        <v>19</v>
      </c>
      <c r="H23" s="333" t="s">
        <v>1213</v>
      </c>
      <c r="I23" s="8" t="s">
        <v>824</v>
      </c>
      <c r="J23" s="328" t="s">
        <v>435</v>
      </c>
      <c r="K23" s="8" t="s">
        <v>14</v>
      </c>
      <c r="L23" s="48"/>
      <c r="M23" s="68"/>
      <c r="N23" s="319" t="s">
        <v>19</v>
      </c>
      <c r="O23" s="329"/>
      <c r="P23" s="21" t="s">
        <v>1043</v>
      </c>
      <c r="Q23" s="329"/>
      <c r="R23" s="8" t="s">
        <v>1547</v>
      </c>
      <c r="U23" s="319" t="s">
        <v>19</v>
      </c>
      <c r="V23" s="329" t="s">
        <v>435</v>
      </c>
      <c r="W23" s="329" t="s">
        <v>435</v>
      </c>
      <c r="X23" s="8" t="s">
        <v>746</v>
      </c>
      <c r="Y23" s="33"/>
      <c r="Z23" s="44" t="s">
        <v>435</v>
      </c>
      <c r="AA23" s="48"/>
      <c r="AB23" s="48"/>
      <c r="AC23" s="48"/>
      <c r="AD23" s="48"/>
      <c r="AE23" s="48"/>
      <c r="AF23" s="48"/>
      <c r="AG23" s="48"/>
    </row>
    <row r="24">
      <c r="A24" s="321" t="s">
        <v>27</v>
      </c>
      <c r="B24" s="326" t="s">
        <v>435</v>
      </c>
      <c r="C24" s="28" t="s">
        <v>959</v>
      </c>
      <c r="D24" s="326" t="s">
        <v>435</v>
      </c>
      <c r="E24" s="327" t="s">
        <v>865</v>
      </c>
      <c r="F24" s="48"/>
      <c r="G24" s="321" t="s">
        <v>27</v>
      </c>
      <c r="H24" s="328" t="s">
        <v>435</v>
      </c>
      <c r="I24" s="35" t="s">
        <v>1371</v>
      </c>
      <c r="J24" s="328" t="s">
        <v>435</v>
      </c>
      <c r="K24" s="247" t="s">
        <v>51</v>
      </c>
      <c r="L24" s="48"/>
      <c r="M24" s="68"/>
      <c r="N24" s="321" t="s">
        <v>27</v>
      </c>
      <c r="O24" s="329"/>
      <c r="P24" s="21" t="s">
        <v>1576</v>
      </c>
      <c r="Q24" s="329"/>
      <c r="R24" s="330" t="s">
        <v>51</v>
      </c>
      <c r="U24" s="321" t="s">
        <v>27</v>
      </c>
      <c r="V24" s="329" t="s">
        <v>435</v>
      </c>
      <c r="W24" s="329" t="s">
        <v>435</v>
      </c>
      <c r="X24" s="247" t="s">
        <v>1734</v>
      </c>
      <c r="Y24" s="329" t="s">
        <v>435</v>
      </c>
      <c r="Z24" s="44" t="s">
        <v>435</v>
      </c>
      <c r="AA24" s="48"/>
      <c r="AB24" s="48"/>
      <c r="AC24" s="48"/>
      <c r="AD24" s="48"/>
      <c r="AE24" s="48"/>
      <c r="AF24" s="48"/>
      <c r="AG24" s="48"/>
    </row>
    <row r="25">
      <c r="A25" s="321" t="s">
        <v>33</v>
      </c>
      <c r="B25" s="326" t="s">
        <v>435</v>
      </c>
      <c r="C25" s="195" t="s">
        <v>62</v>
      </c>
      <c r="D25" s="326"/>
      <c r="F25" s="48"/>
      <c r="G25" s="321" t="s">
        <v>33</v>
      </c>
      <c r="H25" s="328" t="s">
        <v>435</v>
      </c>
      <c r="I25" s="247" t="s">
        <v>67</v>
      </c>
      <c r="J25" s="328"/>
      <c r="K25" s="8" t="s">
        <v>62</v>
      </c>
      <c r="L25" s="48"/>
      <c r="M25" s="68"/>
      <c r="N25" s="321" t="s">
        <v>33</v>
      </c>
      <c r="O25" s="33"/>
      <c r="P25" s="28"/>
      <c r="Q25" s="329"/>
      <c r="R25" s="8" t="s">
        <v>1677</v>
      </c>
      <c r="U25" s="321" t="s">
        <v>33</v>
      </c>
      <c r="V25" s="329" t="s">
        <v>435</v>
      </c>
      <c r="W25" s="329" t="s">
        <v>435</v>
      </c>
      <c r="X25" s="247" t="s">
        <v>1628</v>
      </c>
      <c r="Y25" s="329" t="s">
        <v>435</v>
      </c>
      <c r="Z25" s="44" t="s">
        <v>435</v>
      </c>
      <c r="AA25" s="48"/>
      <c r="AB25" s="48"/>
      <c r="AC25" s="48"/>
      <c r="AD25" s="48"/>
      <c r="AE25" s="48"/>
      <c r="AF25" s="48"/>
      <c r="AG25" s="48"/>
    </row>
    <row r="26">
      <c r="A26" s="319" t="s">
        <v>39</v>
      </c>
      <c r="B26" s="195" t="s">
        <v>746</v>
      </c>
      <c r="C26" s="326" t="s">
        <v>435</v>
      </c>
      <c r="D26" s="44"/>
      <c r="E26" s="334"/>
      <c r="F26" s="48"/>
      <c r="G26" s="319" t="s">
        <v>39</v>
      </c>
      <c r="H26" s="35" t="s">
        <v>23</v>
      </c>
      <c r="I26" s="328" t="s">
        <v>435</v>
      </c>
      <c r="J26" s="328"/>
      <c r="K26" s="328"/>
      <c r="L26" s="48"/>
      <c r="M26" s="68"/>
      <c r="N26" s="319" t="s">
        <v>39</v>
      </c>
      <c r="O26" s="330" t="s">
        <v>57</v>
      </c>
      <c r="P26" s="33"/>
      <c r="Q26" s="329"/>
      <c r="R26" s="329"/>
      <c r="U26" s="319" t="s">
        <v>39</v>
      </c>
      <c r="V26" s="21" t="s">
        <v>1686</v>
      </c>
      <c r="W26" s="247" t="s">
        <v>40</v>
      </c>
      <c r="X26" s="335"/>
      <c r="Y26" s="44" t="s">
        <v>435</v>
      </c>
      <c r="Z26" s="44" t="s">
        <v>435</v>
      </c>
      <c r="AA26" s="48"/>
      <c r="AB26" s="48"/>
      <c r="AC26" s="48"/>
      <c r="AD26" s="48"/>
      <c r="AE26" s="48"/>
      <c r="AF26" s="48"/>
      <c r="AG26" s="48"/>
    </row>
    <row r="27">
      <c r="A27" s="319" t="s">
        <v>45</v>
      </c>
      <c r="B27" s="56" t="s">
        <v>770</v>
      </c>
      <c r="C27" s="326" t="s">
        <v>435</v>
      </c>
      <c r="D27" s="336" t="s">
        <v>1077</v>
      </c>
      <c r="E27" s="334"/>
      <c r="F27" s="48"/>
      <c r="G27" s="319" t="s">
        <v>45</v>
      </c>
      <c r="H27" s="8" t="s">
        <v>1241</v>
      </c>
      <c r="I27" s="328" t="s">
        <v>435</v>
      </c>
      <c r="J27" s="8" t="s">
        <v>1428</v>
      </c>
      <c r="K27" s="328" t="s">
        <v>435</v>
      </c>
      <c r="L27" s="48"/>
      <c r="M27" s="68"/>
      <c r="N27" s="319" t="s">
        <v>45</v>
      </c>
      <c r="P27" s="33"/>
      <c r="Q27" s="337" t="s">
        <v>1520</v>
      </c>
      <c r="R27" s="329"/>
      <c r="U27" s="319" t="s">
        <v>45</v>
      </c>
      <c r="V27" s="21" t="s">
        <v>1690</v>
      </c>
      <c r="W27" s="8" t="s">
        <v>143</v>
      </c>
      <c r="X27" s="329" t="s">
        <v>435</v>
      </c>
      <c r="Y27" s="44" t="s">
        <v>435</v>
      </c>
      <c r="Z27" s="44" t="s">
        <v>435</v>
      </c>
      <c r="AA27" s="48"/>
      <c r="AB27" s="48"/>
      <c r="AC27" s="48"/>
      <c r="AD27" s="48"/>
      <c r="AE27" s="48"/>
      <c r="AF27" s="48"/>
      <c r="AG27" s="48"/>
    </row>
    <row r="28">
      <c r="A28" s="319" t="s">
        <v>54</v>
      </c>
      <c r="B28" s="195" t="s">
        <v>795</v>
      </c>
      <c r="C28" s="326" t="s">
        <v>435</v>
      </c>
      <c r="D28" s="327" t="s">
        <v>6</v>
      </c>
      <c r="E28" s="326" t="s">
        <v>435</v>
      </c>
      <c r="F28" s="48"/>
      <c r="G28" s="319" t="s">
        <v>54</v>
      </c>
      <c r="H28" s="8" t="s">
        <v>1043</v>
      </c>
      <c r="I28" s="35" t="s">
        <v>1391</v>
      </c>
      <c r="J28" s="35" t="s">
        <v>1439</v>
      </c>
      <c r="K28" s="328" t="s">
        <v>435</v>
      </c>
      <c r="L28" s="48"/>
      <c r="M28" s="68"/>
      <c r="N28" s="319" t="s">
        <v>54</v>
      </c>
      <c r="O28" s="21" t="s">
        <v>350</v>
      </c>
      <c r="P28" s="33"/>
      <c r="Q28" s="247" t="s">
        <v>268</v>
      </c>
      <c r="R28" s="33"/>
      <c r="U28" s="319" t="s">
        <v>54</v>
      </c>
      <c r="V28" s="21" t="s">
        <v>1691</v>
      </c>
      <c r="W28" s="21" t="s">
        <v>268</v>
      </c>
      <c r="X28" s="329" t="s">
        <v>435</v>
      </c>
      <c r="Y28" s="44" t="s">
        <v>435</v>
      </c>
      <c r="Z28" s="329" t="s">
        <v>435</v>
      </c>
      <c r="AA28" s="48"/>
      <c r="AB28" s="48"/>
      <c r="AC28" s="48"/>
      <c r="AD28" s="48"/>
      <c r="AE28" s="48"/>
      <c r="AF28" s="13"/>
      <c r="AG28" s="48"/>
    </row>
    <row r="29">
      <c r="A29" s="324">
        <v>0.7291666666666666</v>
      </c>
      <c r="B29" s="195" t="s">
        <v>823</v>
      </c>
      <c r="C29" s="338"/>
      <c r="D29" s="339" t="s">
        <v>1109</v>
      </c>
      <c r="E29" s="326" t="s">
        <v>435</v>
      </c>
      <c r="F29" s="48"/>
      <c r="G29" s="324">
        <v>0.7291666666666666</v>
      </c>
      <c r="H29" s="8" t="s">
        <v>1268</v>
      </c>
      <c r="I29" s="21" t="s">
        <v>1402</v>
      </c>
      <c r="J29" s="328" t="s">
        <v>435</v>
      </c>
      <c r="K29" s="328" t="s">
        <v>435</v>
      </c>
      <c r="L29" s="48"/>
      <c r="M29" s="68"/>
      <c r="N29" s="324">
        <v>0.7291666666666666</v>
      </c>
      <c r="P29" s="33"/>
      <c r="Q29" s="21" t="s">
        <v>1038</v>
      </c>
      <c r="R29" s="33"/>
      <c r="U29" s="324">
        <v>0.7291666666666666</v>
      </c>
      <c r="V29" s="21" t="s">
        <v>1695</v>
      </c>
      <c r="W29" s="21" t="s">
        <v>1713</v>
      </c>
      <c r="X29" s="329" t="s">
        <v>435</v>
      </c>
      <c r="Y29" s="44" t="s">
        <v>435</v>
      </c>
      <c r="Z29" s="329" t="s">
        <v>435</v>
      </c>
      <c r="AA29" s="48"/>
      <c r="AB29" s="48"/>
      <c r="AC29" s="48"/>
      <c r="AD29" s="48"/>
      <c r="AE29" s="48"/>
      <c r="AF29" s="48"/>
      <c r="AG29" s="48"/>
    </row>
    <row r="30">
      <c r="A30" s="324">
        <v>0.7708333333333334</v>
      </c>
      <c r="B30" s="28" t="s">
        <v>850</v>
      </c>
      <c r="C30" s="195" t="s">
        <v>1041</v>
      </c>
      <c r="D30" s="331" t="s">
        <v>1013</v>
      </c>
      <c r="E30" s="326" t="s">
        <v>435</v>
      </c>
      <c r="F30" s="48"/>
      <c r="G30" s="324">
        <v>0.7708333333333334</v>
      </c>
      <c r="H30" s="35" t="s">
        <v>1093</v>
      </c>
      <c r="I30" s="330" t="s">
        <v>1415</v>
      </c>
      <c r="J30" s="21" t="s">
        <v>1452</v>
      </c>
      <c r="K30" s="328" t="s">
        <v>435</v>
      </c>
      <c r="L30" s="48"/>
      <c r="M30" s="48"/>
      <c r="N30" s="324">
        <v>0.7708333333333334</v>
      </c>
      <c r="O30" s="247" t="s">
        <v>1540</v>
      </c>
      <c r="P30" s="247" t="s">
        <v>1586</v>
      </c>
      <c r="Q30" s="340" t="s">
        <v>1634</v>
      </c>
      <c r="R30" s="33"/>
      <c r="U30" s="324">
        <v>0.7708333333333334</v>
      </c>
      <c r="V30" s="329" t="s">
        <v>435</v>
      </c>
      <c r="W30" s="247" t="s">
        <v>850</v>
      </c>
      <c r="X30" s="341"/>
      <c r="Y30" s="44" t="s">
        <v>435</v>
      </c>
      <c r="Z30" s="329" t="s">
        <v>435</v>
      </c>
      <c r="AA30" s="48"/>
      <c r="AB30" s="48"/>
      <c r="AC30" s="48"/>
      <c r="AD30" s="48"/>
      <c r="AE30" s="48"/>
      <c r="AF30" s="48"/>
      <c r="AG30" s="48"/>
    </row>
    <row r="31">
      <c r="A31" s="324">
        <v>0.8125</v>
      </c>
      <c r="B31" s="28" t="s">
        <v>874</v>
      </c>
      <c r="C31" s="195" t="s">
        <v>1058</v>
      </c>
      <c r="D31" s="326" t="s">
        <v>435</v>
      </c>
      <c r="E31" s="326" t="s">
        <v>435</v>
      </c>
      <c r="F31" s="48"/>
      <c r="G31" s="324">
        <v>0.8125</v>
      </c>
      <c r="H31" s="35" t="s">
        <v>1308</v>
      </c>
      <c r="I31" s="328" t="s">
        <v>435</v>
      </c>
      <c r="J31" s="342" t="s">
        <v>1462</v>
      </c>
      <c r="K31" s="328" t="s">
        <v>435</v>
      </c>
      <c r="L31" s="48"/>
      <c r="M31" s="48"/>
      <c r="N31" s="324">
        <v>0.8125</v>
      </c>
      <c r="O31" s="247" t="s">
        <v>1549</v>
      </c>
      <c r="P31" s="247" t="s">
        <v>1594</v>
      </c>
      <c r="Q31" s="21" t="s">
        <v>898</v>
      </c>
      <c r="R31" s="329"/>
      <c r="U31" s="324">
        <v>0.8125</v>
      </c>
      <c r="V31" s="329" t="s">
        <v>435</v>
      </c>
      <c r="W31" s="330" t="s">
        <v>51</v>
      </c>
      <c r="X31" s="329" t="s">
        <v>435</v>
      </c>
      <c r="Y31" s="44" t="s">
        <v>435</v>
      </c>
      <c r="Z31" s="329" t="s">
        <v>435</v>
      </c>
      <c r="AA31" s="48"/>
      <c r="AB31" s="48"/>
      <c r="AC31" s="48"/>
      <c r="AD31" s="48"/>
      <c r="AE31" s="48"/>
      <c r="AF31" s="48"/>
      <c r="AG31" s="48"/>
    </row>
    <row r="32">
      <c r="A32" s="324">
        <v>0.8541666666666666</v>
      </c>
      <c r="B32" s="22" t="s">
        <v>898</v>
      </c>
      <c r="C32" s="334"/>
      <c r="D32" s="343" t="s">
        <v>1148</v>
      </c>
      <c r="E32" s="326" t="s">
        <v>435</v>
      </c>
      <c r="G32" s="324">
        <v>0.8541666666666666</v>
      </c>
      <c r="H32" s="328" t="s">
        <v>435</v>
      </c>
      <c r="I32" s="328" t="s">
        <v>435</v>
      </c>
      <c r="J32" s="8" t="s">
        <v>1469</v>
      </c>
      <c r="K32" s="328" t="s">
        <v>435</v>
      </c>
      <c r="L32" s="48"/>
      <c r="M32" s="48"/>
      <c r="N32" s="324">
        <v>0.8541666666666666</v>
      </c>
      <c r="O32" s="33"/>
      <c r="P32" s="35" t="s">
        <v>1604</v>
      </c>
      <c r="Q32" s="35" t="s">
        <v>126</v>
      </c>
      <c r="R32" s="329"/>
      <c r="U32" s="324">
        <v>0.8541666666666666</v>
      </c>
      <c r="V32" s="329" t="s">
        <v>435</v>
      </c>
      <c r="W32" s="8" t="s">
        <v>1725</v>
      </c>
      <c r="X32" s="329" t="s">
        <v>435</v>
      </c>
      <c r="Y32" s="329" t="s">
        <v>435</v>
      </c>
      <c r="Z32" s="329" t="s">
        <v>435</v>
      </c>
      <c r="AA32" s="40"/>
      <c r="AD32" s="48"/>
      <c r="AE32" s="48"/>
      <c r="AF32" s="48"/>
      <c r="AG32" s="48"/>
    </row>
    <row r="33">
      <c r="L33" s="48"/>
      <c r="Z33" s="48"/>
      <c r="AA33" s="110"/>
      <c r="AD33" s="48"/>
      <c r="AE33" s="48"/>
      <c r="AF33" s="48"/>
      <c r="AG33" s="48"/>
    </row>
    <row r="34">
      <c r="L34" s="48"/>
      <c r="Z34" s="48"/>
      <c r="AA34" s="113"/>
      <c r="AD34" s="48"/>
      <c r="AE34" s="48"/>
      <c r="AF34" s="48"/>
      <c r="AG34" s="48"/>
    </row>
    <row r="35">
      <c r="L35" s="48"/>
      <c r="Z35" s="48"/>
      <c r="AA35" s="113"/>
      <c r="AD35" s="48"/>
      <c r="AE35" s="48"/>
      <c r="AF35" s="48"/>
      <c r="AG35" s="48"/>
    </row>
    <row r="36">
      <c r="A36" s="48"/>
      <c r="B36" s="344">
        <v>46084.0</v>
      </c>
      <c r="C36" s="344">
        <v>46085.0</v>
      </c>
      <c r="D36" s="344">
        <v>46086.0</v>
      </c>
      <c r="E36" s="344">
        <v>46087.0</v>
      </c>
      <c r="G36" s="345"/>
      <c r="H36" s="344">
        <v>46091.0</v>
      </c>
      <c r="I36" s="344">
        <v>46092.0</v>
      </c>
      <c r="J36" s="344">
        <v>46093.0</v>
      </c>
      <c r="K36" s="344">
        <v>46094.0</v>
      </c>
      <c r="L36" s="48"/>
      <c r="N36" s="48"/>
      <c r="O36" s="344">
        <v>46097.0</v>
      </c>
      <c r="P36" s="344">
        <v>46098.0</v>
      </c>
      <c r="Q36" s="344">
        <v>46099.0</v>
      </c>
      <c r="R36" s="344">
        <v>46100.0</v>
      </c>
      <c r="S36" s="344">
        <v>46101.0</v>
      </c>
      <c r="U36" s="345"/>
      <c r="V36" s="344">
        <v>46105.0</v>
      </c>
      <c r="W36" s="344">
        <v>46106.0</v>
      </c>
      <c r="X36" s="344">
        <v>46107.0</v>
      </c>
      <c r="Y36" s="344">
        <v>46108.0</v>
      </c>
      <c r="Z36" s="344">
        <v>46112.0</v>
      </c>
      <c r="AA36" s="113"/>
      <c r="AD36" s="48"/>
      <c r="AE36" s="48"/>
      <c r="AF36" s="48"/>
      <c r="AG36" s="48"/>
    </row>
    <row r="37">
      <c r="A37" s="319" t="s">
        <v>0</v>
      </c>
      <c r="B37" s="329"/>
      <c r="C37" s="44" t="s">
        <v>435</v>
      </c>
      <c r="D37" s="44" t="s">
        <v>435</v>
      </c>
      <c r="E37" s="44" t="s">
        <v>435</v>
      </c>
      <c r="G37" s="319" t="s">
        <v>0</v>
      </c>
      <c r="H37" s="44" t="s">
        <v>435</v>
      </c>
      <c r="I37" s="44" t="s">
        <v>435</v>
      </c>
      <c r="J37" s="44" t="s">
        <v>435</v>
      </c>
      <c r="K37" s="44" t="s">
        <v>435</v>
      </c>
      <c r="L37" s="48"/>
      <c r="N37" s="319" t="s">
        <v>0</v>
      </c>
      <c r="O37" s="33" t="s">
        <v>1777</v>
      </c>
      <c r="P37" s="33" t="s">
        <v>1778</v>
      </c>
      <c r="Q37" s="8" t="s">
        <v>747</v>
      </c>
      <c r="R37" s="9" t="s">
        <v>435</v>
      </c>
      <c r="S37" s="21" t="s">
        <v>6</v>
      </c>
      <c r="U37" s="319" t="s">
        <v>0</v>
      </c>
      <c r="V37" s="329" t="s">
        <v>435</v>
      </c>
      <c r="W37" s="329" t="s">
        <v>435</v>
      </c>
      <c r="X37" s="329" t="s">
        <v>435</v>
      </c>
      <c r="Y37" s="8" t="s">
        <v>771</v>
      </c>
      <c r="Z37" s="329" t="s">
        <v>435</v>
      </c>
      <c r="AA37" s="113"/>
      <c r="AD37" s="48"/>
      <c r="AE37" s="48"/>
      <c r="AF37" s="48"/>
      <c r="AG37" s="48"/>
    </row>
    <row r="38">
      <c r="A38" s="319" t="s">
        <v>5</v>
      </c>
      <c r="B38" s="329"/>
      <c r="C38" s="44" t="s">
        <v>435</v>
      </c>
      <c r="D38" s="44" t="s">
        <v>435</v>
      </c>
      <c r="E38" s="44" t="s">
        <v>435</v>
      </c>
      <c r="G38" s="319" t="s">
        <v>5</v>
      </c>
      <c r="H38" s="44" t="s">
        <v>435</v>
      </c>
      <c r="I38" s="44" t="s">
        <v>435</v>
      </c>
      <c r="J38" s="44" t="s">
        <v>435</v>
      </c>
      <c r="K38" s="44" t="s">
        <v>435</v>
      </c>
      <c r="L38" s="48"/>
      <c r="N38" s="319" t="s">
        <v>5</v>
      </c>
      <c r="O38" s="33" t="s">
        <v>1777</v>
      </c>
      <c r="P38" s="33" t="s">
        <v>1778</v>
      </c>
      <c r="Q38" s="8" t="s">
        <v>771</v>
      </c>
      <c r="R38" s="329" t="s">
        <v>435</v>
      </c>
      <c r="S38" s="21" t="s">
        <v>866</v>
      </c>
      <c r="U38" s="319" t="s">
        <v>5</v>
      </c>
      <c r="V38" s="329" t="s">
        <v>435</v>
      </c>
      <c r="W38" s="329" t="s">
        <v>435</v>
      </c>
      <c r="X38" s="329" t="s">
        <v>435</v>
      </c>
      <c r="Y38" s="200" t="s">
        <v>796</v>
      </c>
      <c r="Z38" s="329" t="s">
        <v>435</v>
      </c>
      <c r="AA38" s="113"/>
      <c r="AD38" s="48"/>
      <c r="AE38" s="48"/>
      <c r="AF38" s="48"/>
      <c r="AG38" s="48"/>
    </row>
    <row r="39">
      <c r="A39" s="319" t="s">
        <v>13</v>
      </c>
      <c r="B39" s="329"/>
      <c r="C39" s="44" t="s">
        <v>435</v>
      </c>
      <c r="D39" s="44" t="s">
        <v>435</v>
      </c>
      <c r="E39" s="44" t="s">
        <v>435</v>
      </c>
      <c r="G39" s="319" t="s">
        <v>13</v>
      </c>
      <c r="H39" s="44" t="s">
        <v>435</v>
      </c>
      <c r="I39" s="44" t="s">
        <v>435</v>
      </c>
      <c r="J39" s="44" t="s">
        <v>435</v>
      </c>
      <c r="K39" s="44" t="s">
        <v>435</v>
      </c>
      <c r="L39" s="48"/>
      <c r="N39" s="319" t="s">
        <v>13</v>
      </c>
      <c r="O39" s="33" t="s">
        <v>1777</v>
      </c>
      <c r="P39" s="33" t="s">
        <v>1778</v>
      </c>
      <c r="Q39" s="8" t="s">
        <v>796</v>
      </c>
      <c r="R39" s="329" t="s">
        <v>435</v>
      </c>
      <c r="S39" s="21" t="s">
        <v>15</v>
      </c>
      <c r="U39" s="319" t="s">
        <v>13</v>
      </c>
      <c r="V39" s="329" t="s">
        <v>435</v>
      </c>
      <c r="W39" s="329" t="s">
        <v>435</v>
      </c>
      <c r="X39" s="346"/>
      <c r="Y39" s="200" t="s">
        <v>1093</v>
      </c>
      <c r="Z39" s="329" t="s">
        <v>435</v>
      </c>
      <c r="AA39" s="113"/>
      <c r="AD39" s="48"/>
      <c r="AE39" s="48"/>
      <c r="AF39" s="48"/>
      <c r="AG39" s="48"/>
    </row>
    <row r="40">
      <c r="A40" s="319" t="s">
        <v>19</v>
      </c>
      <c r="B40" s="329"/>
      <c r="C40" s="44" t="s">
        <v>435</v>
      </c>
      <c r="D40" s="44" t="s">
        <v>435</v>
      </c>
      <c r="E40" s="44" t="s">
        <v>435</v>
      </c>
      <c r="G40" s="319" t="s">
        <v>19</v>
      </c>
      <c r="H40" s="44" t="s">
        <v>435</v>
      </c>
      <c r="I40" s="44" t="s">
        <v>435</v>
      </c>
      <c r="J40" s="44" t="s">
        <v>435</v>
      </c>
      <c r="K40" s="44" t="s">
        <v>435</v>
      </c>
      <c r="L40" s="48"/>
      <c r="N40" s="319" t="s">
        <v>19</v>
      </c>
      <c r="O40" s="33" t="s">
        <v>1777</v>
      </c>
      <c r="P40" s="33" t="s">
        <v>1778</v>
      </c>
      <c r="Q40" s="247" t="s">
        <v>824</v>
      </c>
      <c r="R40" s="347" t="s">
        <v>435</v>
      </c>
      <c r="S40" s="21" t="s">
        <v>1110</v>
      </c>
      <c r="U40" s="319" t="s">
        <v>19</v>
      </c>
      <c r="V40" s="329" t="s">
        <v>435</v>
      </c>
      <c r="W40" s="329" t="s">
        <v>435</v>
      </c>
      <c r="X40" s="329" t="s">
        <v>435</v>
      </c>
      <c r="Y40" s="21" t="s">
        <v>1110</v>
      </c>
      <c r="Z40" s="329" t="s">
        <v>435</v>
      </c>
      <c r="AA40" s="113"/>
      <c r="AD40" s="48"/>
      <c r="AE40" s="48"/>
      <c r="AF40" s="48"/>
      <c r="AG40" s="48"/>
    </row>
    <row r="41">
      <c r="A41" s="321" t="s">
        <v>27</v>
      </c>
      <c r="B41" s="329"/>
      <c r="C41" s="44" t="s">
        <v>435</v>
      </c>
      <c r="D41" s="44" t="s">
        <v>435</v>
      </c>
      <c r="E41" s="44" t="s">
        <v>435</v>
      </c>
      <c r="G41" s="321" t="s">
        <v>27</v>
      </c>
      <c r="H41" s="44" t="s">
        <v>435</v>
      </c>
      <c r="I41" s="44" t="s">
        <v>435</v>
      </c>
      <c r="J41" s="44" t="s">
        <v>435</v>
      </c>
      <c r="K41" s="44" t="s">
        <v>435</v>
      </c>
      <c r="L41" s="48"/>
      <c r="N41" s="321" t="s">
        <v>27</v>
      </c>
      <c r="O41" s="33" t="s">
        <v>1777</v>
      </c>
      <c r="P41" s="33" t="s">
        <v>1778</v>
      </c>
      <c r="Q41" s="35" t="s">
        <v>20</v>
      </c>
      <c r="R41" s="329" t="s">
        <v>435</v>
      </c>
      <c r="S41" s="348"/>
      <c r="U41" s="321" t="s">
        <v>27</v>
      </c>
      <c r="V41" s="329" t="s">
        <v>435</v>
      </c>
      <c r="W41" s="329" t="s">
        <v>435</v>
      </c>
      <c r="X41" s="329" t="s">
        <v>435</v>
      </c>
      <c r="Y41" s="8" t="s">
        <v>91</v>
      </c>
      <c r="Z41" s="329" t="s">
        <v>435</v>
      </c>
      <c r="AA41" s="349"/>
      <c r="AD41" s="48"/>
      <c r="AE41" s="48"/>
      <c r="AF41" s="48"/>
      <c r="AG41" s="48"/>
    </row>
    <row r="42">
      <c r="A42" s="321" t="s">
        <v>33</v>
      </c>
      <c r="B42" s="329"/>
      <c r="C42" s="44" t="s">
        <v>435</v>
      </c>
      <c r="D42" s="44" t="s">
        <v>435</v>
      </c>
      <c r="E42" s="44" t="s">
        <v>435</v>
      </c>
      <c r="G42" s="321" t="s">
        <v>33</v>
      </c>
      <c r="H42" s="44" t="s">
        <v>435</v>
      </c>
      <c r="I42" s="44" t="s">
        <v>435</v>
      </c>
      <c r="J42" s="44" t="s">
        <v>435</v>
      </c>
      <c r="K42" s="44" t="s">
        <v>435</v>
      </c>
      <c r="L42" s="48"/>
      <c r="N42" s="321" t="s">
        <v>33</v>
      </c>
      <c r="O42" s="33" t="s">
        <v>1777</v>
      </c>
      <c r="P42" s="33" t="s">
        <v>1778</v>
      </c>
      <c r="Q42" s="8" t="s">
        <v>62</v>
      </c>
      <c r="R42" s="329" t="s">
        <v>435</v>
      </c>
      <c r="S42" s="348"/>
      <c r="U42" s="321" t="s">
        <v>33</v>
      </c>
      <c r="V42" s="329" t="s">
        <v>435</v>
      </c>
      <c r="W42" s="329" t="s">
        <v>435</v>
      </c>
      <c r="X42" s="329" t="s">
        <v>435</v>
      </c>
      <c r="Y42" s="10"/>
      <c r="Z42" s="329" t="s">
        <v>435</v>
      </c>
      <c r="AA42" s="349"/>
      <c r="AD42" s="48"/>
      <c r="AE42" s="48"/>
      <c r="AF42" s="48"/>
      <c r="AG42" s="48"/>
    </row>
    <row r="43">
      <c r="A43" s="319" t="s">
        <v>39</v>
      </c>
      <c r="B43" s="329"/>
      <c r="C43" s="44" t="s">
        <v>435</v>
      </c>
      <c r="D43" s="44" t="s">
        <v>435</v>
      </c>
      <c r="E43" s="44" t="s">
        <v>435</v>
      </c>
      <c r="G43" s="319" t="s">
        <v>39</v>
      </c>
      <c r="H43" s="44" t="s">
        <v>435</v>
      </c>
      <c r="I43" s="44" t="s">
        <v>435</v>
      </c>
      <c r="J43" s="44" t="s">
        <v>435</v>
      </c>
      <c r="K43" s="44" t="s">
        <v>435</v>
      </c>
      <c r="L43" s="48"/>
      <c r="N43" s="319" t="s">
        <v>39</v>
      </c>
      <c r="O43" s="33" t="s">
        <v>1777</v>
      </c>
      <c r="P43" s="33" t="s">
        <v>1778</v>
      </c>
      <c r="Q43" s="329" t="s">
        <v>435</v>
      </c>
      <c r="R43" s="329" t="s">
        <v>435</v>
      </c>
      <c r="S43" s="348"/>
      <c r="U43" s="319" t="s">
        <v>39</v>
      </c>
      <c r="V43" s="71" t="s">
        <v>1779</v>
      </c>
      <c r="W43" s="329" t="s">
        <v>435</v>
      </c>
      <c r="X43" s="329" t="s">
        <v>435</v>
      </c>
      <c r="Y43" s="33" t="s">
        <v>435</v>
      </c>
      <c r="Z43" s="329" t="s">
        <v>435</v>
      </c>
      <c r="AA43" s="349"/>
      <c r="AD43" s="48"/>
      <c r="AE43" s="48"/>
      <c r="AF43" s="48"/>
      <c r="AG43" s="48"/>
    </row>
    <row r="44">
      <c r="A44" s="319" t="s">
        <v>45</v>
      </c>
      <c r="B44" s="329"/>
      <c r="C44" s="44" t="s">
        <v>435</v>
      </c>
      <c r="D44" s="44" t="s">
        <v>435</v>
      </c>
      <c r="E44" s="44" t="s">
        <v>435</v>
      </c>
      <c r="G44" s="319" t="s">
        <v>45</v>
      </c>
      <c r="H44" s="44" t="s">
        <v>435</v>
      </c>
      <c r="I44" s="44" t="s">
        <v>435</v>
      </c>
      <c r="J44" s="44" t="s">
        <v>435</v>
      </c>
      <c r="K44" s="44" t="s">
        <v>435</v>
      </c>
      <c r="L44" s="48"/>
      <c r="N44" s="319" t="s">
        <v>45</v>
      </c>
      <c r="O44" s="33" t="s">
        <v>1777</v>
      </c>
      <c r="P44" s="33" t="s">
        <v>1778</v>
      </c>
      <c r="Q44" s="329" t="s">
        <v>435</v>
      </c>
      <c r="R44" s="35" t="s">
        <v>961</v>
      </c>
      <c r="S44" s="348"/>
      <c r="U44" s="319" t="s">
        <v>45</v>
      </c>
      <c r="V44" s="71" t="s">
        <v>1779</v>
      </c>
      <c r="W44" s="35" t="s">
        <v>20</v>
      </c>
      <c r="X44" s="8" t="s">
        <v>1214</v>
      </c>
      <c r="Y44" s="329" t="s">
        <v>435</v>
      </c>
      <c r="Z44" s="329" t="s">
        <v>435</v>
      </c>
      <c r="AA44" s="48"/>
      <c r="AD44" s="48"/>
      <c r="AE44" s="48"/>
      <c r="AF44" s="48"/>
      <c r="AG44" s="48"/>
    </row>
    <row r="45">
      <c r="A45" s="319" t="s">
        <v>54</v>
      </c>
      <c r="B45" s="329"/>
      <c r="C45" s="44" t="s">
        <v>435</v>
      </c>
      <c r="D45" s="44" t="s">
        <v>435</v>
      </c>
      <c r="E45" s="44" t="s">
        <v>435</v>
      </c>
      <c r="G45" s="319" t="s">
        <v>54</v>
      </c>
      <c r="H45" s="44" t="s">
        <v>435</v>
      </c>
      <c r="I45" s="44" t="s">
        <v>435</v>
      </c>
      <c r="J45" s="44" t="s">
        <v>435</v>
      </c>
      <c r="K45" s="44" t="s">
        <v>435</v>
      </c>
      <c r="L45" s="48"/>
      <c r="M45" s="48"/>
      <c r="N45" s="319" t="s">
        <v>54</v>
      </c>
      <c r="O45" s="33" t="s">
        <v>1777</v>
      </c>
      <c r="P45" s="33" t="s">
        <v>1778</v>
      </c>
      <c r="Q45" s="329" t="s">
        <v>435</v>
      </c>
      <c r="R45" s="247" t="s">
        <v>976</v>
      </c>
      <c r="S45" s="348"/>
      <c r="U45" s="319" t="s">
        <v>54</v>
      </c>
      <c r="V45" s="71" t="s">
        <v>1779</v>
      </c>
      <c r="W45" s="21" t="s">
        <v>118</v>
      </c>
      <c r="X45" s="8" t="s">
        <v>268</v>
      </c>
      <c r="Y45" s="329" t="s">
        <v>435</v>
      </c>
      <c r="Z45" s="329" t="s">
        <v>435</v>
      </c>
      <c r="AA45" s="48"/>
      <c r="AD45" s="48"/>
      <c r="AE45" s="48"/>
      <c r="AF45" s="48"/>
      <c r="AG45" s="48"/>
    </row>
    <row r="46">
      <c r="A46" s="324">
        <v>0.7291666666666666</v>
      </c>
      <c r="B46" s="329"/>
      <c r="C46" s="44" t="s">
        <v>435</v>
      </c>
      <c r="D46" s="44" t="s">
        <v>435</v>
      </c>
      <c r="E46" s="44" t="s">
        <v>435</v>
      </c>
      <c r="G46" s="324">
        <v>0.7291666666666666</v>
      </c>
      <c r="H46" s="44" t="s">
        <v>435</v>
      </c>
      <c r="I46" s="44" t="s">
        <v>435</v>
      </c>
      <c r="J46" s="44" t="s">
        <v>435</v>
      </c>
      <c r="K46" s="44" t="s">
        <v>435</v>
      </c>
      <c r="L46" s="48"/>
      <c r="M46" s="48"/>
      <c r="N46" s="324">
        <v>0.7291666666666666</v>
      </c>
      <c r="O46" s="33" t="s">
        <v>1777</v>
      </c>
      <c r="P46" s="33" t="s">
        <v>1778</v>
      </c>
      <c r="Q46" s="329" t="s">
        <v>435</v>
      </c>
      <c r="R46" s="247" t="s">
        <v>994</v>
      </c>
      <c r="S46" s="348"/>
      <c r="U46" s="324">
        <v>0.7291666666666666</v>
      </c>
      <c r="V46" s="71" t="s">
        <v>1779</v>
      </c>
      <c r="W46" s="247" t="s">
        <v>143</v>
      </c>
      <c r="X46" s="8" t="s">
        <v>1242</v>
      </c>
      <c r="Y46" s="329" t="s">
        <v>435</v>
      </c>
      <c r="Z46" s="329" t="s">
        <v>435</v>
      </c>
      <c r="AA46" s="1"/>
      <c r="AF46" s="48"/>
      <c r="AG46" s="48"/>
    </row>
    <row r="47">
      <c r="A47" s="324">
        <v>0.7708333333333334</v>
      </c>
      <c r="B47" s="329"/>
      <c r="C47" s="44" t="s">
        <v>435</v>
      </c>
      <c r="D47" s="44" t="s">
        <v>435</v>
      </c>
      <c r="E47" s="44" t="s">
        <v>435</v>
      </c>
      <c r="G47" s="324">
        <v>0.7708333333333334</v>
      </c>
      <c r="H47" s="44" t="s">
        <v>435</v>
      </c>
      <c r="I47" s="44" t="s">
        <v>435</v>
      </c>
      <c r="J47" s="44" t="s">
        <v>435</v>
      </c>
      <c r="K47" s="44" t="s">
        <v>435</v>
      </c>
      <c r="L47" s="48"/>
      <c r="M47" s="68"/>
      <c r="N47" s="324">
        <v>0.7708333333333334</v>
      </c>
      <c r="O47" s="33" t="s">
        <v>1777</v>
      </c>
      <c r="P47" s="33" t="s">
        <v>1778</v>
      </c>
      <c r="Q47" s="35" t="s">
        <v>749</v>
      </c>
      <c r="R47" s="8" t="s">
        <v>525</v>
      </c>
      <c r="S47" s="348"/>
      <c r="U47" s="324">
        <v>0.7708333333333334</v>
      </c>
      <c r="V47" s="71" t="s">
        <v>1779</v>
      </c>
      <c r="W47" s="35" t="s">
        <v>1188</v>
      </c>
      <c r="X47" s="247" t="s">
        <v>850</v>
      </c>
      <c r="Y47" s="9" t="s">
        <v>435</v>
      </c>
      <c r="Z47" s="329" t="s">
        <v>435</v>
      </c>
      <c r="AA47" s="68"/>
      <c r="AF47" s="48"/>
      <c r="AG47" s="48"/>
    </row>
    <row r="48">
      <c r="A48" s="324">
        <v>0.8125</v>
      </c>
      <c r="B48" s="44" t="s">
        <v>435</v>
      </c>
      <c r="C48" s="44" t="s">
        <v>435</v>
      </c>
      <c r="D48" s="44" t="s">
        <v>435</v>
      </c>
      <c r="E48" s="44" t="s">
        <v>435</v>
      </c>
      <c r="G48" s="324">
        <v>0.8125</v>
      </c>
      <c r="H48" s="44" t="s">
        <v>435</v>
      </c>
      <c r="I48" s="44" t="s">
        <v>435</v>
      </c>
      <c r="J48" s="44" t="s">
        <v>435</v>
      </c>
      <c r="K48" s="44" t="s">
        <v>435</v>
      </c>
      <c r="L48" s="48"/>
      <c r="M48" s="68"/>
      <c r="N48" s="324">
        <v>0.8125</v>
      </c>
      <c r="O48" s="33" t="s">
        <v>1777</v>
      </c>
      <c r="P48" s="33" t="s">
        <v>1778</v>
      </c>
      <c r="Q48" s="35" t="s">
        <v>319</v>
      </c>
      <c r="R48" s="21" t="s">
        <v>362</v>
      </c>
      <c r="S48" s="348"/>
      <c r="U48" s="324">
        <v>0.8125</v>
      </c>
      <c r="V48" s="71" t="s">
        <v>1779</v>
      </c>
      <c r="W48" s="247" t="s">
        <v>874</v>
      </c>
      <c r="X48" s="350" t="s">
        <v>126</v>
      </c>
      <c r="Y48" s="9" t="s">
        <v>435</v>
      </c>
      <c r="Z48" s="329" t="s">
        <v>435</v>
      </c>
      <c r="AA48" s="68"/>
      <c r="AF48" s="48"/>
      <c r="AG48" s="48"/>
    </row>
    <row r="49">
      <c r="A49" s="324">
        <v>0.8541666666666666</v>
      </c>
      <c r="B49" s="44" t="s">
        <v>435</v>
      </c>
      <c r="C49" s="44" t="s">
        <v>435</v>
      </c>
      <c r="D49" s="44" t="s">
        <v>435</v>
      </c>
      <c r="E49" s="44" t="s">
        <v>435</v>
      </c>
      <c r="G49" s="324">
        <v>0.8541666666666666</v>
      </c>
      <c r="H49" s="44" t="s">
        <v>435</v>
      </c>
      <c r="I49" s="44" t="s">
        <v>435</v>
      </c>
      <c r="J49" s="44" t="s">
        <v>435</v>
      </c>
      <c r="K49" s="44" t="s">
        <v>435</v>
      </c>
      <c r="L49" s="48"/>
      <c r="M49" s="68"/>
      <c r="N49" s="324">
        <v>0.8541666666666666</v>
      </c>
      <c r="O49" s="33" t="s">
        <v>1777</v>
      </c>
      <c r="P49" s="33" t="s">
        <v>1778</v>
      </c>
      <c r="Q49" s="35" t="s">
        <v>898</v>
      </c>
      <c r="R49" s="33" t="s">
        <v>435</v>
      </c>
      <c r="S49" s="348"/>
      <c r="U49" s="324">
        <v>0.8541666666666666</v>
      </c>
      <c r="V49" s="71" t="s">
        <v>1779</v>
      </c>
      <c r="W49" s="9" t="s">
        <v>435</v>
      </c>
      <c r="X49" s="350" t="s">
        <v>1078</v>
      </c>
      <c r="Y49" s="9" t="s">
        <v>435</v>
      </c>
      <c r="Z49" s="329" t="s">
        <v>435</v>
      </c>
      <c r="AA49" s="68"/>
      <c r="AF49" s="48"/>
      <c r="AG49" s="48"/>
    </row>
    <row r="50">
      <c r="L50" s="48"/>
      <c r="M50" s="68"/>
      <c r="Z50" s="48"/>
      <c r="AA50" s="68"/>
      <c r="AF50" s="48"/>
      <c r="AG50" s="48"/>
    </row>
    <row r="51">
      <c r="L51" s="48"/>
      <c r="M51" s="68"/>
      <c r="Z51" s="48"/>
      <c r="AA51" s="68"/>
      <c r="AF51" s="48"/>
      <c r="AG51" s="48"/>
    </row>
    <row r="52">
      <c r="A52" s="48"/>
      <c r="B52" s="351">
        <v>46113.0</v>
      </c>
      <c r="C52" s="351">
        <v>46114.0</v>
      </c>
      <c r="D52" s="351">
        <v>46115.0</v>
      </c>
      <c r="G52" s="345"/>
      <c r="H52" s="351">
        <v>46119.0</v>
      </c>
      <c r="I52" s="352" t="s">
        <v>1780</v>
      </c>
      <c r="J52" s="351">
        <v>46121.0</v>
      </c>
      <c r="K52" s="351">
        <v>46122.0</v>
      </c>
      <c r="L52" s="48"/>
      <c r="M52" s="68"/>
      <c r="N52" s="345"/>
      <c r="O52" s="351">
        <v>46126.0</v>
      </c>
      <c r="P52" s="351">
        <v>46127.0</v>
      </c>
      <c r="Q52" s="351">
        <v>46128.0</v>
      </c>
      <c r="R52" s="351">
        <v>46129.0</v>
      </c>
      <c r="S52" s="351">
        <v>46130.0</v>
      </c>
      <c r="Z52" s="48"/>
      <c r="AA52" s="68"/>
      <c r="AF52" s="48"/>
      <c r="AG52" s="48"/>
    </row>
    <row r="53">
      <c r="A53" s="319" t="s">
        <v>0</v>
      </c>
      <c r="B53" s="329"/>
      <c r="C53" s="43" t="s">
        <v>1781</v>
      </c>
      <c r="D53" s="329"/>
      <c r="G53" s="110" t="s">
        <v>0</v>
      </c>
      <c r="H53" s="329"/>
      <c r="I53" s="21" t="s">
        <v>899</v>
      </c>
      <c r="J53" s="329"/>
      <c r="K53" s="8" t="s">
        <v>746</v>
      </c>
      <c r="L53" s="48"/>
      <c r="M53" s="68"/>
      <c r="N53" s="110" t="s">
        <v>0</v>
      </c>
      <c r="O53" s="8" t="s">
        <v>163</v>
      </c>
      <c r="P53" s="9"/>
      <c r="Q53" s="9"/>
      <c r="R53" s="8" t="s">
        <v>877</v>
      </c>
      <c r="U53" s="345"/>
      <c r="V53" s="351">
        <v>46133.0</v>
      </c>
      <c r="W53" s="352" t="s">
        <v>1782</v>
      </c>
      <c r="X53" s="351">
        <v>46135.0</v>
      </c>
      <c r="Y53" s="351">
        <v>46136.0</v>
      </c>
      <c r="Z53" s="48"/>
      <c r="AA53" s="68"/>
      <c r="AB53" s="345"/>
      <c r="AC53" s="351">
        <v>46140.0</v>
      </c>
      <c r="AD53" s="351">
        <v>46141.0</v>
      </c>
      <c r="AE53" s="351">
        <v>46142.0</v>
      </c>
      <c r="AF53" s="48"/>
      <c r="AG53" s="48"/>
    </row>
    <row r="54">
      <c r="A54" s="319" t="s">
        <v>5</v>
      </c>
      <c r="B54" s="329"/>
      <c r="C54" s="43" t="s">
        <v>1781</v>
      </c>
      <c r="D54" s="329"/>
      <c r="G54" s="113" t="s">
        <v>5</v>
      </c>
      <c r="H54" s="33"/>
      <c r="I54" s="21" t="s">
        <v>893</v>
      </c>
      <c r="J54" s="329"/>
      <c r="K54" s="8" t="s">
        <v>877</v>
      </c>
      <c r="L54" s="48"/>
      <c r="M54" s="68"/>
      <c r="N54" s="113" t="s">
        <v>5</v>
      </c>
      <c r="O54" s="8" t="s">
        <v>7</v>
      </c>
      <c r="P54" s="9"/>
      <c r="Q54" s="9"/>
      <c r="R54" s="247" t="s">
        <v>1403</v>
      </c>
      <c r="S54" s="50" t="s">
        <v>20</v>
      </c>
      <c r="U54" s="110" t="s">
        <v>0</v>
      </c>
      <c r="V54" s="329"/>
      <c r="W54" s="8" t="s">
        <v>7</v>
      </c>
      <c r="X54" s="329"/>
      <c r="Y54" s="10"/>
      <c r="Z54" s="48"/>
      <c r="AA54" s="68"/>
      <c r="AB54" s="110" t="s">
        <v>0</v>
      </c>
      <c r="AC54" s="33"/>
      <c r="AD54" s="247" t="s">
        <v>1639</v>
      </c>
      <c r="AE54" s="9"/>
      <c r="AF54" s="48"/>
      <c r="AG54" s="48"/>
    </row>
    <row r="55">
      <c r="A55" s="319" t="s">
        <v>13</v>
      </c>
      <c r="B55" s="329"/>
      <c r="C55" s="43" t="s">
        <v>1781</v>
      </c>
      <c r="D55" s="329"/>
      <c r="G55" s="113" t="s">
        <v>13</v>
      </c>
      <c r="H55" s="329"/>
      <c r="J55" s="329"/>
      <c r="L55" s="48"/>
      <c r="M55" s="68"/>
      <c r="N55" s="113" t="s">
        <v>13</v>
      </c>
      <c r="O55" s="247" t="s">
        <v>1202</v>
      </c>
      <c r="P55" s="9"/>
      <c r="Q55" s="9"/>
      <c r="R55" s="329"/>
      <c r="S55" s="50" t="s">
        <v>1110</v>
      </c>
      <c r="U55" s="113" t="s">
        <v>5</v>
      </c>
      <c r="V55" s="329"/>
      <c r="W55" s="35" t="s">
        <v>2</v>
      </c>
      <c r="X55" s="329"/>
      <c r="Y55" s="194"/>
      <c r="Z55" s="48"/>
      <c r="AA55" s="68"/>
      <c r="AB55" s="113" t="s">
        <v>5</v>
      </c>
      <c r="AC55" s="33"/>
      <c r="AD55" s="247" t="s">
        <v>1403</v>
      </c>
      <c r="AE55" s="9"/>
      <c r="AF55" s="48"/>
      <c r="AG55" s="48"/>
    </row>
    <row r="56">
      <c r="A56" s="319" t="s">
        <v>19</v>
      </c>
      <c r="B56" s="329"/>
      <c r="C56" s="43" t="s">
        <v>1781</v>
      </c>
      <c r="D56" s="329"/>
      <c r="G56" s="113" t="s">
        <v>19</v>
      </c>
      <c r="H56" s="329"/>
      <c r="I56" s="21" t="s">
        <v>771</v>
      </c>
      <c r="J56" s="329"/>
      <c r="K56" s="8" t="s">
        <v>1133</v>
      </c>
      <c r="L56" s="48"/>
      <c r="M56" s="68"/>
      <c r="N56" s="113" t="s">
        <v>19</v>
      </c>
      <c r="O56" s="247" t="s">
        <v>824</v>
      </c>
      <c r="P56" s="9"/>
      <c r="Q56" s="9"/>
      <c r="R56" s="247" t="s">
        <v>14</v>
      </c>
      <c r="U56" s="113" t="s">
        <v>13</v>
      </c>
      <c r="V56" s="329"/>
      <c r="X56" s="353"/>
      <c r="Y56" s="21" t="s">
        <v>1577</v>
      </c>
      <c r="Z56" s="48"/>
      <c r="AA56" s="68"/>
      <c r="AB56" s="113" t="s">
        <v>13</v>
      </c>
      <c r="AC56" s="33"/>
      <c r="AD56" s="8" t="s">
        <v>877</v>
      </c>
      <c r="AE56" s="9"/>
      <c r="AF56" s="48"/>
      <c r="AG56" s="48"/>
    </row>
    <row r="57">
      <c r="A57" s="321" t="s">
        <v>27</v>
      </c>
      <c r="B57" s="329"/>
      <c r="C57" s="43" t="s">
        <v>1781</v>
      </c>
      <c r="D57" s="329"/>
      <c r="G57" s="117" t="s">
        <v>27</v>
      </c>
      <c r="H57" s="329"/>
      <c r="I57" s="8" t="s">
        <v>51</v>
      </c>
      <c r="J57" s="329"/>
      <c r="K57" s="247" t="s">
        <v>67</v>
      </c>
      <c r="L57" s="48"/>
      <c r="M57" s="68"/>
      <c r="N57" s="117" t="s">
        <v>27</v>
      </c>
      <c r="O57" s="21" t="s">
        <v>21</v>
      </c>
      <c r="P57" s="9"/>
      <c r="Q57" s="9"/>
      <c r="R57" s="33"/>
      <c r="U57" s="113" t="s">
        <v>19</v>
      </c>
      <c r="V57" s="33"/>
      <c r="W57" s="247" t="s">
        <v>15</v>
      </c>
      <c r="X57" s="329"/>
      <c r="Y57" s="194"/>
      <c r="Z57" s="48"/>
      <c r="AA57" s="68"/>
      <c r="AB57" s="113" t="s">
        <v>19</v>
      </c>
      <c r="AC57" s="33"/>
      <c r="AD57" s="247" t="s">
        <v>1657</v>
      </c>
      <c r="AE57" s="9"/>
      <c r="AF57" s="48"/>
      <c r="AG57" s="48"/>
    </row>
    <row r="58">
      <c r="A58" s="321" t="s">
        <v>33</v>
      </c>
      <c r="B58" s="329"/>
      <c r="C58" s="43" t="s">
        <v>1781</v>
      </c>
      <c r="D58" s="329"/>
      <c r="G58" s="117" t="s">
        <v>33</v>
      </c>
      <c r="H58" s="329"/>
      <c r="I58" s="22"/>
      <c r="J58" s="329"/>
      <c r="K58" s="354"/>
      <c r="L58" s="48"/>
      <c r="M58" s="48"/>
      <c r="N58" s="117" t="s">
        <v>33</v>
      </c>
      <c r="O58" s="330" t="s">
        <v>15</v>
      </c>
      <c r="P58" s="9"/>
      <c r="Q58" s="9"/>
      <c r="U58" s="117" t="s">
        <v>1783</v>
      </c>
      <c r="V58" s="33"/>
      <c r="W58" s="330" t="s">
        <v>51</v>
      </c>
      <c r="X58" s="329"/>
      <c r="Y58" s="247" t="s">
        <v>20</v>
      </c>
      <c r="Z58" s="48"/>
      <c r="AA58" s="48"/>
      <c r="AB58" s="117" t="s">
        <v>27</v>
      </c>
      <c r="AC58" s="33"/>
      <c r="AD58" s="16"/>
      <c r="AE58" s="9"/>
      <c r="AF58" s="48"/>
      <c r="AG58" s="48"/>
    </row>
    <row r="59">
      <c r="A59" s="319" t="s">
        <v>39</v>
      </c>
      <c r="B59" s="43" t="s">
        <v>1781</v>
      </c>
      <c r="C59" s="9"/>
      <c r="D59" s="43" t="s">
        <v>1781</v>
      </c>
      <c r="G59" s="113" t="s">
        <v>39</v>
      </c>
      <c r="H59" s="329"/>
      <c r="I59" s="9"/>
      <c r="J59" s="9"/>
      <c r="K59" s="33"/>
      <c r="L59" s="48"/>
      <c r="M59" s="48"/>
      <c r="N59" s="113" t="s">
        <v>39</v>
      </c>
      <c r="O59" s="33"/>
      <c r="P59" s="21" t="s">
        <v>28</v>
      </c>
      <c r="Q59" s="9"/>
      <c r="R59" s="33"/>
      <c r="U59" s="117" t="s">
        <v>33</v>
      </c>
      <c r="V59" s="33"/>
      <c r="X59" s="329"/>
      <c r="Y59" s="202"/>
      <c r="Z59" s="48"/>
      <c r="AA59" s="48"/>
      <c r="AB59" s="117" t="s">
        <v>33</v>
      </c>
      <c r="AC59" s="33"/>
      <c r="AD59" s="247" t="s">
        <v>62</v>
      </c>
      <c r="AE59" s="9"/>
      <c r="AF59" s="48"/>
      <c r="AG59" s="48"/>
    </row>
    <row r="60">
      <c r="A60" s="319" t="s">
        <v>45</v>
      </c>
      <c r="B60" s="43" t="s">
        <v>1781</v>
      </c>
      <c r="C60" s="9"/>
      <c r="D60" s="43" t="s">
        <v>1781</v>
      </c>
      <c r="E60" s="48"/>
      <c r="F60" s="48"/>
      <c r="G60" s="113" t="s">
        <v>45</v>
      </c>
      <c r="H60" s="8" t="s">
        <v>6</v>
      </c>
      <c r="I60" s="9"/>
      <c r="J60" s="21" t="s">
        <v>101</v>
      </c>
      <c r="K60" s="9"/>
      <c r="L60" s="48"/>
      <c r="M60" s="48"/>
      <c r="N60" s="113" t="s">
        <v>45</v>
      </c>
      <c r="O60" s="33" t="s">
        <v>1784</v>
      </c>
      <c r="P60" s="247" t="s">
        <v>57</v>
      </c>
      <c r="Q60" s="355" t="s">
        <v>1014</v>
      </c>
      <c r="R60" s="33"/>
      <c r="T60" s="1"/>
      <c r="U60" s="113" t="s">
        <v>39</v>
      </c>
      <c r="V60" s="247" t="s">
        <v>875</v>
      </c>
      <c r="W60" s="329"/>
      <c r="X60" s="329"/>
      <c r="Y60" s="329"/>
      <c r="Z60" s="1"/>
      <c r="AA60" s="1"/>
      <c r="AB60" s="113" t="s">
        <v>39</v>
      </c>
      <c r="AC60" s="35" t="s">
        <v>23</v>
      </c>
      <c r="AD60" s="33"/>
      <c r="AE60" s="9"/>
      <c r="AF60" s="1"/>
      <c r="AG60" s="48"/>
    </row>
    <row r="61">
      <c r="A61" s="319" t="s">
        <v>54</v>
      </c>
      <c r="B61" s="43" t="s">
        <v>1781</v>
      </c>
      <c r="C61" s="9"/>
      <c r="D61" s="43" t="s">
        <v>1781</v>
      </c>
      <c r="E61" s="48"/>
      <c r="F61" s="48"/>
      <c r="G61" s="113" t="s">
        <v>54</v>
      </c>
      <c r="H61" s="8" t="s">
        <v>268</v>
      </c>
      <c r="I61" s="9"/>
      <c r="J61" s="21" t="s">
        <v>20</v>
      </c>
      <c r="K61" s="9"/>
      <c r="L61" s="48"/>
      <c r="M61" s="48"/>
      <c r="N61" s="113" t="s">
        <v>54</v>
      </c>
      <c r="O61" s="33"/>
      <c r="P61" s="35" t="s">
        <v>825</v>
      </c>
      <c r="Q61" s="356" t="s">
        <v>2</v>
      </c>
      <c r="R61" s="329"/>
      <c r="S61" s="48"/>
      <c r="T61" s="1"/>
      <c r="U61" s="113" t="s">
        <v>45</v>
      </c>
      <c r="V61" s="35" t="s">
        <v>6</v>
      </c>
      <c r="W61" s="357" t="s">
        <v>1785</v>
      </c>
      <c r="X61" s="21" t="s">
        <v>1110</v>
      </c>
      <c r="Y61" s="329"/>
      <c r="Z61" s="1"/>
      <c r="AA61" s="1"/>
      <c r="AB61" s="113" t="s">
        <v>45</v>
      </c>
      <c r="AC61" s="358" t="s">
        <v>57</v>
      </c>
      <c r="AD61" s="33"/>
      <c r="AE61" s="21" t="s">
        <v>22</v>
      </c>
      <c r="AF61" s="1"/>
      <c r="AG61" s="48"/>
    </row>
    <row r="62">
      <c r="A62" s="324">
        <v>0.7291666666666666</v>
      </c>
      <c r="B62" s="43" t="s">
        <v>1781</v>
      </c>
      <c r="C62" s="9"/>
      <c r="D62" s="43" t="s">
        <v>1781</v>
      </c>
      <c r="G62" s="119">
        <v>0.7291666666666666</v>
      </c>
      <c r="H62" s="21" t="s">
        <v>100</v>
      </c>
      <c r="I62" s="9"/>
      <c r="J62" s="21" t="s">
        <v>1014</v>
      </c>
      <c r="K62" s="9"/>
      <c r="N62" s="119">
        <v>0.7291666666666666</v>
      </c>
      <c r="O62" s="33"/>
      <c r="P62" s="8" t="s">
        <v>749</v>
      </c>
      <c r="Q62" s="8" t="s">
        <v>143</v>
      </c>
      <c r="R62" s="329"/>
      <c r="U62" s="113" t="s">
        <v>54</v>
      </c>
      <c r="V62" s="35" t="s">
        <v>268</v>
      </c>
      <c r="W62" s="329"/>
      <c r="X62" s="247" t="s">
        <v>1257</v>
      </c>
      <c r="Y62" s="329"/>
      <c r="AB62" s="113" t="s">
        <v>54</v>
      </c>
      <c r="AC62" s="35" t="s">
        <v>1614</v>
      </c>
      <c r="AD62" s="33"/>
      <c r="AG62" s="48"/>
    </row>
    <row r="63">
      <c r="A63" s="324">
        <v>0.7708333333333334</v>
      </c>
      <c r="B63" s="43" t="s">
        <v>1781</v>
      </c>
      <c r="C63" s="9"/>
      <c r="D63" s="43" t="s">
        <v>1781</v>
      </c>
      <c r="G63" s="113" t="s">
        <v>71</v>
      </c>
      <c r="H63" s="35" t="s">
        <v>825</v>
      </c>
      <c r="I63" s="9"/>
      <c r="J63" s="35" t="s">
        <v>128</v>
      </c>
      <c r="K63" s="9"/>
      <c r="N63" s="113" t="s">
        <v>71</v>
      </c>
      <c r="O63" s="33"/>
      <c r="P63" s="247" t="s">
        <v>1322</v>
      </c>
      <c r="Q63" s="35" t="s">
        <v>128</v>
      </c>
      <c r="R63" s="329"/>
      <c r="U63" s="113" t="s">
        <v>64</v>
      </c>
      <c r="V63" s="35" t="s">
        <v>1461</v>
      </c>
      <c r="W63" s="329"/>
      <c r="X63" s="247" t="s">
        <v>1566</v>
      </c>
      <c r="Y63" s="329"/>
      <c r="AB63" s="117" t="s">
        <v>60</v>
      </c>
      <c r="AC63" s="237" t="s">
        <v>841</v>
      </c>
      <c r="AD63" s="33"/>
      <c r="AE63" s="21" t="s">
        <v>1672</v>
      </c>
      <c r="AG63" s="48"/>
    </row>
    <row r="64">
      <c r="A64" s="324">
        <v>0.8125</v>
      </c>
      <c r="B64" s="43" t="s">
        <v>1781</v>
      </c>
      <c r="C64" s="9"/>
      <c r="D64" s="43" t="s">
        <v>1781</v>
      </c>
      <c r="G64" s="113" t="s">
        <v>80</v>
      </c>
      <c r="H64" s="21" t="s">
        <v>851</v>
      </c>
      <c r="I64" s="359"/>
      <c r="J64" s="8" t="s">
        <v>898</v>
      </c>
      <c r="K64" s="9"/>
      <c r="N64" s="113" t="s">
        <v>80</v>
      </c>
      <c r="O64" s="33"/>
      <c r="P64" s="21" t="s">
        <v>126</v>
      </c>
      <c r="Q64" s="8" t="s">
        <v>851</v>
      </c>
      <c r="R64" s="33"/>
      <c r="U64" s="113" t="s">
        <v>71</v>
      </c>
      <c r="V64" s="360"/>
      <c r="W64" s="35" t="s">
        <v>82</v>
      </c>
      <c r="X64" s="35" t="s">
        <v>28</v>
      </c>
      <c r="Y64" s="329"/>
      <c r="AB64" s="113" t="s">
        <v>71</v>
      </c>
      <c r="AC64" s="247" t="s">
        <v>1630</v>
      </c>
      <c r="AD64" s="33"/>
      <c r="AE64" s="35" t="s">
        <v>1678</v>
      </c>
      <c r="AG64" s="48"/>
    </row>
    <row r="65">
      <c r="A65" s="324">
        <v>0.8541666666666666</v>
      </c>
      <c r="B65" s="43" t="s">
        <v>1781</v>
      </c>
      <c r="C65" s="9"/>
      <c r="D65" s="43" t="s">
        <v>1781</v>
      </c>
      <c r="G65" s="113" t="s">
        <v>95</v>
      </c>
      <c r="H65" s="247" t="s">
        <v>875</v>
      </c>
      <c r="I65" s="359"/>
      <c r="J65" s="21" t="s">
        <v>1078</v>
      </c>
      <c r="K65" s="9"/>
      <c r="N65" s="113" t="s">
        <v>95</v>
      </c>
      <c r="O65" s="33"/>
      <c r="P65" s="247" t="s">
        <v>874</v>
      </c>
      <c r="Q65" s="346"/>
      <c r="R65" s="33"/>
      <c r="U65" s="113" t="s">
        <v>80</v>
      </c>
      <c r="V65" s="360"/>
      <c r="W65" s="247" t="s">
        <v>1078</v>
      </c>
      <c r="Y65" s="329"/>
      <c r="AB65" s="113" t="s">
        <v>80</v>
      </c>
      <c r="AC65" s="35" t="s">
        <v>770</v>
      </c>
      <c r="AD65" s="9"/>
      <c r="AE65" s="247" t="s">
        <v>1687</v>
      </c>
      <c r="AG65" s="48"/>
    </row>
    <row r="66">
      <c r="AG66" s="48"/>
    </row>
    <row r="67">
      <c r="AG67" s="48"/>
    </row>
    <row r="68">
      <c r="AG68" s="48"/>
    </row>
    <row r="69">
      <c r="A69" s="345"/>
      <c r="B69" s="361">
        <v>46143.0</v>
      </c>
      <c r="C69" s="48"/>
      <c r="D69" s="48"/>
      <c r="E69" s="48"/>
      <c r="F69" s="48"/>
      <c r="G69" s="48"/>
      <c r="H69" s="362">
        <v>46146.0</v>
      </c>
      <c r="I69" s="363">
        <v>46147.0</v>
      </c>
      <c r="J69" s="363">
        <v>46148.0</v>
      </c>
      <c r="K69" s="363">
        <v>46149.0</v>
      </c>
      <c r="L69" s="363">
        <v>46150.0</v>
      </c>
      <c r="M69" s="48"/>
      <c r="N69" s="364"/>
      <c r="O69" s="363">
        <v>46153.0</v>
      </c>
      <c r="P69" s="363">
        <v>46154.0</v>
      </c>
      <c r="Q69" s="363">
        <v>46155.0</v>
      </c>
      <c r="R69" s="363">
        <v>46156.0</v>
      </c>
      <c r="S69" s="363">
        <v>46157.0</v>
      </c>
      <c r="T69" s="1"/>
      <c r="U69" s="1"/>
      <c r="V69" s="363">
        <v>46160.0</v>
      </c>
      <c r="W69" s="363">
        <v>46161.0</v>
      </c>
      <c r="X69" s="363">
        <v>46162.0</v>
      </c>
      <c r="Y69" s="363">
        <v>46163.0</v>
      </c>
      <c r="Z69" s="363">
        <v>46164.0</v>
      </c>
      <c r="AA69" s="363">
        <v>46165.0</v>
      </c>
      <c r="AC69" s="364"/>
      <c r="AD69" s="363">
        <v>46168.0</v>
      </c>
      <c r="AE69" s="363">
        <v>46169.0</v>
      </c>
      <c r="AF69" s="363">
        <v>46170.0</v>
      </c>
      <c r="AG69" s="363">
        <v>46171.0</v>
      </c>
    </row>
    <row r="70">
      <c r="A70" s="110" t="s">
        <v>0</v>
      </c>
      <c r="B70" s="9"/>
      <c r="C70" s="48"/>
      <c r="D70" s="48"/>
      <c r="E70" s="48"/>
      <c r="F70" s="48"/>
      <c r="G70" s="172" t="s">
        <v>0</v>
      </c>
      <c r="I70" s="9"/>
      <c r="K70" s="9"/>
      <c r="L70" s="35" t="s">
        <v>7</v>
      </c>
      <c r="M70" s="68"/>
      <c r="N70" s="305" t="s">
        <v>0</v>
      </c>
      <c r="O70" s="9"/>
      <c r="P70" s="9"/>
      <c r="Q70" s="21" t="s">
        <v>1382</v>
      </c>
      <c r="R70" s="9"/>
      <c r="S70" s="9"/>
      <c r="T70" s="68"/>
      <c r="U70" s="172" t="s">
        <v>0</v>
      </c>
      <c r="V70" s="9"/>
      <c r="W70" s="9"/>
      <c r="X70" s="9"/>
      <c r="Y70" s="9"/>
      <c r="Z70" s="35" t="s">
        <v>3</v>
      </c>
      <c r="AA70" s="17"/>
      <c r="AC70" s="172" t="s">
        <v>0</v>
      </c>
      <c r="AD70" s="44"/>
      <c r="AF70" s="44"/>
      <c r="AG70" s="21" t="s">
        <v>7</v>
      </c>
    </row>
    <row r="71">
      <c r="A71" s="113" t="s">
        <v>5</v>
      </c>
      <c r="B71" s="9"/>
      <c r="C71" s="48"/>
      <c r="D71" s="48"/>
      <c r="E71" s="48"/>
      <c r="F71" s="48"/>
      <c r="G71" s="172" t="s">
        <v>5</v>
      </c>
      <c r="I71" s="9"/>
      <c r="J71" s="16"/>
      <c r="K71" s="9"/>
      <c r="L71" s="22" t="s">
        <v>1149</v>
      </c>
      <c r="M71" s="68"/>
      <c r="N71" s="305" t="s">
        <v>5</v>
      </c>
      <c r="O71" s="33"/>
      <c r="P71" s="9"/>
      <c r="Q71" s="365" t="s">
        <v>7</v>
      </c>
      <c r="R71" s="9"/>
      <c r="S71" s="9"/>
      <c r="T71" s="68"/>
      <c r="U71" s="172" t="s">
        <v>5</v>
      </c>
      <c r="V71" s="9"/>
      <c r="W71" s="9"/>
      <c r="X71" s="9"/>
      <c r="Y71" s="33"/>
      <c r="Z71" s="342" t="s">
        <v>1403</v>
      </c>
      <c r="AA71" s="17"/>
      <c r="AC71" s="172" t="s">
        <v>5</v>
      </c>
      <c r="AD71" s="44"/>
      <c r="AE71" s="247" t="s">
        <v>40</v>
      </c>
      <c r="AF71" s="44"/>
      <c r="AG71" s="8" t="s">
        <v>893</v>
      </c>
    </row>
    <row r="72">
      <c r="A72" s="113" t="s">
        <v>13</v>
      </c>
      <c r="B72" s="9"/>
      <c r="C72" s="48"/>
      <c r="D72" s="48"/>
      <c r="E72" s="48"/>
      <c r="F72" s="48"/>
      <c r="G72" s="172" t="s">
        <v>13</v>
      </c>
      <c r="I72" s="9"/>
      <c r="J72" s="247" t="s">
        <v>853</v>
      </c>
      <c r="K72" s="9"/>
      <c r="L72" s="35" t="s">
        <v>1171</v>
      </c>
      <c r="M72" s="68"/>
      <c r="N72" s="305" t="s">
        <v>13</v>
      </c>
      <c r="O72" s="9"/>
      <c r="P72" s="9"/>
      <c r="Q72" s="35" t="s">
        <v>1403</v>
      </c>
      <c r="R72" s="9"/>
      <c r="S72" s="9"/>
      <c r="T72" s="68"/>
      <c r="U72" s="172" t="s">
        <v>13</v>
      </c>
      <c r="V72" s="9"/>
      <c r="W72" s="9"/>
      <c r="X72" s="9"/>
      <c r="Y72" s="9"/>
      <c r="Z72" s="350"/>
      <c r="AA72" s="8" t="s">
        <v>1578</v>
      </c>
      <c r="AC72" s="172" t="s">
        <v>13</v>
      </c>
      <c r="AD72" s="44"/>
      <c r="AE72" s="21" t="s">
        <v>1644</v>
      </c>
      <c r="AF72" s="44"/>
      <c r="AG72" s="366" t="s">
        <v>1692</v>
      </c>
    </row>
    <row r="73">
      <c r="A73" s="113" t="s">
        <v>19</v>
      </c>
      <c r="B73" s="9"/>
      <c r="C73" s="48"/>
      <c r="D73" s="48"/>
      <c r="E73" s="48"/>
      <c r="F73" s="48"/>
      <c r="G73" s="172" t="s">
        <v>19</v>
      </c>
      <c r="I73" s="9"/>
      <c r="J73" s="8" t="s">
        <v>22</v>
      </c>
      <c r="K73" s="9"/>
      <c r="L73" s="35" t="s">
        <v>16</v>
      </c>
      <c r="M73" s="68"/>
      <c r="N73" s="305" t="s">
        <v>19</v>
      </c>
      <c r="O73" s="9"/>
      <c r="P73" s="9"/>
      <c r="Q73" s="35" t="s">
        <v>824</v>
      </c>
      <c r="R73" s="9"/>
      <c r="S73" s="9"/>
      <c r="T73" s="68"/>
      <c r="U73" s="172" t="s">
        <v>19</v>
      </c>
      <c r="V73" s="9"/>
      <c r="W73" s="9"/>
      <c r="X73" s="21" t="s">
        <v>22</v>
      </c>
      <c r="Y73" s="9"/>
      <c r="Z73" s="247" t="s">
        <v>15</v>
      </c>
      <c r="AA73" s="247" t="s">
        <v>82</v>
      </c>
      <c r="AC73" s="172" t="s">
        <v>19</v>
      </c>
      <c r="AD73" s="44"/>
      <c r="AE73" s="35" t="s">
        <v>824</v>
      </c>
      <c r="AF73" s="44"/>
      <c r="AG73" s="8" t="s">
        <v>20</v>
      </c>
    </row>
    <row r="74">
      <c r="A74" s="117" t="s">
        <v>27</v>
      </c>
      <c r="B74" s="9"/>
      <c r="C74" s="48"/>
      <c r="D74" s="48"/>
      <c r="E74" s="48"/>
      <c r="F74" s="48"/>
      <c r="G74" s="172" t="s">
        <v>27</v>
      </c>
      <c r="I74" s="9"/>
      <c r="J74" s="247" t="s">
        <v>20</v>
      </c>
      <c r="K74" s="9"/>
      <c r="L74" s="35" t="s">
        <v>73</v>
      </c>
      <c r="M74" s="68"/>
      <c r="N74" s="305" t="s">
        <v>27</v>
      </c>
      <c r="O74" s="9"/>
      <c r="P74" s="9"/>
      <c r="Q74" s="21" t="s">
        <v>1110</v>
      </c>
      <c r="R74" s="9"/>
      <c r="S74" s="9"/>
      <c r="T74" s="68"/>
      <c r="U74" s="172" t="s">
        <v>27</v>
      </c>
      <c r="V74" s="9"/>
      <c r="W74" s="9"/>
      <c r="X74" s="247" t="s">
        <v>7</v>
      </c>
      <c r="Y74" s="9"/>
      <c r="Z74" s="21" t="s">
        <v>20</v>
      </c>
      <c r="AA74" s="17"/>
      <c r="AC74" s="172" t="s">
        <v>27</v>
      </c>
      <c r="AD74" s="44"/>
      <c r="AF74" s="44"/>
      <c r="AG74" s="367" t="s">
        <v>901</v>
      </c>
    </row>
    <row r="75">
      <c r="A75" s="117" t="s">
        <v>33</v>
      </c>
      <c r="B75" s="9"/>
      <c r="C75" s="48"/>
      <c r="D75" s="48"/>
      <c r="E75" s="48"/>
      <c r="F75" s="48"/>
      <c r="G75" s="172" t="s">
        <v>33</v>
      </c>
      <c r="I75" s="9"/>
      <c r="J75" s="35" t="s">
        <v>62</v>
      </c>
      <c r="K75" s="9"/>
      <c r="L75" s="35" t="s">
        <v>36</v>
      </c>
      <c r="M75" s="68"/>
      <c r="N75" s="305" t="s">
        <v>33</v>
      </c>
      <c r="O75" s="9"/>
      <c r="P75" s="9"/>
      <c r="Q75" s="35" t="s">
        <v>62</v>
      </c>
      <c r="R75" s="33" t="s">
        <v>1786</v>
      </c>
      <c r="S75" s="33" t="s">
        <v>1786</v>
      </c>
      <c r="T75" s="68"/>
      <c r="U75" s="172" t="s">
        <v>33</v>
      </c>
      <c r="V75" s="9"/>
      <c r="W75" s="9"/>
      <c r="X75" s="8" t="s">
        <v>67</v>
      </c>
      <c r="Y75" s="9"/>
      <c r="Z75" s="21" t="s">
        <v>1043</v>
      </c>
      <c r="AA75" s="17"/>
      <c r="AC75" s="172" t="s">
        <v>33</v>
      </c>
      <c r="AD75" s="44"/>
      <c r="AE75" s="350" t="s">
        <v>962</v>
      </c>
      <c r="AF75" s="9"/>
      <c r="AG75" s="35" t="s">
        <v>15</v>
      </c>
    </row>
    <row r="76">
      <c r="A76" s="113" t="s">
        <v>39</v>
      </c>
      <c r="B76" s="9"/>
      <c r="C76" s="48"/>
      <c r="D76" s="48"/>
      <c r="E76" s="48"/>
      <c r="F76" s="48"/>
      <c r="G76" s="172" t="s">
        <v>39</v>
      </c>
      <c r="I76" s="21" t="s">
        <v>797</v>
      </c>
      <c r="J76" s="9"/>
      <c r="K76" s="9"/>
      <c r="L76" s="9"/>
      <c r="M76" s="68"/>
      <c r="N76" s="305" t="s">
        <v>39</v>
      </c>
      <c r="O76" s="8" t="s">
        <v>67</v>
      </c>
      <c r="P76" s="8" t="s">
        <v>23</v>
      </c>
      <c r="Q76" s="116"/>
      <c r="R76" s="9"/>
      <c r="S76" s="9"/>
      <c r="T76" s="68"/>
      <c r="U76" s="172" t="s">
        <v>39</v>
      </c>
      <c r="V76" s="66"/>
      <c r="W76" s="9"/>
      <c r="X76" s="9"/>
      <c r="Y76" s="9"/>
      <c r="Z76" s="9"/>
      <c r="AA76" s="277"/>
      <c r="AC76" s="172" t="s">
        <v>39</v>
      </c>
      <c r="AD76" s="8" t="s">
        <v>23</v>
      </c>
      <c r="AE76" s="44"/>
      <c r="AF76" s="9"/>
      <c r="AG76" s="9"/>
    </row>
    <row r="77">
      <c r="A77" s="113" t="s">
        <v>45</v>
      </c>
      <c r="B77" s="9"/>
      <c r="C77" s="48"/>
      <c r="D77" s="48"/>
      <c r="E77" s="48"/>
      <c r="F77" s="48"/>
      <c r="G77" s="172" t="s">
        <v>45</v>
      </c>
      <c r="I77" s="8" t="s">
        <v>161</v>
      </c>
      <c r="J77" s="9"/>
      <c r="K77" s="35" t="s">
        <v>1042</v>
      </c>
      <c r="L77" s="9"/>
      <c r="M77" s="68"/>
      <c r="N77" s="305" t="s">
        <v>45</v>
      </c>
      <c r="P77" s="35" t="s">
        <v>34</v>
      </c>
      <c r="Q77" s="65"/>
      <c r="R77" s="9"/>
      <c r="S77" s="9"/>
      <c r="T77" s="68"/>
      <c r="U77" s="172" t="s">
        <v>45</v>
      </c>
      <c r="V77" s="28"/>
      <c r="W77" s="33" t="s">
        <v>1787</v>
      </c>
      <c r="X77" s="9"/>
      <c r="Y77" s="8" t="s">
        <v>1521</v>
      </c>
      <c r="Z77" s="33"/>
      <c r="AC77" s="172" t="s">
        <v>45</v>
      </c>
      <c r="AD77" s="8" t="s">
        <v>161</v>
      </c>
      <c r="AE77" s="44"/>
      <c r="AF77" s="21" t="s">
        <v>1663</v>
      </c>
      <c r="AG77" s="9"/>
    </row>
    <row r="78">
      <c r="A78" s="113" t="s">
        <v>54</v>
      </c>
      <c r="B78" s="9"/>
      <c r="C78" s="48"/>
      <c r="D78" s="48"/>
      <c r="E78" s="48"/>
      <c r="F78" s="48"/>
      <c r="G78" s="172" t="s">
        <v>54</v>
      </c>
      <c r="H78" s="21" t="s">
        <v>748</v>
      </c>
      <c r="I78" s="8" t="s">
        <v>852</v>
      </c>
      <c r="J78" s="9"/>
      <c r="K78" s="35" t="s">
        <v>58</v>
      </c>
      <c r="L78" s="9"/>
      <c r="M78" s="68"/>
      <c r="N78" s="305" t="s">
        <v>54</v>
      </c>
      <c r="O78" s="35" t="s">
        <v>868</v>
      </c>
      <c r="P78" s="35" t="s">
        <v>1337</v>
      </c>
      <c r="Q78" s="368"/>
      <c r="R78" s="9"/>
      <c r="S78" s="9"/>
      <c r="T78" s="68"/>
      <c r="U78" s="172" t="s">
        <v>54</v>
      </c>
      <c r="V78" s="247" t="s">
        <v>69</v>
      </c>
      <c r="W78" s="9"/>
      <c r="X78" s="9"/>
      <c r="Y78" s="21" t="s">
        <v>57</v>
      </c>
      <c r="Z78" s="9"/>
      <c r="AA78" s="277"/>
      <c r="AC78" s="172" t="s">
        <v>54</v>
      </c>
      <c r="AD78" s="21" t="s">
        <v>99</v>
      </c>
      <c r="AE78" s="44"/>
      <c r="AF78" s="21" t="s">
        <v>1666</v>
      </c>
      <c r="AG78" s="9"/>
    </row>
    <row r="79">
      <c r="A79" s="369">
        <v>0.7083333333333334</v>
      </c>
      <c r="B79" s="9"/>
      <c r="C79" s="48"/>
      <c r="D79" s="48"/>
      <c r="E79" s="48"/>
      <c r="F79" s="48"/>
      <c r="G79" s="172" t="s">
        <v>64</v>
      </c>
      <c r="I79" s="21" t="s">
        <v>876</v>
      </c>
      <c r="J79" s="9"/>
      <c r="K79" s="247" t="s">
        <v>1079</v>
      </c>
      <c r="L79" s="9"/>
      <c r="M79" s="68"/>
      <c r="N79" s="324">
        <v>0.7291666666666666</v>
      </c>
      <c r="O79" s="247" t="s">
        <v>1258</v>
      </c>
      <c r="P79" s="35" t="s">
        <v>1346</v>
      </c>
      <c r="Q79" s="116"/>
      <c r="R79" s="9"/>
      <c r="S79" s="9"/>
      <c r="T79" s="68"/>
      <c r="U79" s="172" t="s">
        <v>64</v>
      </c>
      <c r="V79" s="247" t="s">
        <v>1470</v>
      </c>
      <c r="W79" s="9"/>
      <c r="X79" s="9"/>
      <c r="Y79" s="21" t="s">
        <v>1541</v>
      </c>
      <c r="Z79" s="9"/>
      <c r="AA79" s="277"/>
      <c r="AC79" s="172" t="s">
        <v>64</v>
      </c>
      <c r="AD79" s="35" t="s">
        <v>1461</v>
      </c>
      <c r="AE79" s="44"/>
      <c r="AG79" s="9"/>
    </row>
    <row r="80">
      <c r="A80" s="113" t="s">
        <v>71</v>
      </c>
      <c r="B80" s="9"/>
      <c r="C80" s="48"/>
      <c r="D80" s="48"/>
      <c r="E80" s="48"/>
      <c r="F80" s="48"/>
      <c r="G80" s="172" t="s">
        <v>71</v>
      </c>
      <c r="H80" s="21" t="s">
        <v>772</v>
      </c>
      <c r="I80" s="21" t="s">
        <v>900</v>
      </c>
      <c r="J80" s="9"/>
      <c r="K80" s="8" t="s">
        <v>1092</v>
      </c>
      <c r="L80" s="9"/>
      <c r="M80" s="68"/>
      <c r="N80" s="305" t="s">
        <v>71</v>
      </c>
      <c r="O80" s="21" t="s">
        <v>1269</v>
      </c>
      <c r="P80" s="8" t="s">
        <v>1354</v>
      </c>
      <c r="Q80" s="116"/>
      <c r="R80" s="9"/>
      <c r="S80" s="9"/>
      <c r="T80" s="68"/>
      <c r="U80" s="172" t="s">
        <v>71</v>
      </c>
      <c r="V80" s="21" t="s">
        <v>1481</v>
      </c>
      <c r="W80" s="9"/>
      <c r="X80" s="9"/>
      <c r="Y80" s="9"/>
      <c r="Z80" s="9"/>
      <c r="AC80" s="172" t="s">
        <v>71</v>
      </c>
      <c r="AD80" s="279" t="s">
        <v>875</v>
      </c>
      <c r="AE80" s="44"/>
      <c r="AF80" s="8" t="s">
        <v>1563</v>
      </c>
      <c r="AG80" s="9"/>
    </row>
    <row r="81">
      <c r="A81" s="113" t="s">
        <v>80</v>
      </c>
      <c r="B81" s="9"/>
      <c r="C81" s="48"/>
      <c r="D81" s="48"/>
      <c r="E81" s="48"/>
      <c r="F81" s="48"/>
      <c r="G81" s="172" t="s">
        <v>80</v>
      </c>
      <c r="I81" s="21" t="s">
        <v>922</v>
      </c>
      <c r="J81" s="247" t="s">
        <v>1015</v>
      </c>
      <c r="K81" s="8" t="s">
        <v>1111</v>
      </c>
      <c r="L81" s="9"/>
      <c r="M81" s="68"/>
      <c r="N81" s="305" t="s">
        <v>80</v>
      </c>
      <c r="O81" s="247" t="s">
        <v>1292</v>
      </c>
      <c r="P81" s="35" t="s">
        <v>1372</v>
      </c>
      <c r="Q81" s="370" t="s">
        <v>1453</v>
      </c>
      <c r="R81" s="9"/>
      <c r="S81" s="9"/>
      <c r="T81" s="68"/>
      <c r="U81" s="172" t="s">
        <v>80</v>
      </c>
      <c r="V81" s="247" t="s">
        <v>1493</v>
      </c>
      <c r="W81" s="9"/>
      <c r="X81" s="9"/>
      <c r="Y81" s="9"/>
      <c r="Z81" s="9"/>
      <c r="AC81" s="172" t="s">
        <v>80</v>
      </c>
      <c r="AD81" s="21" t="s">
        <v>1092</v>
      </c>
      <c r="AE81" s="44"/>
      <c r="AF81" s="350" t="s">
        <v>1679</v>
      </c>
      <c r="AG81" s="9"/>
    </row>
    <row r="82">
      <c r="A82" s="113" t="s">
        <v>95</v>
      </c>
      <c r="B82" s="9"/>
      <c r="C82" s="48"/>
      <c r="D82" s="48"/>
      <c r="E82" s="48"/>
      <c r="F82" s="48"/>
      <c r="G82" s="172"/>
      <c r="M82" s="68"/>
      <c r="N82" s="305"/>
      <c r="O82" s="194"/>
      <c r="P82" s="10"/>
      <c r="Q82" s="9"/>
      <c r="R82" s="9"/>
      <c r="S82" s="48"/>
      <c r="T82" s="68"/>
      <c r="U82" s="6"/>
      <c r="V82" s="194"/>
      <c r="W82" s="9"/>
      <c r="X82" s="10"/>
      <c r="Y82" s="9"/>
      <c r="Z82" s="68"/>
      <c r="AA82" s="68"/>
      <c r="AB82" s="319"/>
      <c r="AC82" s="10"/>
      <c r="AD82" s="44"/>
      <c r="AE82" s="10"/>
      <c r="AF82" s="9"/>
      <c r="AG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68"/>
      <c r="AA83" s="48"/>
      <c r="AB83" s="48"/>
      <c r="AC83" s="48"/>
      <c r="AD83" s="48"/>
      <c r="AE83" s="48"/>
      <c r="AF83" s="48"/>
      <c r="AG83" s="48"/>
    </row>
    <row r="84">
      <c r="A84" s="48"/>
      <c r="B84" s="2">
        <v>46175.0</v>
      </c>
      <c r="C84" s="2">
        <v>46176.0</v>
      </c>
      <c r="D84" s="2">
        <v>46177.0</v>
      </c>
      <c r="E84" s="2">
        <v>46178.0</v>
      </c>
      <c r="F84" s="2">
        <v>46179.0</v>
      </c>
      <c r="G84" s="13"/>
      <c r="H84" s="2">
        <v>46182.0</v>
      </c>
      <c r="I84" s="2">
        <v>46183.0</v>
      </c>
      <c r="J84" s="2">
        <v>46184.0</v>
      </c>
      <c r="K84" s="2">
        <v>46185.0</v>
      </c>
      <c r="M84" s="48"/>
      <c r="S84" s="48"/>
      <c r="T84" s="48"/>
      <c r="Z84" s="68"/>
      <c r="AB84" s="48"/>
      <c r="AC84" s="48"/>
      <c r="AD84" s="48"/>
      <c r="AE84" s="48"/>
      <c r="AF84" s="48"/>
      <c r="AG84" s="48"/>
    </row>
    <row r="85">
      <c r="A85" s="319" t="s">
        <v>0</v>
      </c>
      <c r="B85" s="371"/>
      <c r="C85" s="247" t="s">
        <v>853</v>
      </c>
      <c r="D85" s="371"/>
      <c r="E85" s="8" t="s">
        <v>1043</v>
      </c>
      <c r="G85" s="6" t="s">
        <v>0</v>
      </c>
      <c r="H85" s="9"/>
      <c r="I85" s="33"/>
      <c r="J85" s="33"/>
      <c r="K85" s="9"/>
      <c r="M85" s="48"/>
      <c r="S85" s="48"/>
      <c r="T85" s="1"/>
      <c r="Z85" s="68"/>
      <c r="AB85" s="48"/>
      <c r="AC85" s="48"/>
      <c r="AD85" s="48"/>
      <c r="AE85" s="48"/>
      <c r="AF85" s="48"/>
      <c r="AG85" s="48"/>
    </row>
    <row r="86">
      <c r="A86" s="319" t="s">
        <v>5</v>
      </c>
      <c r="B86" s="371"/>
      <c r="C86" s="247" t="s">
        <v>877</v>
      </c>
      <c r="D86" s="372"/>
      <c r="E86" s="21" t="s">
        <v>1059</v>
      </c>
      <c r="F86" s="252" t="s">
        <v>1172</v>
      </c>
      <c r="G86" s="6" t="s">
        <v>5</v>
      </c>
      <c r="H86" s="373" t="s">
        <v>1788</v>
      </c>
      <c r="I86" s="8" t="s">
        <v>1293</v>
      </c>
      <c r="J86" s="33"/>
      <c r="K86" s="9"/>
      <c r="M86" s="68"/>
      <c r="S86" s="68"/>
      <c r="T86" s="68"/>
      <c r="Z86" s="68"/>
      <c r="AB86" s="48"/>
      <c r="AC86" s="48"/>
      <c r="AD86" s="48"/>
      <c r="AE86" s="48"/>
      <c r="AF86" s="48"/>
      <c r="AG86" s="48"/>
    </row>
    <row r="87">
      <c r="A87" s="319" t="s">
        <v>13</v>
      </c>
      <c r="B87" s="371"/>
      <c r="C87" s="35" t="s">
        <v>901</v>
      </c>
      <c r="D87" s="371"/>
      <c r="E87" s="21" t="s">
        <v>901</v>
      </c>
      <c r="F87" s="374"/>
      <c r="G87" s="6" t="s">
        <v>13</v>
      </c>
      <c r="H87" s="255" t="s">
        <v>1189</v>
      </c>
      <c r="I87" s="21" t="s">
        <v>824</v>
      </c>
      <c r="J87" s="9"/>
      <c r="K87" s="9"/>
      <c r="M87" s="68"/>
      <c r="S87" s="68"/>
      <c r="T87" s="68"/>
      <c r="Z87" s="68"/>
      <c r="AB87" s="48"/>
      <c r="AC87" s="48"/>
      <c r="AD87" s="48"/>
      <c r="AE87" s="48"/>
      <c r="AF87" s="48"/>
      <c r="AG87" s="48"/>
    </row>
    <row r="88">
      <c r="A88" s="319" t="s">
        <v>19</v>
      </c>
      <c r="B88" s="372"/>
      <c r="C88" s="35" t="s">
        <v>22</v>
      </c>
      <c r="D88" s="371"/>
      <c r="E88" s="237" t="s">
        <v>1093</v>
      </c>
      <c r="G88" s="6" t="s">
        <v>19</v>
      </c>
      <c r="H88" s="9"/>
      <c r="I88" s="21" t="s">
        <v>23</v>
      </c>
      <c r="J88" s="9"/>
      <c r="K88" s="33" t="s">
        <v>1786</v>
      </c>
      <c r="M88" s="68"/>
      <c r="S88" s="68"/>
      <c r="T88" s="68"/>
      <c r="Z88" s="68"/>
      <c r="AB88" s="48"/>
      <c r="AC88" s="48"/>
      <c r="AD88" s="48"/>
      <c r="AE88" s="48"/>
      <c r="AF88" s="48"/>
      <c r="AG88" s="48"/>
    </row>
    <row r="89">
      <c r="A89" s="321" t="s">
        <v>27</v>
      </c>
      <c r="B89" s="372"/>
      <c r="C89" s="35" t="s">
        <v>20</v>
      </c>
      <c r="D89" s="371"/>
      <c r="E89" s="194" t="s">
        <v>1112</v>
      </c>
      <c r="G89" s="32" t="s">
        <v>27</v>
      </c>
      <c r="H89" s="9"/>
      <c r="I89" s="21" t="s">
        <v>34</v>
      </c>
      <c r="J89" s="9"/>
      <c r="K89" s="9"/>
      <c r="M89" s="68"/>
      <c r="S89" s="68"/>
      <c r="T89" s="68"/>
      <c r="Z89" s="68"/>
      <c r="AB89" s="48"/>
      <c r="AC89" s="48"/>
      <c r="AD89" s="48"/>
      <c r="AE89" s="48"/>
      <c r="AF89" s="48"/>
      <c r="AG89" s="48"/>
    </row>
    <row r="90">
      <c r="A90" s="321" t="s">
        <v>33</v>
      </c>
      <c r="B90" s="372"/>
      <c r="C90" s="8" t="s">
        <v>962</v>
      </c>
      <c r="D90" s="372"/>
      <c r="E90" s="21" t="s">
        <v>35</v>
      </c>
      <c r="G90" s="32" t="s">
        <v>33</v>
      </c>
      <c r="H90" s="9"/>
      <c r="I90" s="35" t="s">
        <v>36</v>
      </c>
      <c r="J90" s="9"/>
      <c r="K90" s="9"/>
      <c r="M90" s="68"/>
      <c r="S90" s="68"/>
      <c r="T90" s="68"/>
      <c r="Z90" s="68"/>
      <c r="AB90" s="48"/>
      <c r="AC90" s="48"/>
      <c r="AD90" s="48"/>
      <c r="AE90" s="48"/>
      <c r="AF90" s="48"/>
      <c r="AG90" s="48"/>
    </row>
    <row r="91">
      <c r="A91" s="319" t="s">
        <v>39</v>
      </c>
      <c r="B91" s="16"/>
      <c r="C91" s="371"/>
      <c r="D91" s="372"/>
      <c r="E91" s="247" t="s">
        <v>1150</v>
      </c>
      <c r="G91" s="32" t="s">
        <v>39</v>
      </c>
      <c r="H91" s="236" t="s">
        <v>28</v>
      </c>
      <c r="I91" s="9"/>
      <c r="J91" s="9"/>
      <c r="K91" s="9"/>
      <c r="M91" s="68"/>
      <c r="S91" s="68"/>
      <c r="T91" s="68"/>
      <c r="Z91" s="68"/>
      <c r="AA91" s="48"/>
      <c r="AB91" s="48"/>
      <c r="AC91" s="48"/>
      <c r="AD91" s="48"/>
      <c r="AE91" s="48"/>
      <c r="AF91" s="48"/>
      <c r="AG91" s="48"/>
    </row>
    <row r="92">
      <c r="A92" s="319" t="s">
        <v>45</v>
      </c>
      <c r="B92" s="35" t="s">
        <v>749</v>
      </c>
      <c r="C92" s="371"/>
      <c r="D92" s="21" t="s">
        <v>977</v>
      </c>
      <c r="E92" s="9"/>
      <c r="G92" s="6" t="s">
        <v>45</v>
      </c>
      <c r="H92" s="8" t="s">
        <v>161</v>
      </c>
      <c r="I92" s="9"/>
      <c r="J92" s="21" t="s">
        <v>1404</v>
      </c>
      <c r="K92" s="9"/>
      <c r="M92" s="68"/>
      <c r="S92" s="68"/>
      <c r="T92" s="68"/>
      <c r="Z92" s="68"/>
      <c r="AA92" s="48"/>
      <c r="AB92" s="48"/>
      <c r="AC92" s="48"/>
      <c r="AD92" s="48"/>
      <c r="AE92" s="48"/>
      <c r="AF92" s="48"/>
      <c r="AG92" s="48"/>
    </row>
    <row r="93">
      <c r="A93" s="319" t="s">
        <v>54</v>
      </c>
      <c r="B93" s="200" t="s">
        <v>55</v>
      </c>
      <c r="C93" s="371"/>
      <c r="D93" s="21" t="s">
        <v>143</v>
      </c>
      <c r="E93" s="9"/>
      <c r="G93" s="6" t="s">
        <v>54</v>
      </c>
      <c r="H93" s="21" t="s">
        <v>1228</v>
      </c>
      <c r="I93" s="247" t="s">
        <v>1383</v>
      </c>
      <c r="J93" s="21" t="s">
        <v>58</v>
      </c>
      <c r="K93" s="9"/>
      <c r="M93" s="68"/>
      <c r="S93" s="68"/>
      <c r="T93" s="68"/>
      <c r="Z93" s="68"/>
      <c r="AA93" s="48"/>
      <c r="AB93" s="48"/>
      <c r="AC93" s="48"/>
      <c r="AD93" s="48"/>
      <c r="AE93" s="48"/>
      <c r="AF93" s="48"/>
      <c r="AG93" s="48"/>
    </row>
    <row r="94">
      <c r="A94" s="321" t="s">
        <v>1789</v>
      </c>
      <c r="B94" s="280"/>
      <c r="C94" s="371"/>
      <c r="D94" s="21" t="s">
        <v>1016</v>
      </c>
      <c r="E94" s="9"/>
      <c r="G94" s="32" t="s">
        <v>1790</v>
      </c>
      <c r="H94" s="21" t="s">
        <v>20</v>
      </c>
      <c r="I94" s="247" t="s">
        <v>1392</v>
      </c>
      <c r="J94" s="35" t="s">
        <v>1429</v>
      </c>
      <c r="K94" s="9"/>
      <c r="M94" s="68"/>
      <c r="S94" s="68"/>
      <c r="T94" s="68"/>
      <c r="Z94" s="68"/>
      <c r="AA94" s="48"/>
      <c r="AB94" s="48"/>
      <c r="AC94" s="48"/>
      <c r="AD94" s="48"/>
      <c r="AE94" s="48"/>
      <c r="AF94" s="48"/>
      <c r="AG94" s="48"/>
    </row>
    <row r="95">
      <c r="A95" s="319" t="s">
        <v>71</v>
      </c>
      <c r="B95" s="200" t="s">
        <v>798</v>
      </c>
      <c r="C95" s="371"/>
      <c r="D95" s="9"/>
      <c r="E95" s="9"/>
      <c r="G95" s="32" t="s">
        <v>1791</v>
      </c>
      <c r="H95" s="21" t="s">
        <v>75</v>
      </c>
      <c r="I95" s="9"/>
      <c r="K95" s="9"/>
      <c r="M95" s="68"/>
      <c r="S95" s="68"/>
      <c r="T95" s="68"/>
      <c r="Z95" s="68"/>
      <c r="AA95" s="48"/>
      <c r="AB95" s="48"/>
      <c r="AC95" s="48"/>
      <c r="AD95" s="48"/>
      <c r="AE95" s="48"/>
      <c r="AF95" s="48"/>
      <c r="AG95" s="48"/>
    </row>
    <row r="96">
      <c r="A96" s="319" t="s">
        <v>80</v>
      </c>
      <c r="B96" s="200" t="s">
        <v>83</v>
      </c>
      <c r="C96" s="371"/>
      <c r="D96" s="9"/>
      <c r="E96" s="9"/>
      <c r="G96" s="6" t="s">
        <v>80</v>
      </c>
      <c r="H96" s="21" t="s">
        <v>1270</v>
      </c>
      <c r="I96" s="9"/>
      <c r="K96" s="9"/>
      <c r="M96" s="68"/>
      <c r="S96" s="68"/>
      <c r="T96" s="68"/>
      <c r="Z96" s="68"/>
      <c r="AA96" s="48"/>
      <c r="AB96" s="48"/>
      <c r="AC96" s="48"/>
      <c r="AD96" s="48"/>
      <c r="AE96" s="48"/>
      <c r="AF96" s="48"/>
      <c r="AG96" s="48"/>
    </row>
    <row r="97">
      <c r="A97" s="319"/>
      <c r="B97" s="10"/>
      <c r="C97" s="371"/>
      <c r="D97" s="9"/>
      <c r="E97" s="9"/>
      <c r="F97" s="48"/>
      <c r="G97" s="6"/>
      <c r="H97" s="9"/>
      <c r="I97" s="9"/>
      <c r="J97" s="375"/>
      <c r="K97" s="9"/>
      <c r="M97" s="48"/>
      <c r="N97" s="6"/>
      <c r="O97" s="10"/>
      <c r="P97" s="10"/>
      <c r="Q97" s="9" t="s">
        <v>435</v>
      </c>
      <c r="R97" s="9" t="s">
        <v>435</v>
      </c>
      <c r="S97" s="48"/>
      <c r="T97" s="48"/>
      <c r="U97" s="6"/>
      <c r="V97" s="10"/>
      <c r="W97" s="9"/>
      <c r="X97" s="10"/>
      <c r="Y97" s="9"/>
      <c r="Z97" s="48"/>
      <c r="AA97" s="48"/>
      <c r="AB97" s="48"/>
      <c r="AC97" s="48"/>
      <c r="AD97" s="48"/>
      <c r="AE97" s="48"/>
      <c r="AF97" s="48"/>
      <c r="AG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>
      <c r="L99" s="48"/>
      <c r="M99" s="48"/>
      <c r="Z99" s="1"/>
      <c r="AA99" s="1"/>
      <c r="AB99" s="1"/>
      <c r="AC99" s="51">
        <v>46231.0</v>
      </c>
      <c r="AD99" s="376" t="s">
        <v>1792</v>
      </c>
      <c r="AE99" s="51">
        <v>46233.0</v>
      </c>
      <c r="AF99" s="48"/>
      <c r="AG99" s="48"/>
    </row>
    <row r="100">
      <c r="L100" s="48"/>
      <c r="M100" s="68"/>
      <c r="Z100" s="68"/>
      <c r="AA100" s="68"/>
      <c r="AB100" s="6" t="s">
        <v>0</v>
      </c>
      <c r="AE100" s="9" t="s">
        <v>435</v>
      </c>
      <c r="AF100" s="48"/>
      <c r="AG100" s="48"/>
    </row>
    <row r="101">
      <c r="L101" s="48"/>
      <c r="M101" s="68"/>
      <c r="Z101" s="68"/>
      <c r="AA101" s="68"/>
      <c r="AB101" s="6" t="s">
        <v>5</v>
      </c>
      <c r="AC101" s="10"/>
      <c r="AD101" s="22"/>
      <c r="AE101" s="9" t="s">
        <v>435</v>
      </c>
      <c r="AF101" s="48"/>
      <c r="AG101" s="48"/>
    </row>
    <row r="102">
      <c r="L102" s="48"/>
      <c r="M102" s="68"/>
      <c r="Z102" s="68"/>
      <c r="AA102" s="68"/>
      <c r="AB102" s="6" t="s">
        <v>13</v>
      </c>
      <c r="AD102" s="22"/>
      <c r="AE102" s="9" t="s">
        <v>435</v>
      </c>
      <c r="AF102" s="48"/>
      <c r="AG102" s="48"/>
    </row>
    <row r="103">
      <c r="L103" s="48"/>
      <c r="M103" s="68"/>
      <c r="Z103" s="68"/>
      <c r="AA103" s="68"/>
      <c r="AB103" s="6" t="s">
        <v>19</v>
      </c>
      <c r="AC103" s="22"/>
      <c r="AE103" s="9" t="s">
        <v>435</v>
      </c>
      <c r="AF103" s="48"/>
      <c r="AG103" s="48"/>
    </row>
    <row r="104">
      <c r="L104" s="48"/>
      <c r="M104" s="68"/>
      <c r="Z104" s="68"/>
      <c r="AA104" s="68"/>
      <c r="AB104" s="32" t="s">
        <v>27</v>
      </c>
      <c r="AC104" s="10"/>
      <c r="AD104" s="360"/>
      <c r="AE104" s="9" t="s">
        <v>435</v>
      </c>
      <c r="AF104" s="48"/>
      <c r="AG104" s="48"/>
    </row>
    <row r="105">
      <c r="L105" s="48"/>
      <c r="M105" s="68"/>
      <c r="Z105" s="68"/>
      <c r="AA105" s="68"/>
      <c r="AB105" s="32" t="s">
        <v>33</v>
      </c>
      <c r="AC105" s="9"/>
      <c r="AD105" s="9"/>
      <c r="AE105" s="9" t="s">
        <v>435</v>
      </c>
      <c r="AF105" s="48"/>
      <c r="AG105" s="48"/>
    </row>
    <row r="106">
      <c r="L106" s="48"/>
      <c r="M106" s="68"/>
      <c r="Z106" s="68"/>
      <c r="AA106" s="68"/>
      <c r="AB106" s="32" t="s">
        <v>39</v>
      </c>
      <c r="AC106" s="56"/>
      <c r="AD106" s="10"/>
      <c r="AE106" s="9" t="s">
        <v>435</v>
      </c>
      <c r="AF106" s="48"/>
      <c r="AG106" s="48"/>
    </row>
    <row r="107">
      <c r="L107" s="48"/>
      <c r="M107" s="68"/>
      <c r="Z107" s="68"/>
      <c r="AA107" s="68"/>
      <c r="AB107" s="6" t="s">
        <v>45</v>
      </c>
      <c r="AD107" s="10"/>
      <c r="AE107" s="9" t="s">
        <v>435</v>
      </c>
      <c r="AF107" s="48"/>
      <c r="AG107" s="48"/>
    </row>
    <row r="108" ht="16.5" customHeight="1">
      <c r="L108" s="48"/>
      <c r="M108" s="68"/>
      <c r="Z108" s="68"/>
      <c r="AA108" s="68"/>
      <c r="AB108" s="6" t="s">
        <v>54</v>
      </c>
      <c r="AC108" s="22"/>
      <c r="AD108" s="10"/>
      <c r="AE108" s="9" t="s">
        <v>435</v>
      </c>
      <c r="AF108" s="48"/>
      <c r="AG108" s="48"/>
    </row>
    <row r="109">
      <c r="L109" s="48"/>
      <c r="M109" s="68"/>
      <c r="Z109" s="68"/>
      <c r="AA109" s="68"/>
      <c r="AB109" s="6" t="s">
        <v>64</v>
      </c>
      <c r="AD109" s="16"/>
      <c r="AE109" s="9" t="s">
        <v>435</v>
      </c>
      <c r="AF109" s="48"/>
      <c r="AG109" s="48"/>
    </row>
    <row r="110">
      <c r="L110" s="48"/>
      <c r="M110" s="68"/>
      <c r="Z110" s="68"/>
      <c r="AA110" s="68"/>
      <c r="AB110" s="6" t="s">
        <v>71</v>
      </c>
      <c r="AC110" s="10"/>
      <c r="AD110" s="22"/>
      <c r="AE110" s="9" t="s">
        <v>435</v>
      </c>
      <c r="AF110" s="48"/>
      <c r="AG110" s="48"/>
    </row>
    <row r="111" ht="15.0" customHeight="1">
      <c r="L111" s="48"/>
      <c r="M111" s="48"/>
      <c r="Z111" s="48"/>
      <c r="AA111" s="48"/>
      <c r="AB111" s="6" t="s">
        <v>80</v>
      </c>
      <c r="AC111" s="10"/>
      <c r="AD111" s="16"/>
      <c r="AE111" s="9" t="s">
        <v>435</v>
      </c>
      <c r="AF111" s="48"/>
      <c r="AG111" s="48"/>
    </row>
    <row r="112">
      <c r="A112" s="319"/>
      <c r="B112" s="9"/>
      <c r="C112" s="16"/>
      <c r="D112" s="10"/>
      <c r="G112" s="6"/>
      <c r="H112" s="17"/>
      <c r="I112" s="9"/>
      <c r="J112" s="59"/>
      <c r="K112" s="9"/>
      <c r="L112" s="47"/>
      <c r="M112" s="48"/>
      <c r="N112" s="64"/>
      <c r="O112" s="10"/>
      <c r="P112" s="9"/>
      <c r="Q112" s="15"/>
      <c r="R112" s="9"/>
      <c r="S112" s="48"/>
      <c r="T112" s="48"/>
      <c r="U112" s="6" t="s">
        <v>95</v>
      </c>
      <c r="V112" s="265"/>
      <c r="W112" s="9"/>
      <c r="Y112" s="9"/>
      <c r="AA112" s="48"/>
      <c r="AB112" s="6" t="s">
        <v>95</v>
      </c>
      <c r="AC112" s="22"/>
      <c r="AD112" s="10"/>
      <c r="AE112" s="9" t="s">
        <v>435</v>
      </c>
      <c r="AF112" s="48"/>
      <c r="AG112" s="48"/>
    </row>
    <row r="113">
      <c r="F113" s="48"/>
      <c r="L113" s="47"/>
      <c r="M113" s="48"/>
      <c r="S113" s="48"/>
      <c r="T113" s="48"/>
      <c r="AA113" s="48"/>
      <c r="AB113" s="48"/>
      <c r="AC113" s="48"/>
      <c r="AD113" s="48"/>
      <c r="AE113" s="48"/>
      <c r="AF113" s="48"/>
      <c r="AG113" s="48"/>
    </row>
    <row r="114">
      <c r="F114" s="48"/>
      <c r="G114" s="48"/>
      <c r="H114" s="377">
        <v>46238.0</v>
      </c>
      <c r="I114" s="377">
        <v>46239.0</v>
      </c>
      <c r="J114" s="377">
        <v>46240.0</v>
      </c>
      <c r="K114" s="377">
        <v>46241.0</v>
      </c>
      <c r="L114" s="47"/>
      <c r="M114" s="68"/>
      <c r="N114" s="378"/>
      <c r="O114" s="379">
        <v>46245.0</v>
      </c>
      <c r="P114" s="380" t="s">
        <v>1793</v>
      </c>
      <c r="Q114" s="379">
        <v>45882.0</v>
      </c>
      <c r="R114" s="379">
        <v>45883.0</v>
      </c>
      <c r="S114" s="48"/>
      <c r="T114" s="48"/>
      <c r="V114" s="377">
        <v>46252.0</v>
      </c>
      <c r="W114" s="377">
        <v>46253.0</v>
      </c>
      <c r="X114" s="377">
        <v>46254.0</v>
      </c>
      <c r="Y114" s="377">
        <v>46255.0</v>
      </c>
      <c r="AA114" s="48"/>
      <c r="AB114" s="48"/>
      <c r="AC114" s="377">
        <v>46259.0</v>
      </c>
      <c r="AD114" s="377">
        <v>46260.0</v>
      </c>
      <c r="AE114" s="377">
        <v>46261.0</v>
      </c>
      <c r="AF114" s="377">
        <v>46262.0</v>
      </c>
      <c r="AG114" s="48"/>
    </row>
    <row r="115" ht="16.5" customHeight="1">
      <c r="F115" s="48"/>
      <c r="G115" s="6" t="s">
        <v>0</v>
      </c>
      <c r="H115" s="33"/>
      <c r="I115" s="10"/>
      <c r="J115" s="33"/>
      <c r="K115" s="15"/>
      <c r="L115" s="47"/>
      <c r="M115" s="68"/>
      <c r="N115" s="6" t="s">
        <v>0</v>
      </c>
      <c r="O115" s="359"/>
      <c r="P115" s="9"/>
      <c r="Q115" s="22"/>
      <c r="R115" s="28"/>
      <c r="S115" s="48"/>
      <c r="T115" s="48"/>
      <c r="V115" s="9"/>
      <c r="W115" s="10"/>
      <c r="X115" s="9"/>
      <c r="Y115" s="10"/>
      <c r="AA115" s="48"/>
      <c r="AB115" s="48"/>
      <c r="AC115" s="9"/>
      <c r="AD115" s="10"/>
      <c r="AE115" s="9"/>
      <c r="AF115" s="10"/>
    </row>
    <row r="116">
      <c r="F116" s="48"/>
      <c r="G116" s="6" t="s">
        <v>5</v>
      </c>
      <c r="H116" s="33"/>
      <c r="I116" s="69"/>
      <c r="J116" s="33"/>
      <c r="K116" s="22"/>
      <c r="L116" s="47"/>
      <c r="M116" s="68"/>
      <c r="N116" s="6" t="s">
        <v>5</v>
      </c>
      <c r="O116" s="359"/>
      <c r="P116" s="9"/>
      <c r="Q116" s="22"/>
      <c r="R116" s="9"/>
      <c r="S116" s="48"/>
      <c r="T116" s="48"/>
      <c r="V116" s="9"/>
      <c r="W116" s="69"/>
      <c r="X116" s="9"/>
      <c r="Y116" s="299"/>
      <c r="AA116" s="48"/>
      <c r="AB116" s="48"/>
      <c r="AC116" s="9"/>
      <c r="AD116" s="10"/>
      <c r="AE116" s="9"/>
      <c r="AF116" s="10"/>
    </row>
    <row r="117">
      <c r="F117" s="48"/>
      <c r="G117" s="6" t="s">
        <v>13</v>
      </c>
      <c r="H117" s="33"/>
      <c r="I117" s="22"/>
      <c r="J117" s="33"/>
      <c r="K117" s="10"/>
      <c r="L117" s="47"/>
      <c r="M117" s="68"/>
      <c r="N117" s="6" t="s">
        <v>13</v>
      </c>
      <c r="O117" s="9"/>
      <c r="P117" s="9"/>
      <c r="Q117" s="10"/>
      <c r="R117" s="381"/>
      <c r="S117" s="48"/>
      <c r="T117" s="48"/>
      <c r="V117" s="9"/>
      <c r="W117" s="22"/>
      <c r="X117" s="9"/>
      <c r="Y117" s="299"/>
      <c r="AA117" s="48"/>
      <c r="AB117" s="48"/>
      <c r="AC117" s="9"/>
      <c r="AD117" s="22"/>
      <c r="AE117" s="9"/>
      <c r="AF117" s="10"/>
    </row>
    <row r="118">
      <c r="F118" s="48"/>
      <c r="G118" s="6" t="s">
        <v>19</v>
      </c>
      <c r="H118" s="33"/>
      <c r="I118" s="10"/>
      <c r="J118" s="33"/>
      <c r="K118" s="10"/>
      <c r="L118" s="47"/>
      <c r="M118" s="68"/>
      <c r="N118" s="6" t="s">
        <v>19</v>
      </c>
      <c r="O118" s="9"/>
      <c r="P118" s="9"/>
      <c r="Q118" s="59"/>
      <c r="R118" s="9"/>
      <c r="S118" s="48"/>
      <c r="T118" s="48"/>
      <c r="V118" s="9"/>
      <c r="W118" s="16"/>
      <c r="X118" s="9"/>
      <c r="Y118" s="280"/>
      <c r="AA118" s="48"/>
      <c r="AB118" s="48"/>
      <c r="AC118" s="9"/>
      <c r="AD118" s="10"/>
      <c r="AE118" s="9"/>
      <c r="AF118" s="10"/>
    </row>
    <row r="119">
      <c r="F119" s="48"/>
      <c r="G119" s="32" t="s">
        <v>27</v>
      </c>
      <c r="H119" s="9"/>
      <c r="I119" s="22"/>
      <c r="J119" s="33"/>
      <c r="K119" s="10"/>
      <c r="L119" s="47"/>
      <c r="M119" s="68"/>
      <c r="N119" s="32" t="s">
        <v>27</v>
      </c>
      <c r="O119" s="9"/>
      <c r="P119" s="194"/>
      <c r="Q119" s="10"/>
      <c r="R119" s="9"/>
      <c r="S119" s="48"/>
      <c r="T119" s="48"/>
      <c r="V119" s="9"/>
      <c r="W119" s="298"/>
      <c r="X119" s="9"/>
      <c r="Y119" s="16"/>
      <c r="AA119" s="48"/>
      <c r="AB119" s="48"/>
      <c r="AC119" s="9"/>
      <c r="AD119" s="199"/>
      <c r="AE119" s="9"/>
      <c r="AF119" s="10"/>
    </row>
    <row r="120">
      <c r="F120" s="48"/>
      <c r="G120" s="32" t="s">
        <v>33</v>
      </c>
      <c r="H120" s="33"/>
      <c r="I120" s="10"/>
      <c r="J120" s="194"/>
      <c r="K120" s="33"/>
      <c r="L120" s="47"/>
      <c r="M120" s="68"/>
      <c r="N120" s="32" t="s">
        <v>33</v>
      </c>
      <c r="O120" s="9"/>
      <c r="P120" s="382"/>
      <c r="Q120" s="10"/>
      <c r="R120" s="33"/>
      <c r="S120" s="48"/>
      <c r="T120" s="48"/>
      <c r="V120" s="9"/>
      <c r="W120" s="10"/>
      <c r="X120" s="9"/>
      <c r="Y120" s="10"/>
      <c r="AA120" s="48"/>
      <c r="AB120" s="48"/>
      <c r="AC120" s="9"/>
      <c r="AD120" s="28"/>
      <c r="AE120" s="9"/>
      <c r="AF120" s="10"/>
    </row>
    <row r="121">
      <c r="F121" s="48"/>
      <c r="G121" s="32" t="s">
        <v>39</v>
      </c>
      <c r="H121" s="10"/>
      <c r="I121" s="33"/>
      <c r="J121" s="22"/>
      <c r="K121" s="33"/>
      <c r="L121" s="47"/>
      <c r="M121" s="68"/>
      <c r="N121" s="32" t="s">
        <v>39</v>
      </c>
      <c r="O121" s="16"/>
      <c r="P121" s="22"/>
      <c r="Q121" s="33"/>
      <c r="R121" s="10"/>
      <c r="S121" s="48"/>
      <c r="T121" s="48"/>
      <c r="V121" s="280"/>
      <c r="W121" s="346"/>
      <c r="X121" s="10"/>
      <c r="Y121" s="33"/>
      <c r="AA121" s="48"/>
      <c r="AB121" s="48"/>
      <c r="AC121" s="16"/>
      <c r="AD121" s="9"/>
      <c r="AE121" s="10"/>
      <c r="AF121" s="28"/>
      <c r="AG121" s="48"/>
    </row>
    <row r="122">
      <c r="F122" s="48"/>
      <c r="G122" s="6" t="s">
        <v>45</v>
      </c>
      <c r="H122" s="10"/>
      <c r="I122" s="33"/>
      <c r="J122" s="10"/>
      <c r="K122" s="33"/>
      <c r="L122" s="47"/>
      <c r="M122" s="68"/>
      <c r="N122" s="6" t="s">
        <v>45</v>
      </c>
      <c r="O122" s="22"/>
      <c r="P122" s="10"/>
      <c r="Q122" s="33"/>
      <c r="R122" s="22"/>
      <c r="S122" s="48"/>
      <c r="T122" s="48"/>
      <c r="V122" s="91"/>
      <c r="W122" s="33"/>
      <c r="X122" s="280"/>
      <c r="Y122" s="9"/>
      <c r="AA122" s="48"/>
      <c r="AB122" s="48"/>
      <c r="AC122" s="16"/>
      <c r="AD122" s="9"/>
      <c r="AE122" s="10"/>
      <c r="AF122" s="9"/>
      <c r="AG122" s="48"/>
    </row>
    <row r="123">
      <c r="F123" s="48"/>
      <c r="G123" s="6" t="s">
        <v>54</v>
      </c>
      <c r="H123" s="22"/>
      <c r="I123" s="33"/>
      <c r="J123" s="10"/>
      <c r="K123" s="33"/>
      <c r="L123" s="47"/>
      <c r="M123" s="68"/>
      <c r="N123" s="6" t="s">
        <v>54</v>
      </c>
      <c r="O123" s="16"/>
      <c r="P123" s="16"/>
      <c r="Q123" s="33"/>
      <c r="R123" s="22"/>
      <c r="S123" s="48"/>
      <c r="T123" s="48"/>
      <c r="V123" s="10"/>
      <c r="W123" s="33"/>
      <c r="X123" s="280"/>
      <c r="Y123" s="9"/>
      <c r="AA123" s="48"/>
      <c r="AB123" s="48"/>
      <c r="AC123" s="16"/>
      <c r="AD123" s="9"/>
      <c r="AE123" s="10"/>
      <c r="AF123" s="9"/>
      <c r="AG123" s="48"/>
    </row>
    <row r="124">
      <c r="F124" s="48"/>
      <c r="G124" s="32" t="s">
        <v>1794</v>
      </c>
      <c r="H124" s="59"/>
      <c r="I124" s="33"/>
      <c r="J124" s="10"/>
      <c r="K124" s="33"/>
      <c r="L124" s="47"/>
      <c r="M124" s="68"/>
      <c r="N124" s="6" t="s">
        <v>64</v>
      </c>
      <c r="O124" s="10"/>
      <c r="P124" s="10"/>
      <c r="Q124" s="33"/>
      <c r="R124" s="254"/>
      <c r="S124" s="48"/>
      <c r="T124" s="48"/>
      <c r="V124" s="10"/>
      <c r="W124" s="9"/>
      <c r="X124" s="10"/>
      <c r="Y124" s="9"/>
      <c r="AA124" s="48"/>
      <c r="AB124" s="48"/>
      <c r="AC124" s="10"/>
      <c r="AD124" s="9"/>
      <c r="AE124" s="10"/>
      <c r="AF124" s="9"/>
      <c r="AG124" s="48"/>
    </row>
    <row r="125">
      <c r="D125" s="48"/>
      <c r="E125" s="48"/>
      <c r="F125" s="48"/>
      <c r="G125" s="6" t="s">
        <v>71</v>
      </c>
      <c r="H125" s="22"/>
      <c r="I125" s="33"/>
      <c r="J125" s="10"/>
      <c r="K125" s="33"/>
      <c r="L125" s="47"/>
      <c r="M125" s="48"/>
      <c r="N125" s="6" t="s">
        <v>71</v>
      </c>
      <c r="O125" s="10"/>
      <c r="P125" s="10"/>
      <c r="Q125" s="33"/>
      <c r="R125" s="10"/>
      <c r="S125" s="48"/>
      <c r="T125" s="48"/>
      <c r="U125" s="48"/>
      <c r="V125" s="10"/>
      <c r="W125" s="9"/>
      <c r="X125" s="298"/>
      <c r="Y125" s="33"/>
      <c r="AA125" s="48"/>
      <c r="AB125" s="48"/>
      <c r="AC125" s="16"/>
      <c r="AD125" s="9"/>
      <c r="AE125" s="10"/>
      <c r="AF125" s="9"/>
      <c r="AG125" s="48"/>
    </row>
    <row r="126">
      <c r="D126" s="48"/>
      <c r="E126" s="48"/>
      <c r="F126" s="48"/>
      <c r="G126" s="6" t="s">
        <v>80</v>
      </c>
      <c r="H126" s="22"/>
      <c r="I126" s="33"/>
      <c r="J126" s="10"/>
      <c r="K126" s="33"/>
      <c r="L126" s="47"/>
      <c r="M126" s="48"/>
      <c r="N126" s="6" t="s">
        <v>80</v>
      </c>
      <c r="O126" s="10"/>
      <c r="P126" s="10"/>
      <c r="Q126" s="9"/>
      <c r="R126" s="22"/>
      <c r="S126" s="48"/>
      <c r="T126" s="48"/>
      <c r="U126" s="48"/>
      <c r="V126" s="10"/>
      <c r="W126" s="9"/>
      <c r="X126" s="10"/>
      <c r="Y126" s="9"/>
      <c r="AA126" s="48"/>
      <c r="AB126" s="48"/>
      <c r="AC126" s="22"/>
      <c r="AD126" s="9"/>
      <c r="AE126" s="10"/>
      <c r="AF126" s="9"/>
      <c r="AG126" s="48"/>
    </row>
    <row r="127" ht="19.5" customHeight="1">
      <c r="G127" s="6" t="s">
        <v>95</v>
      </c>
      <c r="H127" s="10"/>
      <c r="I127" s="33"/>
      <c r="J127" s="59"/>
      <c r="K127" s="33"/>
      <c r="L127" s="47"/>
      <c r="N127" s="6" t="s">
        <v>95</v>
      </c>
      <c r="O127" s="383"/>
      <c r="P127" s="59"/>
      <c r="Q127" s="9"/>
      <c r="R127" s="384"/>
      <c r="S127" s="48"/>
      <c r="T127" s="48"/>
      <c r="V127" s="36"/>
      <c r="W127" s="9"/>
      <c r="X127" s="22"/>
      <c r="Y127" s="9"/>
      <c r="AC127" s="228"/>
      <c r="AD127" s="9"/>
      <c r="AE127" s="303"/>
      <c r="AF127" s="9"/>
      <c r="AG127" s="48"/>
    </row>
    <row r="128">
      <c r="AG128" s="48"/>
    </row>
    <row r="129">
      <c r="AG129" s="48"/>
    </row>
    <row r="130">
      <c r="L130" s="43"/>
      <c r="AD130" s="48"/>
      <c r="AG130" s="48"/>
    </row>
    <row r="131">
      <c r="A131" s="48"/>
      <c r="B131" s="385">
        <v>46266.0</v>
      </c>
      <c r="C131" s="385">
        <v>46267.0</v>
      </c>
      <c r="D131" s="385">
        <v>46268.0</v>
      </c>
      <c r="E131" s="385">
        <v>46269.0</v>
      </c>
      <c r="G131" s="48"/>
      <c r="H131" s="385">
        <v>46273.0</v>
      </c>
      <c r="I131" s="385">
        <v>46274.0</v>
      </c>
      <c r="J131" s="385">
        <v>46275.0</v>
      </c>
      <c r="K131" s="385">
        <v>46276.0</v>
      </c>
      <c r="L131" s="43"/>
      <c r="M131" s="48"/>
      <c r="N131" s="1"/>
      <c r="O131" s="385">
        <v>46280.0</v>
      </c>
      <c r="P131" s="386" t="s">
        <v>1795</v>
      </c>
      <c r="Q131" s="385">
        <v>46282.0</v>
      </c>
      <c r="R131" s="385">
        <v>46283.0</v>
      </c>
      <c r="T131" s="1"/>
      <c r="U131" s="48"/>
      <c r="V131" s="385">
        <v>46287.0</v>
      </c>
      <c r="W131" s="386" t="s">
        <v>1796</v>
      </c>
      <c r="X131" s="385">
        <v>46288.0</v>
      </c>
      <c r="Y131" s="386" t="s">
        <v>1797</v>
      </c>
      <c r="Z131" s="1"/>
      <c r="AA131" s="1"/>
      <c r="AB131" s="48"/>
      <c r="AC131" s="385">
        <v>46294.0</v>
      </c>
      <c r="AD131" s="385">
        <v>46295.0</v>
      </c>
      <c r="AE131" s="48"/>
      <c r="AF131" s="48"/>
      <c r="AG131" s="48"/>
    </row>
    <row r="132">
      <c r="A132" s="6" t="s">
        <v>0</v>
      </c>
      <c r="B132" s="9"/>
      <c r="C132" s="10"/>
      <c r="D132" s="9"/>
      <c r="E132" s="10"/>
      <c r="G132" s="6" t="s">
        <v>0</v>
      </c>
      <c r="H132" s="9"/>
      <c r="I132" s="199"/>
      <c r="J132" s="262"/>
      <c r="K132" s="10"/>
      <c r="L132" s="43"/>
      <c r="M132" s="68"/>
      <c r="N132" s="6" t="s">
        <v>0</v>
      </c>
      <c r="O132" s="33"/>
      <c r="P132" s="10"/>
      <c r="Q132" s="9"/>
      <c r="R132" s="10"/>
      <c r="S132" s="22"/>
      <c r="T132" s="68"/>
      <c r="U132" s="6" t="s">
        <v>0</v>
      </c>
      <c r="V132" s="9"/>
      <c r="W132" s="10"/>
      <c r="X132" s="9"/>
      <c r="Y132" s="10"/>
      <c r="Z132" s="68"/>
      <c r="AA132" s="68"/>
      <c r="AB132" s="6" t="s">
        <v>0</v>
      </c>
      <c r="AC132" s="9" t="s">
        <v>435</v>
      </c>
      <c r="AD132" s="9" t="s">
        <v>435</v>
      </c>
      <c r="AE132" s="48"/>
      <c r="AF132" s="48"/>
      <c r="AG132" s="48"/>
    </row>
    <row r="133">
      <c r="A133" s="6" t="s">
        <v>5</v>
      </c>
      <c r="B133" s="9"/>
      <c r="C133" s="10"/>
      <c r="D133" s="9"/>
      <c r="E133" s="199"/>
      <c r="G133" s="6" t="s">
        <v>5</v>
      </c>
      <c r="H133" s="9"/>
      <c r="I133" s="199"/>
      <c r="J133" s="262"/>
      <c r="K133" s="10"/>
      <c r="L133" s="43"/>
      <c r="M133" s="68"/>
      <c r="N133" s="6" t="s">
        <v>5</v>
      </c>
      <c r="O133" s="33"/>
      <c r="P133" s="10"/>
      <c r="Q133" s="9"/>
      <c r="R133" s="10"/>
      <c r="T133" s="68"/>
      <c r="U133" s="6" t="s">
        <v>5</v>
      </c>
      <c r="V133" s="9"/>
      <c r="W133" s="10"/>
      <c r="X133" s="9"/>
      <c r="Y133" s="10"/>
      <c r="Z133" s="68"/>
      <c r="AA133" s="68"/>
      <c r="AB133" s="6" t="s">
        <v>5</v>
      </c>
      <c r="AC133" s="9" t="s">
        <v>435</v>
      </c>
      <c r="AD133" s="9" t="s">
        <v>435</v>
      </c>
      <c r="AE133" s="48"/>
      <c r="AF133" s="48"/>
      <c r="AG133" s="48"/>
    </row>
    <row r="134">
      <c r="A134" s="6" t="s">
        <v>13</v>
      </c>
      <c r="B134" s="9"/>
      <c r="C134" s="22"/>
      <c r="D134" s="9"/>
      <c r="E134" s="10"/>
      <c r="G134" s="6" t="s">
        <v>13</v>
      </c>
      <c r="H134" s="9"/>
      <c r="I134" s="10"/>
      <c r="J134" s="262"/>
      <c r="K134" s="10"/>
      <c r="L134" s="22"/>
      <c r="M134" s="68"/>
      <c r="N134" s="6" t="s">
        <v>13</v>
      </c>
      <c r="O134" s="33"/>
      <c r="P134" s="10"/>
      <c r="Q134" s="9"/>
      <c r="R134" s="10"/>
      <c r="T134" s="68"/>
      <c r="U134" s="6" t="s">
        <v>13</v>
      </c>
      <c r="V134" s="9"/>
      <c r="W134" s="10"/>
      <c r="X134" s="9"/>
      <c r="Y134" s="10"/>
      <c r="Z134" s="68"/>
      <c r="AA134" s="68"/>
      <c r="AB134" s="6" t="s">
        <v>13</v>
      </c>
      <c r="AC134" s="9" t="s">
        <v>435</v>
      </c>
      <c r="AD134" s="9" t="s">
        <v>435</v>
      </c>
      <c r="AE134" s="48"/>
      <c r="AF134" s="48"/>
      <c r="AG134" s="48"/>
    </row>
    <row r="135">
      <c r="A135" s="6" t="s">
        <v>19</v>
      </c>
      <c r="B135" s="9"/>
      <c r="C135" s="199"/>
      <c r="D135" s="33"/>
      <c r="E135" s="199"/>
      <c r="G135" s="6" t="s">
        <v>19</v>
      </c>
      <c r="H135" s="9"/>
      <c r="I135" s="199"/>
      <c r="J135" s="387"/>
      <c r="K135" s="10"/>
      <c r="M135" s="68"/>
      <c r="N135" s="6" t="s">
        <v>19</v>
      </c>
      <c r="O135" s="9"/>
      <c r="P135" s="10"/>
      <c r="Q135" s="9"/>
      <c r="R135" s="10"/>
      <c r="T135" s="68"/>
      <c r="U135" s="6" t="s">
        <v>19</v>
      </c>
      <c r="V135" s="9"/>
      <c r="W135" s="388"/>
      <c r="X135" s="9"/>
      <c r="Y135" s="10"/>
      <c r="Z135" s="68"/>
      <c r="AA135" s="68"/>
      <c r="AB135" s="6" t="s">
        <v>19</v>
      </c>
      <c r="AC135" s="9"/>
      <c r="AD135" s="9"/>
      <c r="AE135" s="48"/>
      <c r="AF135" s="48"/>
      <c r="AG135" s="48"/>
    </row>
    <row r="136">
      <c r="A136" s="32" t="s">
        <v>27</v>
      </c>
      <c r="B136" s="10"/>
      <c r="C136" s="346"/>
      <c r="D136" s="33"/>
      <c r="E136" s="10"/>
      <c r="G136" s="32" t="s">
        <v>27</v>
      </c>
      <c r="H136" s="9"/>
      <c r="I136" s="199"/>
      <c r="J136" s="387"/>
      <c r="K136" s="10"/>
      <c r="M136" s="68"/>
      <c r="N136" s="32" t="s">
        <v>27</v>
      </c>
      <c r="O136" s="33"/>
      <c r="P136" s="199"/>
      <c r="Q136" s="9"/>
      <c r="R136" s="10"/>
      <c r="T136" s="68"/>
      <c r="U136" s="32" t="s">
        <v>27</v>
      </c>
      <c r="V136" s="9"/>
      <c r="W136" s="10"/>
      <c r="X136" s="9"/>
      <c r="Z136" s="68"/>
      <c r="AA136" s="68"/>
      <c r="AB136" s="32" t="s">
        <v>27</v>
      </c>
      <c r="AC136" s="9"/>
      <c r="AD136" s="9"/>
      <c r="AE136" s="48"/>
      <c r="AF136" s="48"/>
      <c r="AG136" s="48"/>
    </row>
    <row r="137">
      <c r="A137" s="32" t="s">
        <v>33</v>
      </c>
      <c r="B137" s="10"/>
      <c r="C137" s="33"/>
      <c r="D137" s="10"/>
      <c r="E137" s="10"/>
      <c r="G137" s="32" t="s">
        <v>33</v>
      </c>
      <c r="H137" s="9"/>
      <c r="I137" s="28"/>
      <c r="J137" s="389"/>
      <c r="K137" s="10"/>
      <c r="M137" s="68"/>
      <c r="N137" s="32" t="s">
        <v>33</v>
      </c>
      <c r="O137" s="33"/>
      <c r="P137" s="28"/>
      <c r="Q137" s="9"/>
      <c r="R137" s="59"/>
      <c r="T137" s="68"/>
      <c r="U137" s="32" t="s">
        <v>33</v>
      </c>
      <c r="V137" s="9"/>
      <c r="W137" s="28"/>
      <c r="X137" s="9"/>
      <c r="Z137" s="68"/>
      <c r="AA137" s="68"/>
      <c r="AB137" s="32" t="s">
        <v>33</v>
      </c>
      <c r="AC137" s="9"/>
      <c r="AD137" s="9"/>
      <c r="AE137" s="48"/>
      <c r="AF137" s="48"/>
      <c r="AG137" s="48"/>
    </row>
    <row r="138">
      <c r="A138" s="32" t="s">
        <v>39</v>
      </c>
      <c r="B138" s="10"/>
      <c r="C138" s="33"/>
      <c r="E138" s="9"/>
      <c r="G138" s="32" t="s">
        <v>39</v>
      </c>
      <c r="H138" s="10"/>
      <c r="I138" s="33"/>
      <c r="J138" s="55"/>
      <c r="K138" s="9"/>
      <c r="M138" s="68"/>
      <c r="N138" s="32" t="s">
        <v>39</v>
      </c>
      <c r="O138" s="10"/>
      <c r="P138" s="33"/>
      <c r="Q138" s="55"/>
      <c r="R138" s="9"/>
      <c r="T138" s="68"/>
      <c r="U138" s="32" t="s">
        <v>39</v>
      </c>
      <c r="V138" s="55"/>
      <c r="W138" s="9"/>
      <c r="X138" s="10"/>
      <c r="Y138" s="33"/>
      <c r="Z138" s="68"/>
      <c r="AA138" s="68"/>
      <c r="AB138" s="32" t="s">
        <v>39</v>
      </c>
      <c r="AC138" s="10"/>
      <c r="AD138" s="10"/>
      <c r="AE138" s="48"/>
      <c r="AF138" s="48"/>
      <c r="AG138" s="48"/>
    </row>
    <row r="139">
      <c r="A139" s="6" t="s">
        <v>45</v>
      </c>
      <c r="B139" s="16"/>
      <c r="C139" s="33"/>
      <c r="D139" s="10"/>
      <c r="E139" s="9"/>
      <c r="G139" s="6" t="s">
        <v>45</v>
      </c>
      <c r="H139" s="10"/>
      <c r="I139" s="33"/>
      <c r="J139" s="22"/>
      <c r="K139" s="9"/>
      <c r="M139" s="68"/>
      <c r="N139" s="6" t="s">
        <v>45</v>
      </c>
      <c r="O139" s="199"/>
      <c r="P139" s="33"/>
      <c r="Q139" s="10"/>
      <c r="R139" s="9"/>
      <c r="T139" s="68"/>
      <c r="U139" s="6" t="s">
        <v>45</v>
      </c>
      <c r="V139" s="10"/>
      <c r="W139" s="9"/>
      <c r="X139" s="10"/>
      <c r="Y139" s="9"/>
      <c r="Z139" s="68"/>
      <c r="AA139" s="68"/>
      <c r="AB139" s="6" t="s">
        <v>45</v>
      </c>
      <c r="AC139" s="59"/>
      <c r="AD139" s="59"/>
      <c r="AE139" s="48"/>
      <c r="AF139" s="48"/>
      <c r="AG139" s="48"/>
    </row>
    <row r="140">
      <c r="A140" s="6" t="s">
        <v>54</v>
      </c>
      <c r="B140" s="10"/>
      <c r="C140" s="33"/>
      <c r="D140" s="10"/>
      <c r="E140" s="9"/>
      <c r="G140" s="6" t="s">
        <v>54</v>
      </c>
      <c r="H140" s="10"/>
      <c r="I140" s="33"/>
      <c r="J140" s="10"/>
      <c r="K140" s="9"/>
      <c r="M140" s="68"/>
      <c r="N140" s="6" t="s">
        <v>54</v>
      </c>
      <c r="O140" s="10"/>
      <c r="P140" s="275"/>
      <c r="Q140" s="10"/>
      <c r="R140" s="9"/>
      <c r="T140" s="68"/>
      <c r="U140" s="6" t="s">
        <v>54</v>
      </c>
      <c r="V140" s="10"/>
      <c r="W140" s="9"/>
      <c r="X140" s="10"/>
      <c r="Y140" s="9"/>
      <c r="Z140" s="68"/>
      <c r="AA140" s="68"/>
      <c r="AB140" s="6" t="s">
        <v>54</v>
      </c>
      <c r="AC140" s="10"/>
      <c r="AD140" s="10"/>
      <c r="AE140" s="48"/>
      <c r="AF140" s="48"/>
      <c r="AG140" s="48"/>
    </row>
    <row r="141" ht="18.0" customHeight="1">
      <c r="A141" s="32" t="s">
        <v>1794</v>
      </c>
      <c r="B141" s="22"/>
      <c r="C141" s="33"/>
      <c r="D141" s="10"/>
      <c r="E141" s="9"/>
      <c r="G141" s="32" t="s">
        <v>1794</v>
      </c>
      <c r="H141" s="10"/>
      <c r="I141" s="33"/>
      <c r="J141" s="372"/>
      <c r="K141" s="9"/>
      <c r="L141" s="52"/>
      <c r="M141" s="68"/>
      <c r="N141" s="32" t="s">
        <v>1794</v>
      </c>
      <c r="O141" s="10"/>
      <c r="P141" s="33"/>
      <c r="Q141" s="10"/>
      <c r="R141" s="9"/>
      <c r="T141" s="68"/>
      <c r="U141" s="6" t="s">
        <v>64</v>
      </c>
      <c r="V141" s="10"/>
      <c r="W141" s="9"/>
      <c r="X141" s="10"/>
      <c r="Y141" s="9"/>
      <c r="Z141" s="68"/>
      <c r="AA141" s="68"/>
      <c r="AB141" s="6" t="s">
        <v>64</v>
      </c>
      <c r="AC141" s="47"/>
      <c r="AD141" s="47"/>
      <c r="AE141" s="48"/>
      <c r="AF141" s="48"/>
      <c r="AG141" s="48"/>
    </row>
    <row r="142">
      <c r="A142" s="6" t="s">
        <v>71</v>
      </c>
      <c r="B142" s="10"/>
      <c r="C142" s="33"/>
      <c r="D142" s="22"/>
      <c r="E142" s="9"/>
      <c r="G142" s="6" t="s">
        <v>71</v>
      </c>
      <c r="H142" s="59"/>
      <c r="I142" s="33"/>
      <c r="J142" s="372"/>
      <c r="K142" s="9"/>
      <c r="L142" s="52"/>
      <c r="M142" s="68"/>
      <c r="N142" s="6" t="s">
        <v>71</v>
      </c>
      <c r="O142" s="10"/>
      <c r="P142" s="33"/>
      <c r="Q142" s="10"/>
      <c r="R142" s="9"/>
      <c r="T142" s="68"/>
      <c r="U142" s="6" t="s">
        <v>71</v>
      </c>
      <c r="V142" s="10"/>
      <c r="W142" s="9"/>
      <c r="X142" s="10"/>
      <c r="Y142" s="9"/>
      <c r="Z142" s="68"/>
      <c r="AA142" s="68"/>
      <c r="AB142" s="6" t="s">
        <v>71</v>
      </c>
      <c r="AC142" s="10"/>
      <c r="AD142" s="10"/>
      <c r="AE142" s="48"/>
      <c r="AF142" s="48"/>
      <c r="AG142" s="48"/>
    </row>
    <row r="143">
      <c r="A143" s="6" t="s">
        <v>80</v>
      </c>
      <c r="D143" s="48"/>
      <c r="E143" s="48"/>
      <c r="G143" s="6" t="s">
        <v>80</v>
      </c>
      <c r="L143" s="52"/>
      <c r="M143" s="48"/>
      <c r="N143" s="6" t="s">
        <v>80</v>
      </c>
      <c r="O143" s="22"/>
      <c r="P143" s="33"/>
      <c r="Q143" s="22"/>
      <c r="R143" s="9"/>
      <c r="T143" s="48"/>
      <c r="U143" s="6" t="s">
        <v>80</v>
      </c>
      <c r="W143" s="9"/>
      <c r="X143" s="22"/>
      <c r="Y143" s="9"/>
      <c r="Z143" s="48"/>
      <c r="AA143" s="48"/>
      <c r="AB143" s="6" t="s">
        <v>80</v>
      </c>
      <c r="AC143" s="95"/>
      <c r="AD143" s="95"/>
      <c r="AE143" s="48"/>
      <c r="AF143" s="48"/>
      <c r="AG143" s="48"/>
    </row>
    <row r="144">
      <c r="A144" s="6"/>
      <c r="D144" s="48"/>
      <c r="E144" s="48"/>
      <c r="G144" s="6"/>
      <c r="L144" s="4"/>
      <c r="M144" s="48"/>
      <c r="N144" s="6"/>
      <c r="O144" s="10"/>
      <c r="P144" s="33"/>
      <c r="Q144" s="99"/>
      <c r="R144" s="9"/>
      <c r="T144" s="48"/>
      <c r="U144" s="6" t="s">
        <v>95</v>
      </c>
      <c r="V144" s="22"/>
      <c r="W144" s="9"/>
      <c r="X144" s="22"/>
      <c r="Y144" s="9"/>
      <c r="Z144" s="48"/>
      <c r="AA144" s="48"/>
      <c r="AB144" s="6" t="s">
        <v>95</v>
      </c>
      <c r="AC144" s="22"/>
      <c r="AD144" s="22"/>
      <c r="AE144" s="48"/>
      <c r="AF144" s="48"/>
      <c r="AG144" s="48"/>
    </row>
    <row r="145">
      <c r="A145" s="48"/>
      <c r="B145" s="390">
        <v>46296.0</v>
      </c>
      <c r="C145" s="390">
        <v>46297.0</v>
      </c>
      <c r="D145" s="48"/>
      <c r="E145" s="48"/>
      <c r="F145" s="48"/>
      <c r="G145" s="172"/>
      <c r="H145" s="390">
        <v>46301.0</v>
      </c>
      <c r="I145" s="390">
        <v>46302.0</v>
      </c>
      <c r="J145" s="390">
        <v>46303.0</v>
      </c>
      <c r="K145" s="390">
        <v>46304.0</v>
      </c>
      <c r="L145" s="48"/>
      <c r="M145" s="48"/>
      <c r="N145" s="172"/>
      <c r="O145" s="390">
        <v>46308.0</v>
      </c>
      <c r="P145" s="391" t="s">
        <v>1798</v>
      </c>
      <c r="Q145" s="390">
        <v>46310.0</v>
      </c>
      <c r="R145" s="390">
        <v>46311.0</v>
      </c>
      <c r="S145" s="48"/>
      <c r="T145" s="1"/>
      <c r="U145" s="172"/>
      <c r="V145" s="390">
        <v>46315.0</v>
      </c>
      <c r="W145" s="391" t="s">
        <v>1799</v>
      </c>
      <c r="X145" s="390">
        <v>46317.0</v>
      </c>
      <c r="Y145" s="390">
        <v>46318.0</v>
      </c>
      <c r="Z145" s="391" t="s">
        <v>1800</v>
      </c>
      <c r="AA145" s="1"/>
      <c r="AB145" s="172"/>
      <c r="AC145" s="390">
        <v>46322.0</v>
      </c>
      <c r="AD145" s="391" t="s">
        <v>1801</v>
      </c>
      <c r="AE145" s="390">
        <v>46324.0</v>
      </c>
      <c r="AF145" s="390">
        <v>45960.0</v>
      </c>
      <c r="AG145" s="48"/>
    </row>
    <row r="146">
      <c r="A146" s="6" t="s">
        <v>0</v>
      </c>
      <c r="B146" s="59"/>
      <c r="C146" s="329"/>
      <c r="D146" s="48"/>
      <c r="E146" s="48"/>
      <c r="F146" s="48"/>
      <c r="G146" s="32" t="s">
        <v>0</v>
      </c>
      <c r="H146" s="329"/>
      <c r="I146" s="10"/>
      <c r="J146" s="329"/>
      <c r="K146" s="10"/>
      <c r="L146" s="48"/>
      <c r="M146" s="68"/>
      <c r="N146" s="32" t="s">
        <v>0</v>
      </c>
      <c r="O146" s="329"/>
      <c r="P146" s="10"/>
      <c r="Q146" s="329"/>
      <c r="R146" s="272"/>
      <c r="S146" s="68"/>
      <c r="T146" s="68"/>
      <c r="U146" s="32" t="s">
        <v>0</v>
      </c>
      <c r="V146" s="33"/>
      <c r="W146" s="59"/>
      <c r="X146" s="329"/>
      <c r="Y146" s="91"/>
      <c r="AA146" s="68"/>
      <c r="AB146" s="32" t="s">
        <v>0</v>
      </c>
      <c r="AC146" s="329"/>
      <c r="AD146" s="392"/>
      <c r="AE146" s="329"/>
      <c r="AF146" s="36"/>
      <c r="AG146" s="48"/>
    </row>
    <row r="147">
      <c r="A147" s="6" t="s">
        <v>5</v>
      </c>
      <c r="B147" s="10"/>
      <c r="C147" s="329"/>
      <c r="D147" s="48"/>
      <c r="E147" s="48"/>
      <c r="F147" s="48"/>
      <c r="G147" s="6" t="s">
        <v>5</v>
      </c>
      <c r="H147" s="329"/>
      <c r="J147" s="329"/>
      <c r="K147" s="10"/>
      <c r="L147" s="48"/>
      <c r="M147" s="68"/>
      <c r="N147" s="6" t="s">
        <v>5</v>
      </c>
      <c r="O147" s="329"/>
      <c r="P147" s="10"/>
      <c r="Q147" s="329"/>
      <c r="R147" s="272"/>
      <c r="S147" s="68"/>
      <c r="T147" s="68"/>
      <c r="U147" s="6" t="s">
        <v>5</v>
      </c>
      <c r="V147" s="329"/>
      <c r="W147" s="10"/>
      <c r="X147" s="329"/>
      <c r="Y147" s="393"/>
      <c r="AA147" s="68"/>
      <c r="AB147" s="6" t="s">
        <v>5</v>
      </c>
      <c r="AC147" s="329"/>
      <c r="AD147" s="394"/>
      <c r="AE147" s="329"/>
      <c r="AF147" s="10"/>
      <c r="AG147" s="48"/>
    </row>
    <row r="148">
      <c r="A148" s="6" t="s">
        <v>13</v>
      </c>
      <c r="B148" s="22"/>
      <c r="C148" s="329"/>
      <c r="D148" s="48"/>
      <c r="E148" s="48"/>
      <c r="F148" s="48"/>
      <c r="G148" s="6" t="s">
        <v>13</v>
      </c>
      <c r="H148" s="329"/>
      <c r="I148" s="10"/>
      <c r="J148" s="329"/>
      <c r="K148" s="10"/>
      <c r="L148" s="48"/>
      <c r="M148" s="68"/>
      <c r="N148" s="6" t="s">
        <v>13</v>
      </c>
      <c r="O148" s="329"/>
      <c r="P148" s="22"/>
      <c r="Q148" s="329"/>
      <c r="R148" s="272"/>
      <c r="S148" s="68"/>
      <c r="T148" s="68"/>
      <c r="U148" s="6" t="s">
        <v>13</v>
      </c>
      <c r="V148" s="329"/>
      <c r="W148" s="10"/>
      <c r="X148" s="329"/>
      <c r="Y148" s="56"/>
      <c r="AA148" s="68"/>
      <c r="AB148" s="6" t="s">
        <v>13</v>
      </c>
      <c r="AC148" s="329"/>
      <c r="AD148" s="59"/>
      <c r="AE148" s="329"/>
      <c r="AF148" s="15"/>
      <c r="AG148" s="48"/>
    </row>
    <row r="149" ht="17.25" customHeight="1">
      <c r="A149" s="6" t="s">
        <v>19</v>
      </c>
      <c r="B149" s="47"/>
      <c r="C149" s="329"/>
      <c r="D149" s="48"/>
      <c r="E149" s="48"/>
      <c r="F149" s="48"/>
      <c r="G149" s="6" t="s">
        <v>19</v>
      </c>
      <c r="H149" s="329"/>
      <c r="I149" s="254"/>
      <c r="J149" s="329"/>
      <c r="K149" s="10"/>
      <c r="L149" s="48"/>
      <c r="M149" s="68"/>
      <c r="N149" s="6" t="s">
        <v>19</v>
      </c>
      <c r="O149" s="329"/>
      <c r="P149" s="22"/>
      <c r="Q149" s="329"/>
      <c r="R149" s="272"/>
      <c r="S149" s="68"/>
      <c r="T149" s="68"/>
      <c r="U149" s="6" t="s">
        <v>19</v>
      </c>
      <c r="V149" s="329"/>
      <c r="X149" s="329"/>
      <c r="Y149" s="395"/>
      <c r="AA149" s="68"/>
      <c r="AB149" s="6" t="s">
        <v>19</v>
      </c>
      <c r="AC149" s="329"/>
      <c r="AD149" s="10"/>
      <c r="AE149" s="329"/>
      <c r="AF149" s="257"/>
      <c r="AG149" s="48"/>
    </row>
    <row r="150">
      <c r="A150" s="32" t="s">
        <v>27</v>
      </c>
      <c r="B150" s="10"/>
      <c r="C150" s="329"/>
      <c r="D150" s="48"/>
      <c r="E150" s="48"/>
      <c r="F150" s="48"/>
      <c r="G150" s="32" t="s">
        <v>27</v>
      </c>
      <c r="H150" s="329"/>
      <c r="J150" s="329"/>
      <c r="K150" s="10"/>
      <c r="L150" s="48"/>
      <c r="M150" s="68"/>
      <c r="N150" s="32" t="s">
        <v>27</v>
      </c>
      <c r="O150" s="329"/>
      <c r="P150" s="10"/>
      <c r="Q150" s="329"/>
      <c r="R150" s="272"/>
      <c r="S150" s="68"/>
      <c r="T150" s="68"/>
      <c r="U150" s="32" t="s">
        <v>27</v>
      </c>
      <c r="V150" s="329"/>
      <c r="W150" s="280"/>
      <c r="X150" s="329"/>
      <c r="Y150" s="396"/>
      <c r="AA150" s="68"/>
      <c r="AB150" s="32" t="s">
        <v>27</v>
      </c>
      <c r="AC150" s="329"/>
      <c r="AD150" s="192"/>
      <c r="AE150" s="329"/>
      <c r="AF150" s="10"/>
      <c r="AG150" s="48"/>
    </row>
    <row r="151">
      <c r="A151" s="32" t="s">
        <v>33</v>
      </c>
      <c r="B151" s="192"/>
      <c r="C151" s="329"/>
      <c r="D151" s="48"/>
      <c r="E151" s="48"/>
      <c r="F151" s="48"/>
      <c r="G151" s="32" t="s">
        <v>33</v>
      </c>
      <c r="H151" s="329"/>
      <c r="J151" s="329"/>
      <c r="K151" s="10"/>
      <c r="L151" s="48"/>
      <c r="M151" s="68"/>
      <c r="N151" s="32" t="s">
        <v>33</v>
      </c>
      <c r="O151" s="329"/>
      <c r="Q151" s="329"/>
      <c r="R151" s="272"/>
      <c r="S151" s="68"/>
      <c r="T151" s="68"/>
      <c r="U151" s="32" t="s">
        <v>33</v>
      </c>
      <c r="V151" s="329"/>
      <c r="W151" s="10"/>
      <c r="X151" s="329"/>
      <c r="Y151" s="56"/>
      <c r="AA151" s="68"/>
      <c r="AB151" s="32" t="s">
        <v>33</v>
      </c>
      <c r="AC151" s="329"/>
      <c r="AD151" s="12"/>
      <c r="AE151" s="329"/>
      <c r="AF151" s="56"/>
      <c r="AG151" s="48"/>
    </row>
    <row r="152">
      <c r="A152" s="32" t="s">
        <v>39</v>
      </c>
      <c r="B152" s="10"/>
      <c r="C152" s="10"/>
      <c r="D152" s="48"/>
      <c r="E152" s="48"/>
      <c r="F152" s="48"/>
      <c r="G152" s="32" t="s">
        <v>39</v>
      </c>
      <c r="H152" s="10"/>
      <c r="I152" s="329"/>
      <c r="J152" s="10"/>
      <c r="K152" s="329"/>
      <c r="L152" s="48"/>
      <c r="M152" s="68"/>
      <c r="N152" s="32" t="s">
        <v>39</v>
      </c>
      <c r="O152" s="10"/>
      <c r="P152" s="33"/>
      <c r="Q152" s="22"/>
      <c r="R152" s="329"/>
      <c r="S152" s="68"/>
      <c r="T152" s="68"/>
      <c r="U152" s="32" t="s">
        <v>39</v>
      </c>
      <c r="V152" s="22"/>
      <c r="W152" s="329"/>
      <c r="X152" s="22"/>
      <c r="Y152" s="10"/>
      <c r="AA152" s="68"/>
      <c r="AB152" s="32" t="s">
        <v>39</v>
      </c>
      <c r="AC152" s="16"/>
      <c r="AD152" s="329"/>
      <c r="AE152" s="16"/>
      <c r="AF152" s="33"/>
      <c r="AG152" s="48"/>
    </row>
    <row r="153">
      <c r="A153" s="6" t="s">
        <v>45</v>
      </c>
      <c r="B153" s="9"/>
      <c r="C153" s="10"/>
      <c r="D153" s="48"/>
      <c r="E153" s="48"/>
      <c r="F153" s="48"/>
      <c r="G153" s="6" t="s">
        <v>45</v>
      </c>
      <c r="H153" s="10"/>
      <c r="I153" s="329"/>
      <c r="J153" s="10"/>
      <c r="K153" s="329"/>
      <c r="L153" s="48"/>
      <c r="M153" s="68"/>
      <c r="N153" s="6" t="s">
        <v>45</v>
      </c>
      <c r="P153" s="33"/>
      <c r="Q153" s="10"/>
      <c r="R153" s="329"/>
      <c r="S153" s="68"/>
      <c r="T153" s="68"/>
      <c r="U153" s="6" t="s">
        <v>45</v>
      </c>
      <c r="V153" s="22"/>
      <c r="W153" s="329"/>
      <c r="X153" s="22"/>
      <c r="Y153" s="329"/>
      <c r="AA153" s="68"/>
      <c r="AB153" s="6" t="s">
        <v>45</v>
      </c>
      <c r="AC153" s="16"/>
      <c r="AD153" s="329"/>
      <c r="AE153" s="16"/>
      <c r="AF153" s="33"/>
      <c r="AG153" s="48"/>
    </row>
    <row r="154">
      <c r="A154" s="6" t="s">
        <v>54</v>
      </c>
      <c r="B154" s="9"/>
      <c r="C154" s="10"/>
      <c r="D154" s="48"/>
      <c r="E154" s="48"/>
      <c r="F154" s="48"/>
      <c r="G154" s="6" t="s">
        <v>54</v>
      </c>
      <c r="H154" s="10"/>
      <c r="I154" s="329"/>
      <c r="J154" s="10"/>
      <c r="K154" s="329"/>
      <c r="L154" s="48"/>
      <c r="M154" s="68"/>
      <c r="N154" s="6" t="s">
        <v>54</v>
      </c>
      <c r="P154" s="329"/>
      <c r="Q154" s="10"/>
      <c r="R154" s="329"/>
      <c r="S154" s="68"/>
      <c r="T154" s="68"/>
      <c r="U154" s="6" t="s">
        <v>54</v>
      </c>
      <c r="V154" s="10"/>
      <c r="W154" s="329"/>
      <c r="X154" s="10"/>
      <c r="Y154" s="329"/>
      <c r="AA154" s="68"/>
      <c r="AB154" s="6" t="s">
        <v>54</v>
      </c>
      <c r="AC154" s="12"/>
      <c r="AD154" s="329"/>
      <c r="AE154" s="22"/>
      <c r="AF154" s="329"/>
      <c r="AG154" s="48"/>
    </row>
    <row r="155" ht="17.25" customHeight="1">
      <c r="A155" s="6" t="s">
        <v>64</v>
      </c>
      <c r="B155" s="9"/>
      <c r="D155" s="48"/>
      <c r="E155" s="48"/>
      <c r="F155" s="48"/>
      <c r="G155" s="6" t="s">
        <v>64</v>
      </c>
      <c r="H155" s="22"/>
      <c r="I155" s="329"/>
      <c r="J155" s="10"/>
      <c r="K155" s="329"/>
      <c r="L155" s="48"/>
      <c r="M155" s="68"/>
      <c r="N155" s="32" t="s">
        <v>1794</v>
      </c>
      <c r="O155" s="10"/>
      <c r="P155" s="329"/>
      <c r="Q155" s="10"/>
      <c r="R155" s="329"/>
      <c r="S155" s="68"/>
      <c r="T155" s="68"/>
      <c r="U155" s="6" t="s">
        <v>64</v>
      </c>
      <c r="V155" s="22"/>
      <c r="W155" s="329"/>
      <c r="X155" s="59"/>
      <c r="Y155" s="329"/>
      <c r="AA155" s="68"/>
      <c r="AB155" s="6" t="s">
        <v>64</v>
      </c>
      <c r="AC155" s="16"/>
      <c r="AD155" s="329"/>
      <c r="AF155" s="329"/>
      <c r="AG155" s="48"/>
    </row>
    <row r="156" ht="18.0" customHeight="1">
      <c r="A156" s="6" t="s">
        <v>71</v>
      </c>
      <c r="B156" s="9"/>
      <c r="C156" s="22"/>
      <c r="D156" s="48"/>
      <c r="E156" s="48"/>
      <c r="F156" s="48"/>
      <c r="G156" s="6" t="s">
        <v>71</v>
      </c>
      <c r="H156" s="243"/>
      <c r="I156" s="329"/>
      <c r="J156" s="10"/>
      <c r="K156" s="329"/>
      <c r="L156" s="48"/>
      <c r="M156" s="68"/>
      <c r="N156" s="6" t="s">
        <v>71</v>
      </c>
      <c r="P156" s="329"/>
      <c r="Q156" s="10"/>
      <c r="R156" s="329"/>
      <c r="S156" s="68"/>
      <c r="T156" s="68"/>
      <c r="U156" s="6" t="s">
        <v>71</v>
      </c>
      <c r="V156" s="10"/>
      <c r="W156" s="33"/>
      <c r="X156" s="22"/>
      <c r="Y156" s="329"/>
      <c r="AA156" s="68"/>
      <c r="AB156" s="6" t="s">
        <v>71</v>
      </c>
      <c r="AC156" s="16"/>
      <c r="AD156" s="329"/>
      <c r="AE156" s="10"/>
      <c r="AF156" s="329"/>
      <c r="AG156" s="48"/>
    </row>
    <row r="157">
      <c r="A157" s="6" t="s">
        <v>80</v>
      </c>
      <c r="B157" s="9"/>
      <c r="C157" s="22"/>
      <c r="D157" s="48"/>
      <c r="E157" s="48"/>
      <c r="F157" s="48"/>
      <c r="G157" s="6" t="s">
        <v>80</v>
      </c>
      <c r="H157" s="246"/>
      <c r="I157" s="329"/>
      <c r="J157" s="22"/>
      <c r="K157" s="329"/>
      <c r="L157" s="48"/>
      <c r="M157" s="48"/>
      <c r="N157" s="6" t="s">
        <v>80</v>
      </c>
      <c r="P157" s="329"/>
      <c r="R157" s="329"/>
      <c r="S157" s="48"/>
      <c r="T157" s="48"/>
      <c r="U157" s="6" t="s">
        <v>80</v>
      </c>
      <c r="V157" s="22"/>
      <c r="W157" s="329"/>
      <c r="X157" s="397"/>
      <c r="Y157" s="329"/>
      <c r="AA157" s="48"/>
      <c r="AB157" s="6" t="s">
        <v>80</v>
      </c>
      <c r="AC157" s="10"/>
      <c r="AD157" s="329"/>
      <c r="AE157" s="10"/>
      <c r="AF157" s="329"/>
      <c r="AG157" s="48"/>
    </row>
    <row r="158">
      <c r="A158" s="6"/>
      <c r="B158" s="9"/>
      <c r="C158" s="10"/>
      <c r="D158" s="48"/>
      <c r="E158" s="48"/>
      <c r="F158" s="48"/>
      <c r="G158" s="6"/>
      <c r="H158" s="251"/>
      <c r="I158" s="329"/>
      <c r="J158" s="10"/>
      <c r="K158" s="329"/>
      <c r="L158" s="48"/>
      <c r="M158" s="48"/>
      <c r="N158" s="6"/>
      <c r="O158" s="199"/>
      <c r="P158" s="329"/>
      <c r="Q158" s="10"/>
      <c r="R158" s="329"/>
      <c r="S158" s="48"/>
      <c r="T158" s="48"/>
      <c r="U158" s="6" t="s">
        <v>95</v>
      </c>
      <c r="V158" s="99"/>
      <c r="W158" s="329"/>
      <c r="X158" s="398"/>
      <c r="Y158" s="329"/>
      <c r="AA158" s="48"/>
      <c r="AB158" s="6" t="s">
        <v>95</v>
      </c>
      <c r="AC158" s="16"/>
      <c r="AD158" s="329"/>
      <c r="AE158" s="16"/>
      <c r="AF158" s="329"/>
      <c r="AG158" s="48"/>
    </row>
    <row r="159">
      <c r="A159" s="48"/>
      <c r="B159" s="399">
        <v>46329.0</v>
      </c>
      <c r="C159" s="399">
        <v>46330.0</v>
      </c>
      <c r="D159" s="399">
        <v>46331.0</v>
      </c>
      <c r="E159" s="399">
        <v>46332.0</v>
      </c>
      <c r="F159" s="48"/>
      <c r="G159" s="1"/>
      <c r="H159" s="399">
        <v>46336.0</v>
      </c>
      <c r="I159" s="399">
        <v>46337.0</v>
      </c>
      <c r="J159" s="399">
        <v>46338.0</v>
      </c>
      <c r="K159" s="399">
        <v>46339.0</v>
      </c>
      <c r="L159" s="48"/>
      <c r="M159" s="48"/>
      <c r="N159" s="1"/>
      <c r="O159" s="399">
        <v>46343.0</v>
      </c>
      <c r="P159" s="399">
        <v>46344.0</v>
      </c>
      <c r="Q159" s="399">
        <v>46345.0</v>
      </c>
      <c r="R159" s="399">
        <v>46346.0</v>
      </c>
      <c r="S159" s="48"/>
      <c r="T159" s="1"/>
      <c r="U159" s="1"/>
      <c r="V159" s="399">
        <v>46350.0</v>
      </c>
      <c r="W159" s="399">
        <v>46351.0</v>
      </c>
      <c r="X159" s="399">
        <v>46352.0</v>
      </c>
      <c r="Y159" s="399">
        <v>46353.0</v>
      </c>
      <c r="Z159" s="48"/>
      <c r="AA159" s="48"/>
      <c r="AB159" s="48"/>
      <c r="AC159" s="48"/>
      <c r="AD159" s="48"/>
      <c r="AE159" s="48"/>
      <c r="AF159" s="48"/>
      <c r="AG159" s="48"/>
    </row>
    <row r="160">
      <c r="A160" s="6" t="s">
        <v>0</v>
      </c>
      <c r="B160" s="199"/>
      <c r="C160" s="199"/>
      <c r="D160" s="199"/>
      <c r="E160" s="199"/>
      <c r="F160" s="48"/>
      <c r="G160" s="6" t="s">
        <v>0</v>
      </c>
      <c r="H160" s="199"/>
      <c r="I160" s="199"/>
      <c r="J160" s="400"/>
      <c r="K160" s="400"/>
      <c r="L160" s="48"/>
      <c r="M160" s="68"/>
      <c r="N160" s="6" t="s">
        <v>0</v>
      </c>
      <c r="O160" s="199"/>
      <c r="P160" s="199"/>
      <c r="Q160" s="400"/>
      <c r="R160" s="400"/>
      <c r="S160" s="68"/>
      <c r="T160" s="68"/>
      <c r="U160" s="6" t="s">
        <v>0</v>
      </c>
      <c r="V160" s="199"/>
      <c r="W160" s="199"/>
      <c r="X160" s="400"/>
      <c r="Y160" s="400"/>
      <c r="Z160" s="48"/>
      <c r="AA160" s="48"/>
      <c r="AB160" s="48"/>
      <c r="AC160" s="48"/>
      <c r="AD160" s="48"/>
      <c r="AE160" s="48"/>
      <c r="AF160" s="48"/>
      <c r="AG160" s="48"/>
    </row>
    <row r="161">
      <c r="A161" s="6" t="s">
        <v>5</v>
      </c>
      <c r="B161" s="199"/>
      <c r="C161" s="199"/>
      <c r="D161" s="199"/>
      <c r="E161" s="199"/>
      <c r="F161" s="48"/>
      <c r="G161" s="6" t="s">
        <v>5</v>
      </c>
      <c r="H161" s="199"/>
      <c r="I161" s="199"/>
      <c r="J161" s="400"/>
      <c r="K161" s="400"/>
      <c r="L161" s="48"/>
      <c r="M161" s="68"/>
      <c r="N161" s="6" t="s">
        <v>5</v>
      </c>
      <c r="O161" s="199"/>
      <c r="P161" s="199"/>
      <c r="Q161" s="400"/>
      <c r="R161" s="400"/>
      <c r="S161" s="68"/>
      <c r="T161" s="68"/>
      <c r="U161" s="6" t="s">
        <v>5</v>
      </c>
      <c r="V161" s="199"/>
      <c r="W161" s="199"/>
      <c r="X161" s="400"/>
      <c r="Y161" s="400"/>
      <c r="Z161" s="48"/>
      <c r="AA161" s="48"/>
      <c r="AB161" s="48"/>
      <c r="AC161" s="48"/>
      <c r="AD161" s="48"/>
      <c r="AE161" s="48"/>
      <c r="AF161" s="48"/>
      <c r="AG161" s="48"/>
    </row>
    <row r="162">
      <c r="A162" s="6" t="s">
        <v>13</v>
      </c>
      <c r="B162" s="199"/>
      <c r="C162" s="199"/>
      <c r="D162" s="199"/>
      <c r="E162" s="199"/>
      <c r="F162" s="48"/>
      <c r="G162" s="6" t="s">
        <v>13</v>
      </c>
      <c r="H162" s="199"/>
      <c r="I162" s="199"/>
      <c r="J162" s="400"/>
      <c r="K162" s="400"/>
      <c r="L162" s="48"/>
      <c r="M162" s="68"/>
      <c r="N162" s="6" t="s">
        <v>13</v>
      </c>
      <c r="O162" s="199"/>
      <c r="P162" s="199"/>
      <c r="Q162" s="400"/>
      <c r="R162" s="400"/>
      <c r="S162" s="68"/>
      <c r="T162" s="68"/>
      <c r="U162" s="6" t="s">
        <v>13</v>
      </c>
      <c r="V162" s="199"/>
      <c r="W162" s="199"/>
      <c r="X162" s="400"/>
      <c r="Y162" s="400"/>
      <c r="Z162" s="48"/>
      <c r="AA162" s="48"/>
      <c r="AB162" s="48"/>
      <c r="AC162" s="48"/>
      <c r="AD162" s="48"/>
      <c r="AE162" s="48"/>
      <c r="AF162" s="48"/>
      <c r="AG162" s="48"/>
    </row>
    <row r="163">
      <c r="A163" s="6" t="s">
        <v>19</v>
      </c>
      <c r="B163" s="199"/>
      <c r="C163" s="199"/>
      <c r="D163" s="199"/>
      <c r="E163" s="199"/>
      <c r="F163" s="48"/>
      <c r="G163" s="6" t="s">
        <v>19</v>
      </c>
      <c r="H163" s="199"/>
      <c r="I163" s="199"/>
      <c r="J163" s="400"/>
      <c r="K163" s="400"/>
      <c r="L163" s="48"/>
      <c r="M163" s="68"/>
      <c r="N163" s="6" t="s">
        <v>19</v>
      </c>
      <c r="O163" s="199"/>
      <c r="P163" s="199"/>
      <c r="Q163" s="400"/>
      <c r="R163" s="400"/>
      <c r="S163" s="68"/>
      <c r="T163" s="68"/>
      <c r="U163" s="6" t="s">
        <v>19</v>
      </c>
      <c r="V163" s="199"/>
      <c r="W163" s="199"/>
      <c r="X163" s="400"/>
      <c r="Y163" s="400"/>
      <c r="Z163" s="48"/>
      <c r="AA163" s="48"/>
      <c r="AB163" s="48"/>
      <c r="AC163" s="48"/>
      <c r="AD163" s="48"/>
      <c r="AE163" s="48"/>
      <c r="AF163" s="48"/>
      <c r="AG163" s="48"/>
    </row>
    <row r="164">
      <c r="A164" s="6" t="s">
        <v>39</v>
      </c>
      <c r="B164" s="199"/>
      <c r="C164" s="199"/>
      <c r="D164" s="199"/>
      <c r="E164" s="199"/>
      <c r="F164" s="48"/>
      <c r="G164" s="6" t="s">
        <v>39</v>
      </c>
      <c r="H164" s="199"/>
      <c r="I164" s="199"/>
      <c r="J164" s="400"/>
      <c r="K164" s="400"/>
      <c r="L164" s="48"/>
      <c r="M164" s="68"/>
      <c r="N164" s="6" t="s">
        <v>39</v>
      </c>
      <c r="O164" s="199"/>
      <c r="P164" s="199"/>
      <c r="Q164" s="400"/>
      <c r="R164" s="400"/>
      <c r="S164" s="68"/>
      <c r="T164" s="68"/>
      <c r="U164" s="6" t="s">
        <v>39</v>
      </c>
      <c r="V164" s="199"/>
      <c r="W164" s="199"/>
      <c r="X164" s="400"/>
      <c r="Y164" s="400"/>
      <c r="Z164" s="48"/>
      <c r="AA164" s="48"/>
      <c r="AB164" s="48"/>
      <c r="AC164" s="48"/>
      <c r="AD164" s="48"/>
      <c r="AE164" s="48"/>
      <c r="AF164" s="48"/>
      <c r="AG164" s="48"/>
    </row>
    <row r="165">
      <c r="A165" s="6" t="s">
        <v>45</v>
      </c>
      <c r="B165" s="199"/>
      <c r="C165" s="199"/>
      <c r="D165" s="199"/>
      <c r="E165" s="199"/>
      <c r="F165" s="48"/>
      <c r="G165" s="6" t="s">
        <v>45</v>
      </c>
      <c r="H165" s="199"/>
      <c r="I165" s="199"/>
      <c r="J165" s="400"/>
      <c r="K165" s="400"/>
      <c r="L165" s="48"/>
      <c r="M165" s="68"/>
      <c r="N165" s="6" t="s">
        <v>45</v>
      </c>
      <c r="O165" s="199"/>
      <c r="P165" s="199"/>
      <c r="Q165" s="400"/>
      <c r="R165" s="400"/>
      <c r="S165" s="68"/>
      <c r="T165" s="68"/>
      <c r="U165" s="6" t="s">
        <v>45</v>
      </c>
      <c r="V165" s="199"/>
      <c r="W165" s="199"/>
      <c r="X165" s="400"/>
      <c r="Y165" s="400"/>
      <c r="Z165" s="48"/>
      <c r="AA165" s="48"/>
      <c r="AB165" s="48"/>
      <c r="AC165" s="48"/>
      <c r="AD165" s="48"/>
      <c r="AE165" s="48"/>
      <c r="AF165" s="48"/>
      <c r="AG165" s="48"/>
    </row>
    <row r="166">
      <c r="A166" s="6" t="s">
        <v>54</v>
      </c>
      <c r="B166" s="199"/>
      <c r="C166" s="199"/>
      <c r="D166" s="199"/>
      <c r="E166" s="199"/>
      <c r="F166" s="48"/>
      <c r="G166" s="6" t="s">
        <v>54</v>
      </c>
      <c r="H166" s="199"/>
      <c r="I166" s="199"/>
      <c r="J166" s="400"/>
      <c r="K166" s="400"/>
      <c r="L166" s="48"/>
      <c r="M166" s="68"/>
      <c r="N166" s="6" t="s">
        <v>54</v>
      </c>
      <c r="O166" s="199"/>
      <c r="P166" s="199"/>
      <c r="Q166" s="400"/>
      <c r="R166" s="400"/>
      <c r="S166" s="68"/>
      <c r="T166" s="68"/>
      <c r="U166" s="6" t="s">
        <v>54</v>
      </c>
      <c r="V166" s="199"/>
      <c r="W166" s="199"/>
      <c r="X166" s="400"/>
      <c r="Y166" s="400"/>
      <c r="Z166" s="48"/>
      <c r="AA166" s="48"/>
      <c r="AB166" s="48"/>
      <c r="AC166" s="48"/>
      <c r="AD166" s="48"/>
      <c r="AE166" s="48"/>
      <c r="AF166" s="48"/>
      <c r="AG166" s="48"/>
    </row>
    <row r="167">
      <c r="A167" s="6" t="s">
        <v>64</v>
      </c>
      <c r="B167" s="199"/>
      <c r="C167" s="199"/>
      <c r="D167" s="199"/>
      <c r="E167" s="199"/>
      <c r="F167" s="48"/>
      <c r="G167" s="6" t="s">
        <v>64</v>
      </c>
      <c r="H167" s="199"/>
      <c r="I167" s="199"/>
      <c r="J167" s="400"/>
      <c r="K167" s="400"/>
      <c r="L167" s="48"/>
      <c r="M167" s="68"/>
      <c r="N167" s="6" t="s">
        <v>64</v>
      </c>
      <c r="O167" s="199"/>
      <c r="P167" s="199"/>
      <c r="Q167" s="400"/>
      <c r="R167" s="400"/>
      <c r="S167" s="68"/>
      <c r="T167" s="68"/>
      <c r="U167" s="6" t="s">
        <v>64</v>
      </c>
      <c r="V167" s="199"/>
      <c r="W167" s="199"/>
      <c r="X167" s="400"/>
      <c r="Y167" s="400"/>
      <c r="Z167" s="48"/>
      <c r="AA167" s="48"/>
      <c r="AB167" s="48"/>
      <c r="AC167" s="48"/>
      <c r="AD167" s="48"/>
      <c r="AE167" s="48"/>
      <c r="AF167" s="48"/>
      <c r="AG167" s="48"/>
    </row>
    <row r="168">
      <c r="A168" s="6" t="s">
        <v>71</v>
      </c>
      <c r="B168" s="199"/>
      <c r="C168" s="199"/>
      <c r="D168" s="199"/>
      <c r="E168" s="199"/>
      <c r="F168" s="48"/>
      <c r="G168" s="6" t="s">
        <v>71</v>
      </c>
      <c r="H168" s="199"/>
      <c r="I168" s="199"/>
      <c r="J168" s="400"/>
      <c r="K168" s="400"/>
      <c r="L168" s="48"/>
      <c r="M168" s="68"/>
      <c r="N168" s="6" t="s">
        <v>71</v>
      </c>
      <c r="O168" s="199"/>
      <c r="P168" s="199"/>
      <c r="Q168" s="400"/>
      <c r="R168" s="400"/>
      <c r="S168" s="68"/>
      <c r="T168" s="68"/>
      <c r="U168" s="6" t="s">
        <v>71</v>
      </c>
      <c r="V168" s="199"/>
      <c r="W168" s="199"/>
      <c r="X168" s="400"/>
      <c r="Y168" s="400"/>
      <c r="Z168" s="48"/>
      <c r="AA168" s="48"/>
      <c r="AB168" s="48"/>
      <c r="AC168" s="48"/>
      <c r="AD168" s="48"/>
      <c r="AE168" s="48"/>
      <c r="AF168" s="48"/>
      <c r="AG168" s="48"/>
    </row>
    <row r="169">
      <c r="A169" s="6" t="s">
        <v>80</v>
      </c>
      <c r="B169" s="199"/>
      <c r="C169" s="199"/>
      <c r="D169" s="199"/>
      <c r="E169" s="199"/>
      <c r="F169" s="48"/>
      <c r="G169" s="6" t="s">
        <v>80</v>
      </c>
      <c r="H169" s="199"/>
      <c r="I169" s="199"/>
      <c r="J169" s="400"/>
      <c r="K169" s="400"/>
      <c r="L169" s="48"/>
      <c r="M169" s="68"/>
      <c r="N169" s="6" t="s">
        <v>80</v>
      </c>
      <c r="O169" s="199"/>
      <c r="P169" s="199"/>
      <c r="Q169" s="400"/>
      <c r="R169" s="400"/>
      <c r="S169" s="68"/>
      <c r="T169" s="68"/>
      <c r="U169" s="6" t="s">
        <v>80</v>
      </c>
      <c r="V169" s="199"/>
      <c r="W169" s="199"/>
      <c r="X169" s="400"/>
      <c r="Y169" s="400"/>
      <c r="Z169" s="48"/>
      <c r="AA169" s="48"/>
      <c r="AB169" s="48"/>
      <c r="AC169" s="48"/>
      <c r="AD169" s="48"/>
      <c r="AE169" s="48"/>
      <c r="AF169" s="48"/>
      <c r="AG169" s="48"/>
    </row>
    <row r="170">
      <c r="A170" s="6" t="s">
        <v>95</v>
      </c>
      <c r="B170" s="199"/>
      <c r="C170" s="199"/>
      <c r="D170" s="199"/>
      <c r="E170" s="199"/>
      <c r="F170" s="48"/>
      <c r="G170" s="6" t="s">
        <v>95</v>
      </c>
      <c r="H170" s="199"/>
      <c r="I170" s="199"/>
      <c r="J170" s="400"/>
      <c r="K170" s="400"/>
      <c r="L170" s="48"/>
      <c r="M170" s="68"/>
      <c r="N170" s="6" t="s">
        <v>95</v>
      </c>
      <c r="O170" s="199"/>
      <c r="P170" s="199"/>
      <c r="Q170" s="400"/>
      <c r="R170" s="400"/>
      <c r="S170" s="68"/>
      <c r="T170" s="68"/>
      <c r="U170" s="6" t="s">
        <v>95</v>
      </c>
      <c r="V170" s="199"/>
      <c r="W170" s="199"/>
      <c r="X170" s="400"/>
      <c r="Y170" s="400"/>
      <c r="Z170" s="48"/>
      <c r="AA170" s="48"/>
      <c r="AB170" s="48"/>
      <c r="AC170" s="48"/>
      <c r="AD170" s="48"/>
      <c r="AE170" s="48"/>
      <c r="AF170" s="48"/>
      <c r="AG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>
      <c r="A173" s="48"/>
      <c r="B173" s="401">
        <v>46357.0</v>
      </c>
      <c r="C173" s="401">
        <v>46358.0</v>
      </c>
      <c r="D173" s="401">
        <v>46359.0</v>
      </c>
      <c r="E173" s="401">
        <v>46360.0</v>
      </c>
      <c r="F173" s="48"/>
      <c r="G173" s="48"/>
      <c r="H173" s="401">
        <v>46364.0</v>
      </c>
      <c r="I173" s="401">
        <v>46365.0</v>
      </c>
      <c r="J173" s="401">
        <v>46366.0</v>
      </c>
      <c r="K173" s="401">
        <v>46367.0</v>
      </c>
      <c r="L173" s="48"/>
      <c r="M173" s="48"/>
      <c r="N173" s="1"/>
      <c r="O173" s="401">
        <v>46371.0</v>
      </c>
      <c r="P173" s="401">
        <v>46372.0</v>
      </c>
      <c r="Q173" s="401">
        <v>46373.0</v>
      </c>
      <c r="R173" s="401">
        <v>46374.0</v>
      </c>
      <c r="S173" s="48"/>
      <c r="T173" s="1"/>
      <c r="U173" s="1"/>
      <c r="V173" s="401">
        <v>46378.0</v>
      </c>
      <c r="W173" s="401">
        <v>46379.0</v>
      </c>
      <c r="X173" s="401">
        <v>46380.0</v>
      </c>
      <c r="Y173" s="401">
        <v>46381.0</v>
      </c>
      <c r="Z173" s="1"/>
      <c r="AA173" s="1"/>
      <c r="AB173" s="1"/>
      <c r="AC173" s="401">
        <v>46385.0</v>
      </c>
      <c r="AD173" s="401">
        <v>46386.0</v>
      </c>
      <c r="AE173" s="401">
        <v>46387.0</v>
      </c>
      <c r="AF173" s="48"/>
      <c r="AG173" s="48"/>
    </row>
    <row r="174">
      <c r="A174" s="6" t="s">
        <v>0</v>
      </c>
      <c r="B174" s="199"/>
      <c r="C174" s="199"/>
      <c r="D174" s="199"/>
      <c r="E174" s="199"/>
      <c r="F174" s="48"/>
      <c r="G174" s="6" t="s">
        <v>0</v>
      </c>
      <c r="H174" s="199"/>
      <c r="I174" s="199"/>
      <c r="J174" s="199"/>
      <c r="K174" s="199"/>
      <c r="L174" s="48"/>
      <c r="M174" s="68"/>
      <c r="N174" s="6" t="s">
        <v>0</v>
      </c>
      <c r="O174" s="199"/>
      <c r="P174" s="199"/>
      <c r="Q174" s="199"/>
      <c r="R174" s="400"/>
      <c r="S174" s="68"/>
      <c r="T174" s="68"/>
      <c r="U174" s="6" t="s">
        <v>0</v>
      </c>
      <c r="V174" s="199"/>
      <c r="W174" s="199"/>
      <c r="X174" s="400"/>
      <c r="Y174" s="199"/>
      <c r="Z174" s="68"/>
      <c r="AA174" s="68"/>
      <c r="AB174" s="6" t="s">
        <v>0</v>
      </c>
      <c r="AC174" s="400"/>
      <c r="AD174" s="400"/>
      <c r="AE174" s="400"/>
      <c r="AF174" s="48"/>
      <c r="AG174" s="48"/>
    </row>
    <row r="175">
      <c r="A175" s="6" t="s">
        <v>5</v>
      </c>
      <c r="B175" s="199"/>
      <c r="C175" s="199"/>
      <c r="D175" s="199"/>
      <c r="E175" s="199"/>
      <c r="F175" s="48"/>
      <c r="G175" s="6" t="s">
        <v>5</v>
      </c>
      <c r="H175" s="199"/>
      <c r="I175" s="199"/>
      <c r="J175" s="199"/>
      <c r="K175" s="199"/>
      <c r="L175" s="48"/>
      <c r="M175" s="68"/>
      <c r="N175" s="6" t="s">
        <v>5</v>
      </c>
      <c r="O175" s="199"/>
      <c r="P175" s="199"/>
      <c r="Q175" s="199"/>
      <c r="R175" s="400"/>
      <c r="S175" s="68"/>
      <c r="T175" s="68"/>
      <c r="U175" s="6" t="s">
        <v>5</v>
      </c>
      <c r="V175" s="199"/>
      <c r="W175" s="199"/>
      <c r="X175" s="400"/>
      <c r="Y175" s="199"/>
      <c r="Z175" s="68"/>
      <c r="AA175" s="68"/>
      <c r="AB175" s="6" t="s">
        <v>5</v>
      </c>
      <c r="AC175" s="400"/>
      <c r="AD175" s="400"/>
      <c r="AE175" s="400"/>
      <c r="AF175" s="48"/>
      <c r="AG175" s="48"/>
    </row>
    <row r="176">
      <c r="A176" s="6" t="s">
        <v>13</v>
      </c>
      <c r="B176" s="199"/>
      <c r="C176" s="199"/>
      <c r="D176" s="199"/>
      <c r="E176" s="199"/>
      <c r="F176" s="48"/>
      <c r="G176" s="6" t="s">
        <v>13</v>
      </c>
      <c r="H176" s="199"/>
      <c r="I176" s="199"/>
      <c r="J176" s="199"/>
      <c r="K176" s="199"/>
      <c r="L176" s="48"/>
      <c r="M176" s="68"/>
      <c r="N176" s="6" t="s">
        <v>13</v>
      </c>
      <c r="O176" s="199"/>
      <c r="P176" s="199"/>
      <c r="Q176" s="199"/>
      <c r="R176" s="400"/>
      <c r="S176" s="68"/>
      <c r="T176" s="68"/>
      <c r="U176" s="6" t="s">
        <v>13</v>
      </c>
      <c r="V176" s="199"/>
      <c r="W176" s="199"/>
      <c r="X176" s="400"/>
      <c r="Y176" s="199"/>
      <c r="Z176" s="68"/>
      <c r="AA176" s="68"/>
      <c r="AB176" s="6" t="s">
        <v>13</v>
      </c>
      <c r="AC176" s="400"/>
      <c r="AD176" s="400"/>
      <c r="AE176" s="400"/>
      <c r="AF176" s="48"/>
      <c r="AG176" s="48"/>
    </row>
    <row r="177">
      <c r="A177" s="6" t="s">
        <v>19</v>
      </c>
      <c r="B177" s="199"/>
      <c r="C177" s="199"/>
      <c r="D177" s="199"/>
      <c r="E177" s="199"/>
      <c r="F177" s="48"/>
      <c r="G177" s="6" t="s">
        <v>19</v>
      </c>
      <c r="H177" s="199"/>
      <c r="I177" s="199"/>
      <c r="J177" s="199"/>
      <c r="K177" s="199"/>
      <c r="L177" s="48"/>
      <c r="M177" s="68"/>
      <c r="N177" s="6" t="s">
        <v>19</v>
      </c>
      <c r="O177" s="199"/>
      <c r="P177" s="199"/>
      <c r="Q177" s="199"/>
      <c r="R177" s="400"/>
      <c r="S177" s="68"/>
      <c r="T177" s="68"/>
      <c r="U177" s="6" t="s">
        <v>19</v>
      </c>
      <c r="V177" s="199"/>
      <c r="W177" s="199"/>
      <c r="X177" s="400"/>
      <c r="Y177" s="199"/>
      <c r="Z177" s="68"/>
      <c r="AA177" s="68"/>
      <c r="AB177" s="6" t="s">
        <v>19</v>
      </c>
      <c r="AC177" s="400"/>
      <c r="AD177" s="400"/>
      <c r="AE177" s="400"/>
      <c r="AF177" s="48"/>
      <c r="AG177" s="48"/>
    </row>
    <row r="178">
      <c r="A178" s="6" t="s">
        <v>39</v>
      </c>
      <c r="B178" s="199"/>
      <c r="C178" s="199"/>
      <c r="D178" s="199"/>
      <c r="E178" s="199"/>
      <c r="F178" s="48"/>
      <c r="G178" s="6" t="s">
        <v>39</v>
      </c>
      <c r="H178" s="199"/>
      <c r="I178" s="199"/>
      <c r="J178" s="199"/>
      <c r="K178" s="199"/>
      <c r="L178" s="48"/>
      <c r="M178" s="68"/>
      <c r="N178" s="6" t="s">
        <v>39</v>
      </c>
      <c r="O178" s="199"/>
      <c r="P178" s="199"/>
      <c r="Q178" s="199"/>
      <c r="R178" s="400"/>
      <c r="S178" s="68"/>
      <c r="T178" s="68"/>
      <c r="U178" s="6" t="s">
        <v>39</v>
      </c>
      <c r="V178" s="199"/>
      <c r="W178" s="199"/>
      <c r="X178" s="400"/>
      <c r="Y178" s="199"/>
      <c r="Z178" s="68"/>
      <c r="AA178" s="68"/>
      <c r="AB178" s="6" t="s">
        <v>39</v>
      </c>
      <c r="AC178" s="400"/>
      <c r="AD178" s="400"/>
      <c r="AE178" s="400"/>
      <c r="AF178" s="48"/>
      <c r="AG178" s="48"/>
    </row>
    <row r="179">
      <c r="A179" s="6" t="s">
        <v>45</v>
      </c>
      <c r="B179" s="199"/>
      <c r="C179" s="199"/>
      <c r="D179" s="199"/>
      <c r="E179" s="199"/>
      <c r="F179" s="48"/>
      <c r="G179" s="6" t="s">
        <v>45</v>
      </c>
      <c r="H179" s="199"/>
      <c r="I179" s="199"/>
      <c r="J179" s="199"/>
      <c r="K179" s="199"/>
      <c r="L179" s="48"/>
      <c r="M179" s="68"/>
      <c r="N179" s="6" t="s">
        <v>45</v>
      </c>
      <c r="O179" s="199"/>
      <c r="P179" s="199"/>
      <c r="Q179" s="199"/>
      <c r="R179" s="400"/>
      <c r="S179" s="68"/>
      <c r="T179" s="68"/>
      <c r="U179" s="6" t="s">
        <v>45</v>
      </c>
      <c r="V179" s="199"/>
      <c r="W179" s="199"/>
      <c r="X179" s="400"/>
      <c r="Y179" s="199"/>
      <c r="Z179" s="68"/>
      <c r="AA179" s="68"/>
      <c r="AB179" s="6" t="s">
        <v>45</v>
      </c>
      <c r="AC179" s="400"/>
      <c r="AD179" s="400"/>
      <c r="AE179" s="400"/>
      <c r="AF179" s="48"/>
      <c r="AG179" s="48"/>
    </row>
    <row r="180">
      <c r="A180" s="6" t="s">
        <v>54</v>
      </c>
      <c r="B180" s="199"/>
      <c r="C180" s="199"/>
      <c r="D180" s="199"/>
      <c r="E180" s="199"/>
      <c r="F180" s="48"/>
      <c r="G180" s="6" t="s">
        <v>54</v>
      </c>
      <c r="H180" s="199"/>
      <c r="I180" s="199"/>
      <c r="J180" s="199"/>
      <c r="K180" s="199"/>
      <c r="L180" s="48"/>
      <c r="M180" s="68"/>
      <c r="N180" s="6" t="s">
        <v>54</v>
      </c>
      <c r="O180" s="199"/>
      <c r="P180" s="199"/>
      <c r="Q180" s="199"/>
      <c r="R180" s="400"/>
      <c r="S180" s="68"/>
      <c r="T180" s="68"/>
      <c r="U180" s="6" t="s">
        <v>54</v>
      </c>
      <c r="V180" s="199"/>
      <c r="W180" s="199"/>
      <c r="X180" s="400"/>
      <c r="Y180" s="199"/>
      <c r="Z180" s="68"/>
      <c r="AA180" s="68"/>
      <c r="AB180" s="6" t="s">
        <v>54</v>
      </c>
      <c r="AC180" s="400"/>
      <c r="AD180" s="400"/>
      <c r="AE180" s="400"/>
      <c r="AF180" s="48"/>
      <c r="AG180" s="48"/>
    </row>
    <row r="181">
      <c r="A181" s="6" t="s">
        <v>64</v>
      </c>
      <c r="B181" s="199"/>
      <c r="C181" s="199"/>
      <c r="D181" s="199"/>
      <c r="E181" s="199"/>
      <c r="F181" s="48"/>
      <c r="G181" s="6" t="s">
        <v>64</v>
      </c>
      <c r="H181" s="199"/>
      <c r="I181" s="199"/>
      <c r="J181" s="199"/>
      <c r="K181" s="199"/>
      <c r="L181" s="48"/>
      <c r="M181" s="68"/>
      <c r="N181" s="6" t="s">
        <v>64</v>
      </c>
      <c r="O181" s="199"/>
      <c r="P181" s="199"/>
      <c r="Q181" s="199"/>
      <c r="R181" s="400"/>
      <c r="S181" s="68"/>
      <c r="T181" s="68"/>
      <c r="U181" s="6" t="s">
        <v>64</v>
      </c>
      <c r="V181" s="199"/>
      <c r="W181" s="272" t="s">
        <v>1802</v>
      </c>
      <c r="X181" s="400"/>
      <c r="Y181" s="199"/>
      <c r="Z181" s="68"/>
      <c r="AA181" s="68"/>
      <c r="AB181" s="6" t="s">
        <v>64</v>
      </c>
      <c r="AC181" s="400"/>
      <c r="AD181" s="400"/>
      <c r="AE181" s="400"/>
      <c r="AF181" s="48"/>
      <c r="AG181" s="48"/>
    </row>
    <row r="182">
      <c r="A182" s="6" t="s">
        <v>71</v>
      </c>
      <c r="B182" s="199"/>
      <c r="C182" s="199"/>
      <c r="D182" s="199"/>
      <c r="E182" s="199"/>
      <c r="F182" s="48"/>
      <c r="G182" s="6" t="s">
        <v>71</v>
      </c>
      <c r="H182" s="199"/>
      <c r="I182" s="199"/>
      <c r="J182" s="199"/>
      <c r="K182" s="199"/>
      <c r="L182" s="48"/>
      <c r="M182" s="68"/>
      <c r="N182" s="6" t="s">
        <v>71</v>
      </c>
      <c r="O182" s="199"/>
      <c r="P182" s="199"/>
      <c r="Q182" s="199"/>
      <c r="R182" s="400"/>
      <c r="S182" s="68"/>
      <c r="T182" s="68"/>
      <c r="U182" s="6" t="s">
        <v>71</v>
      </c>
      <c r="V182" s="199"/>
      <c r="W182" s="199"/>
      <c r="X182" s="400"/>
      <c r="Y182" s="199"/>
      <c r="Z182" s="68"/>
      <c r="AA182" s="68"/>
      <c r="AB182" s="6" t="s">
        <v>71</v>
      </c>
      <c r="AC182" s="400"/>
      <c r="AD182" s="400"/>
      <c r="AE182" s="400"/>
      <c r="AF182" s="48"/>
      <c r="AG182" s="48"/>
    </row>
    <row r="183">
      <c r="A183" s="6" t="s">
        <v>80</v>
      </c>
      <c r="B183" s="199"/>
      <c r="C183" s="199"/>
      <c r="D183" s="199"/>
      <c r="E183" s="199"/>
      <c r="F183" s="48"/>
      <c r="G183" s="6" t="s">
        <v>80</v>
      </c>
      <c r="H183" s="199"/>
      <c r="I183" s="199"/>
      <c r="J183" s="199"/>
      <c r="K183" s="199"/>
      <c r="L183" s="48"/>
      <c r="M183" s="68"/>
      <c r="N183" s="6" t="s">
        <v>80</v>
      </c>
      <c r="O183" s="199"/>
      <c r="P183" s="199"/>
      <c r="Q183" s="199"/>
      <c r="R183" s="400"/>
      <c r="S183" s="68"/>
      <c r="T183" s="68"/>
      <c r="U183" s="6" t="s">
        <v>80</v>
      </c>
      <c r="V183" s="199"/>
      <c r="W183" s="199"/>
      <c r="X183" s="400"/>
      <c r="Y183" s="199"/>
      <c r="Z183" s="68"/>
      <c r="AA183" s="68"/>
      <c r="AB183" s="6" t="s">
        <v>80</v>
      </c>
      <c r="AC183" s="400"/>
      <c r="AD183" s="400"/>
      <c r="AE183" s="400"/>
      <c r="AF183" s="48"/>
      <c r="AG183" s="48"/>
    </row>
    <row r="184">
      <c r="A184" s="6" t="s">
        <v>95</v>
      </c>
      <c r="B184" s="199"/>
      <c r="C184" s="199"/>
      <c r="D184" s="199"/>
      <c r="E184" s="199"/>
      <c r="F184" s="48"/>
      <c r="G184" s="6" t="s">
        <v>95</v>
      </c>
      <c r="H184" s="199"/>
      <c r="I184" s="199"/>
      <c r="J184" s="199"/>
      <c r="K184" s="199"/>
      <c r="L184" s="48"/>
      <c r="M184" s="68"/>
      <c r="N184" s="6" t="s">
        <v>95</v>
      </c>
      <c r="O184" s="199"/>
      <c r="P184" s="199"/>
      <c r="Q184" s="199"/>
      <c r="R184" s="400"/>
      <c r="S184" s="68"/>
      <c r="T184" s="68"/>
      <c r="U184" s="6" t="s">
        <v>95</v>
      </c>
      <c r="V184" s="199"/>
      <c r="W184" s="199"/>
      <c r="X184" s="400"/>
      <c r="Y184" s="199"/>
      <c r="Z184" s="68"/>
      <c r="AA184" s="68"/>
      <c r="AB184" s="6" t="s">
        <v>95</v>
      </c>
      <c r="AC184" s="400"/>
      <c r="AD184" s="400"/>
      <c r="AE184" s="400"/>
      <c r="AF184" s="48"/>
      <c r="AG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  <row r="100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  <c r="AF1001" s="48"/>
      <c r="AG1001" s="48"/>
    </row>
    <row r="1002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  <c r="AF1002" s="48"/>
      <c r="AG1002" s="48"/>
    </row>
    <row r="1003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  <c r="AF1003" s="48"/>
      <c r="AG1003" s="48"/>
    </row>
    <row r="1004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  <c r="AF1004" s="48"/>
      <c r="AG1004" s="48"/>
    </row>
    <row r="1005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  <c r="AD1005" s="48"/>
      <c r="AE1005" s="48"/>
      <c r="AF1005" s="48"/>
      <c r="AG1005" s="48"/>
    </row>
    <row r="1006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  <c r="AD1006" s="48"/>
      <c r="AE1006" s="48"/>
      <c r="AF1006" s="48"/>
      <c r="AG1006" s="48"/>
    </row>
    <row r="1007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  <c r="AD1007" s="48"/>
      <c r="AE1007" s="48"/>
      <c r="AF1007" s="48"/>
      <c r="AG1007" s="48"/>
    </row>
  </sheetData>
  <mergeCells count="5">
    <mergeCell ref="B1:E1"/>
    <mergeCell ref="G1:K1"/>
    <mergeCell ref="N1:R1"/>
    <mergeCell ref="U1:Y1"/>
    <mergeCell ref="AB1:A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14.5"/>
    <col customWidth="1" min="4" max="4" width="13.13"/>
    <col customWidth="1" min="5" max="5" width="16.63"/>
    <col customWidth="1" min="6" max="6" width="17.38"/>
    <col customWidth="1" min="7" max="7" width="6.63"/>
    <col customWidth="1" min="8" max="8" width="15.63"/>
    <col customWidth="1" min="9" max="9" width="16.88"/>
    <col customWidth="1" min="10" max="10" width="12.13"/>
    <col customWidth="1" min="11" max="11" width="19.5"/>
    <col customWidth="1" min="12" max="12" width="11.5"/>
    <col customWidth="1" min="13" max="13" width="5.63"/>
    <col customWidth="1" min="14" max="14" width="7.63"/>
    <col customWidth="1" min="15" max="15" width="16.13"/>
    <col customWidth="1" min="16" max="16" width="16.63"/>
    <col customWidth="1" min="17" max="17" width="14.88"/>
    <col customWidth="1" min="18" max="18" width="16.25"/>
    <col customWidth="1" min="19" max="19" width="11.5"/>
    <col customWidth="1" min="20" max="20" width="5.5"/>
    <col customWidth="1" min="21" max="21" width="7.88"/>
    <col customWidth="1" min="22" max="22" width="14.75"/>
    <col customWidth="1" min="23" max="23" width="16.13"/>
    <col customWidth="1" min="24" max="24" width="16.25"/>
    <col customWidth="1" min="25" max="25" width="16.5"/>
    <col customWidth="1" min="26" max="26" width="20.25"/>
    <col customWidth="1" min="27" max="27" width="5.13"/>
    <col customWidth="1" min="28" max="28" width="7.0"/>
    <col customWidth="1" min="29" max="29" width="13.88"/>
  </cols>
  <sheetData>
    <row r="1">
      <c r="A1" s="314"/>
      <c r="B1" s="113" t="s">
        <v>1765</v>
      </c>
      <c r="F1" s="48"/>
      <c r="G1" s="113" t="s">
        <v>1766</v>
      </c>
      <c r="L1" s="48"/>
      <c r="M1" s="68"/>
      <c r="N1" s="113" t="s">
        <v>1767</v>
      </c>
      <c r="S1" s="68"/>
      <c r="T1" s="68"/>
      <c r="U1" s="113" t="s">
        <v>1768</v>
      </c>
      <c r="Z1" s="68"/>
      <c r="AA1" s="68"/>
      <c r="AB1" s="113" t="s">
        <v>1769</v>
      </c>
      <c r="AG1" s="48"/>
    </row>
    <row r="2">
      <c r="A2" s="48"/>
      <c r="B2" s="402">
        <v>45658.0</v>
      </c>
      <c r="C2" s="402">
        <v>45659.0</v>
      </c>
      <c r="D2" s="48"/>
      <c r="E2" s="48"/>
      <c r="F2" s="48"/>
      <c r="G2" s="48"/>
      <c r="H2" s="402">
        <v>45663.0</v>
      </c>
      <c r="I2" s="402">
        <v>45664.0</v>
      </c>
      <c r="J2" s="402">
        <v>45665.0</v>
      </c>
      <c r="K2" s="402">
        <v>45666.0</v>
      </c>
      <c r="L2" s="48"/>
      <c r="M2" s="48"/>
      <c r="N2" s="1"/>
      <c r="O2" s="402">
        <v>45670.0</v>
      </c>
      <c r="P2" s="402">
        <v>45671.0</v>
      </c>
      <c r="Q2" s="402">
        <v>45672.0</v>
      </c>
      <c r="R2" s="402">
        <v>45673.0</v>
      </c>
      <c r="S2" s="68"/>
      <c r="T2" s="1"/>
      <c r="U2" s="318"/>
      <c r="V2" s="402">
        <v>45677.0</v>
      </c>
      <c r="W2" s="402">
        <v>45678.0</v>
      </c>
      <c r="X2" s="402">
        <v>45679.0</v>
      </c>
      <c r="Y2" s="402">
        <v>45680.0</v>
      </c>
      <c r="Z2" s="1"/>
      <c r="AA2" s="1"/>
      <c r="AB2" s="1"/>
      <c r="AC2" s="402">
        <v>45684.0</v>
      </c>
      <c r="AD2" s="402">
        <v>45685.0</v>
      </c>
      <c r="AE2" s="402">
        <v>45686.0</v>
      </c>
      <c r="AF2" s="402">
        <v>45687.0</v>
      </c>
      <c r="AG2" s="48"/>
    </row>
    <row r="3">
      <c r="A3" s="48" t="s">
        <v>0</v>
      </c>
      <c r="B3" s="320"/>
      <c r="C3" s="320"/>
      <c r="D3" s="48"/>
      <c r="E3" s="48"/>
      <c r="F3" s="48"/>
      <c r="G3" s="48" t="s">
        <v>0</v>
      </c>
      <c r="H3" s="192" t="s">
        <v>435</v>
      </c>
      <c r="I3" s="192" t="s">
        <v>435</v>
      </c>
      <c r="J3" s="192" t="s">
        <v>435</v>
      </c>
      <c r="K3" s="192" t="s">
        <v>435</v>
      </c>
      <c r="L3" s="48"/>
      <c r="M3" s="68"/>
      <c r="N3" s="6" t="s">
        <v>0</v>
      </c>
      <c r="O3" s="212" t="s">
        <v>435</v>
      </c>
      <c r="P3" s="212" t="s">
        <v>435</v>
      </c>
      <c r="Q3" s="212" t="s">
        <v>435</v>
      </c>
      <c r="R3" s="163" t="s">
        <v>435</v>
      </c>
      <c r="S3" s="68"/>
      <c r="T3" s="68"/>
      <c r="U3" s="6" t="s">
        <v>0</v>
      </c>
      <c r="V3" s="212" t="s">
        <v>435</v>
      </c>
      <c r="W3" s="212" t="s">
        <v>435</v>
      </c>
      <c r="X3" s="403" t="s">
        <v>435</v>
      </c>
      <c r="Y3" s="212" t="s">
        <v>435</v>
      </c>
      <c r="Z3" s="68"/>
      <c r="AA3" s="68"/>
      <c r="AB3" s="6" t="s">
        <v>0</v>
      </c>
      <c r="AC3" s="326" t="s">
        <v>435</v>
      </c>
      <c r="AD3" s="163" t="s">
        <v>435</v>
      </c>
      <c r="AE3" s="403" t="s">
        <v>435</v>
      </c>
      <c r="AF3" s="163" t="s">
        <v>188</v>
      </c>
      <c r="AG3" s="48"/>
    </row>
    <row r="4">
      <c r="A4" s="68" t="s">
        <v>5</v>
      </c>
      <c r="B4" s="320"/>
      <c r="C4" s="320"/>
      <c r="D4" s="48"/>
      <c r="E4" s="48"/>
      <c r="F4" s="48"/>
      <c r="G4" s="68" t="s">
        <v>5</v>
      </c>
      <c r="H4" s="192" t="s">
        <v>435</v>
      </c>
      <c r="I4" s="192" t="s">
        <v>435</v>
      </c>
      <c r="J4" s="192" t="s">
        <v>435</v>
      </c>
      <c r="K4" s="69" t="s">
        <v>970</v>
      </c>
      <c r="L4" s="48"/>
      <c r="M4" s="68"/>
      <c r="N4" s="6" t="s">
        <v>5</v>
      </c>
      <c r="O4" s="212" t="s">
        <v>435</v>
      </c>
      <c r="P4" s="212" t="s">
        <v>435</v>
      </c>
      <c r="Q4" s="212" t="s">
        <v>435</v>
      </c>
      <c r="R4" s="163" t="s">
        <v>435</v>
      </c>
      <c r="S4" s="68"/>
      <c r="T4" s="68"/>
      <c r="U4" s="6" t="s">
        <v>5</v>
      </c>
      <c r="V4" s="212" t="s">
        <v>435</v>
      </c>
      <c r="W4" s="212" t="s">
        <v>435</v>
      </c>
      <c r="X4" s="403" t="s">
        <v>435</v>
      </c>
      <c r="Y4" s="69" t="s">
        <v>970</v>
      </c>
      <c r="Z4" s="68"/>
      <c r="AA4" s="68"/>
      <c r="AB4" s="6" t="s">
        <v>5</v>
      </c>
      <c r="AC4" s="326" t="s">
        <v>435</v>
      </c>
      <c r="AD4" s="163" t="s">
        <v>435</v>
      </c>
      <c r="AE4" s="403" t="s">
        <v>435</v>
      </c>
      <c r="AF4" s="163" t="s">
        <v>435</v>
      </c>
      <c r="AG4" s="48"/>
    </row>
    <row r="5" ht="16.5" customHeight="1">
      <c r="A5" s="68" t="s">
        <v>13</v>
      </c>
      <c r="B5" s="320"/>
      <c r="C5" s="320"/>
      <c r="D5" s="48"/>
      <c r="E5" s="48"/>
      <c r="F5" s="48"/>
      <c r="G5" s="68" t="s">
        <v>13</v>
      </c>
      <c r="H5" s="192" t="s">
        <v>435</v>
      </c>
      <c r="I5" s="192" t="s">
        <v>435</v>
      </c>
      <c r="J5" s="192" t="s">
        <v>435</v>
      </c>
      <c r="K5" s="69" t="s">
        <v>987</v>
      </c>
      <c r="L5" s="48"/>
      <c r="M5" s="68"/>
      <c r="N5" s="6" t="s">
        <v>13</v>
      </c>
      <c r="O5" s="212" t="s">
        <v>435</v>
      </c>
      <c r="P5" s="212" t="s">
        <v>194</v>
      </c>
      <c r="Q5" s="212" t="s">
        <v>435</v>
      </c>
      <c r="R5" s="163" t="s">
        <v>435</v>
      </c>
      <c r="S5" s="68"/>
      <c r="T5" s="68"/>
      <c r="U5" s="6" t="s">
        <v>13</v>
      </c>
      <c r="V5" s="212" t="s">
        <v>435</v>
      </c>
      <c r="W5" s="212" t="s">
        <v>435</v>
      </c>
      <c r="X5" s="403" t="s">
        <v>435</v>
      </c>
      <c r="Y5" s="212" t="s">
        <v>512</v>
      </c>
      <c r="Z5" s="68"/>
      <c r="AA5" s="68"/>
      <c r="AB5" s="6" t="s">
        <v>13</v>
      </c>
      <c r="AC5" s="326" t="s">
        <v>435</v>
      </c>
      <c r="AD5" s="202" t="s">
        <v>191</v>
      </c>
      <c r="AE5" s="403" t="s">
        <v>435</v>
      </c>
      <c r="AF5" s="163" t="s">
        <v>435</v>
      </c>
      <c r="AG5" s="48"/>
    </row>
    <row r="6" ht="15.0" customHeight="1">
      <c r="A6" s="68" t="s">
        <v>19</v>
      </c>
      <c r="B6" s="320"/>
      <c r="C6" s="320"/>
      <c r="D6" s="48"/>
      <c r="E6" s="48"/>
      <c r="F6" s="48"/>
      <c r="G6" s="68" t="s">
        <v>19</v>
      </c>
      <c r="H6" s="192" t="s">
        <v>435</v>
      </c>
      <c r="I6" s="192" t="s">
        <v>435</v>
      </c>
      <c r="J6" s="192" t="s">
        <v>435</v>
      </c>
      <c r="K6" s="192" t="s">
        <v>201</v>
      </c>
      <c r="L6" s="48"/>
      <c r="M6" s="68"/>
      <c r="N6" s="6" t="s">
        <v>19</v>
      </c>
      <c r="O6" s="212" t="s">
        <v>435</v>
      </c>
      <c r="P6" s="203" t="s">
        <v>1179</v>
      </c>
      <c r="Q6" s="212" t="s">
        <v>435</v>
      </c>
      <c r="R6" s="163" t="s">
        <v>435</v>
      </c>
      <c r="S6" s="68"/>
      <c r="T6" s="68"/>
      <c r="U6" s="6" t="s">
        <v>19</v>
      </c>
      <c r="V6" s="212" t="s">
        <v>435</v>
      </c>
      <c r="W6" s="212" t="s">
        <v>435</v>
      </c>
      <c r="X6" s="403" t="s">
        <v>435</v>
      </c>
      <c r="Y6" s="212" t="s">
        <v>78</v>
      </c>
      <c r="Z6" s="68"/>
      <c r="AA6" s="68"/>
      <c r="AB6" s="6" t="s">
        <v>19</v>
      </c>
      <c r="AC6" s="326" t="s">
        <v>435</v>
      </c>
      <c r="AD6" s="163" t="s">
        <v>435</v>
      </c>
      <c r="AE6" s="403" t="s">
        <v>435</v>
      </c>
      <c r="AF6" s="163" t="s">
        <v>435</v>
      </c>
      <c r="AG6" s="48"/>
    </row>
    <row r="7" ht="18.0" customHeight="1">
      <c r="A7" s="68" t="s">
        <v>39</v>
      </c>
      <c r="B7" s="320"/>
      <c r="C7" s="320"/>
      <c r="D7" s="48"/>
      <c r="E7" s="48"/>
      <c r="F7" s="48"/>
      <c r="G7" s="68" t="s">
        <v>39</v>
      </c>
      <c r="H7" s="192" t="s">
        <v>163</v>
      </c>
      <c r="I7" s="192" t="s">
        <v>435</v>
      </c>
      <c r="J7" s="192" t="s">
        <v>435</v>
      </c>
      <c r="K7" s="192" t="s">
        <v>173</v>
      </c>
      <c r="L7" s="48"/>
      <c r="M7" s="68"/>
      <c r="N7" s="6" t="s">
        <v>39</v>
      </c>
      <c r="O7" s="404"/>
      <c r="P7" s="203" t="s">
        <v>1050</v>
      </c>
      <c r="Q7" s="212" t="s">
        <v>435</v>
      </c>
      <c r="R7" s="163" t="s">
        <v>78</v>
      </c>
      <c r="S7" s="68"/>
      <c r="T7" s="68"/>
      <c r="U7" s="6" t="s">
        <v>39</v>
      </c>
      <c r="V7" s="212" t="s">
        <v>435</v>
      </c>
      <c r="W7" s="212" t="s">
        <v>435</v>
      </c>
      <c r="X7" s="403" t="s">
        <v>435</v>
      </c>
      <c r="Y7" s="212" t="s">
        <v>1050</v>
      </c>
      <c r="Z7" s="68"/>
      <c r="AA7" s="68"/>
      <c r="AB7" s="6" t="s">
        <v>39</v>
      </c>
      <c r="AC7" s="326" t="s">
        <v>435</v>
      </c>
      <c r="AD7" s="163" t="s">
        <v>299</v>
      </c>
      <c r="AE7" s="403" t="s">
        <v>435</v>
      </c>
      <c r="AF7" s="163" t="s">
        <v>435</v>
      </c>
      <c r="AG7" s="48"/>
    </row>
    <row r="8" ht="15.75" customHeight="1">
      <c r="A8" s="68" t="s">
        <v>45</v>
      </c>
      <c r="B8" s="320"/>
      <c r="C8" s="320"/>
      <c r="D8" s="48"/>
      <c r="E8" s="48"/>
      <c r="F8" s="48"/>
      <c r="G8" s="68" t="s">
        <v>45</v>
      </c>
      <c r="H8" s="192" t="s">
        <v>91</v>
      </c>
      <c r="I8" s="192" t="s">
        <v>435</v>
      </c>
      <c r="J8" s="192" t="s">
        <v>435</v>
      </c>
      <c r="K8" s="192" t="s">
        <v>1049</v>
      </c>
      <c r="L8" s="48"/>
      <c r="M8" s="68"/>
      <c r="N8" s="6" t="s">
        <v>45</v>
      </c>
      <c r="O8" s="212" t="s">
        <v>435</v>
      </c>
      <c r="P8" s="69" t="s">
        <v>1086</v>
      </c>
      <c r="Q8" s="212" t="s">
        <v>435</v>
      </c>
      <c r="R8" s="163" t="s">
        <v>1262</v>
      </c>
      <c r="S8" s="68"/>
      <c r="T8" s="68"/>
      <c r="U8" s="6" t="s">
        <v>45</v>
      </c>
      <c r="V8" s="212" t="s">
        <v>435</v>
      </c>
      <c r="W8" s="212" t="s">
        <v>65</v>
      </c>
      <c r="X8" s="403" t="s">
        <v>435</v>
      </c>
      <c r="Y8" s="212" t="s">
        <v>1262</v>
      </c>
      <c r="Z8" s="68"/>
      <c r="AA8" s="68"/>
      <c r="AB8" s="6" t="s">
        <v>45</v>
      </c>
      <c r="AC8" s="326" t="s">
        <v>435</v>
      </c>
      <c r="AD8" s="163" t="s">
        <v>78</v>
      </c>
      <c r="AE8" s="403" t="s">
        <v>435</v>
      </c>
      <c r="AF8" s="163" t="s">
        <v>1262</v>
      </c>
      <c r="AG8" s="48"/>
    </row>
    <row r="9" ht="15.0" customHeight="1">
      <c r="A9" s="68" t="s">
        <v>54</v>
      </c>
      <c r="B9" s="320"/>
      <c r="C9" s="320"/>
      <c r="D9" s="48"/>
      <c r="E9" s="48"/>
      <c r="F9" s="48"/>
      <c r="G9" s="68" t="s">
        <v>54</v>
      </c>
      <c r="H9" s="192" t="s">
        <v>191</v>
      </c>
      <c r="I9" s="192" t="s">
        <v>435</v>
      </c>
      <c r="J9" s="192" t="s">
        <v>435</v>
      </c>
      <c r="K9" s="69" t="s">
        <v>1070</v>
      </c>
      <c r="L9" s="48"/>
      <c r="M9" s="68"/>
      <c r="N9" s="6" t="s">
        <v>54</v>
      </c>
      <c r="O9" s="212" t="s">
        <v>435</v>
      </c>
      <c r="P9" s="69" t="s">
        <v>1224</v>
      </c>
      <c r="Q9" s="212" t="s">
        <v>435</v>
      </c>
      <c r="R9" s="163" t="s">
        <v>1284</v>
      </c>
      <c r="S9" s="68"/>
      <c r="T9" s="68"/>
      <c r="U9" s="6" t="s">
        <v>54</v>
      </c>
      <c r="V9" s="212" t="s">
        <v>813</v>
      </c>
      <c r="W9" s="212" t="s">
        <v>91</v>
      </c>
      <c r="X9" s="403" t="s">
        <v>435</v>
      </c>
      <c r="Y9" s="212" t="s">
        <v>435</v>
      </c>
      <c r="Z9" s="68"/>
      <c r="AA9" s="68"/>
      <c r="AB9" s="6" t="s">
        <v>54</v>
      </c>
      <c r="AC9" s="326" t="s">
        <v>435</v>
      </c>
      <c r="AD9" s="163" t="s">
        <v>868</v>
      </c>
      <c r="AE9" s="403" t="s">
        <v>435</v>
      </c>
      <c r="AF9" s="405"/>
      <c r="AG9" s="48"/>
    </row>
    <row r="10" ht="14.25" customHeight="1">
      <c r="A10" s="68" t="s">
        <v>64</v>
      </c>
      <c r="B10" s="320"/>
      <c r="C10" s="320"/>
      <c r="D10" s="48"/>
      <c r="E10" s="48"/>
      <c r="F10" s="48"/>
      <c r="G10" s="68" t="s">
        <v>64</v>
      </c>
      <c r="H10" s="69" t="s">
        <v>591</v>
      </c>
      <c r="I10" s="406" t="s">
        <v>182</v>
      </c>
      <c r="J10" s="192" t="s">
        <v>435</v>
      </c>
      <c r="K10" s="69" t="s">
        <v>1086</v>
      </c>
      <c r="L10" s="48"/>
      <c r="M10" s="68"/>
      <c r="N10" s="6" t="s">
        <v>64</v>
      </c>
      <c r="O10" s="212" t="s">
        <v>435</v>
      </c>
      <c r="P10" s="203" t="s">
        <v>90</v>
      </c>
      <c r="Q10" s="212" t="s">
        <v>435</v>
      </c>
      <c r="R10" s="163" t="s">
        <v>1252</v>
      </c>
      <c r="S10" s="68"/>
      <c r="T10" s="68"/>
      <c r="U10" s="6" t="s">
        <v>64</v>
      </c>
      <c r="V10" s="212" t="s">
        <v>90</v>
      </c>
      <c r="W10" s="212" t="s">
        <v>1398</v>
      </c>
      <c r="X10" s="403" t="s">
        <v>435</v>
      </c>
      <c r="Y10" s="212" t="s">
        <v>654</v>
      </c>
      <c r="Z10" s="68"/>
      <c r="AA10" s="68"/>
      <c r="AB10" s="6" t="s">
        <v>64</v>
      </c>
      <c r="AC10" s="326" t="s">
        <v>435</v>
      </c>
      <c r="AD10" s="163" t="s">
        <v>182</v>
      </c>
      <c r="AE10" s="163" t="s">
        <v>654</v>
      </c>
      <c r="AF10" s="163" t="s">
        <v>68</v>
      </c>
      <c r="AG10" s="48"/>
    </row>
    <row r="11" ht="15.0" customHeight="1">
      <c r="A11" s="68" t="s">
        <v>71</v>
      </c>
      <c r="B11" s="320"/>
      <c r="C11" s="320"/>
      <c r="D11" s="48"/>
      <c r="E11" s="48"/>
      <c r="F11" s="48"/>
      <c r="G11" s="68" t="s">
        <v>71</v>
      </c>
      <c r="H11" s="192" t="s">
        <v>841</v>
      </c>
      <c r="I11" s="192" t="s">
        <v>917</v>
      </c>
      <c r="J11" s="192" t="s">
        <v>435</v>
      </c>
      <c r="K11" s="192" t="s">
        <v>435</v>
      </c>
      <c r="L11" s="48"/>
      <c r="M11" s="68"/>
      <c r="N11" s="6" t="s">
        <v>71</v>
      </c>
      <c r="O11" s="212" t="s">
        <v>1127</v>
      </c>
      <c r="P11" s="212" t="s">
        <v>435</v>
      </c>
      <c r="Q11" s="212" t="s">
        <v>435</v>
      </c>
      <c r="R11" s="163" t="s">
        <v>1315</v>
      </c>
      <c r="S11" s="68"/>
      <c r="T11" s="68"/>
      <c r="U11" s="6" t="s">
        <v>71</v>
      </c>
      <c r="V11" s="212" t="s">
        <v>435</v>
      </c>
      <c r="W11" s="212" t="s">
        <v>435</v>
      </c>
      <c r="X11" s="403" t="s">
        <v>435</v>
      </c>
      <c r="Y11" s="212" t="s">
        <v>1069</v>
      </c>
      <c r="Z11" s="68"/>
      <c r="AA11" s="68"/>
      <c r="AB11" s="6" t="s">
        <v>71</v>
      </c>
      <c r="AC11" s="326" t="s">
        <v>435</v>
      </c>
      <c r="AD11" s="163" t="s">
        <v>90</v>
      </c>
      <c r="AE11" s="163" t="s">
        <v>1069</v>
      </c>
      <c r="AF11" s="163" t="s">
        <v>16</v>
      </c>
      <c r="AG11" s="48"/>
    </row>
    <row r="12" ht="14.25" customHeight="1">
      <c r="A12" s="68" t="s">
        <v>80</v>
      </c>
      <c r="B12" s="320"/>
      <c r="C12" s="320"/>
      <c r="D12" s="48"/>
      <c r="E12" s="48"/>
      <c r="F12" s="48"/>
      <c r="G12" s="68" t="s">
        <v>80</v>
      </c>
      <c r="H12" s="192" t="s">
        <v>435</v>
      </c>
      <c r="I12" s="69" t="s">
        <v>937</v>
      </c>
      <c r="J12" s="192" t="s">
        <v>435</v>
      </c>
      <c r="K12" s="192" t="s">
        <v>435</v>
      </c>
      <c r="L12" s="48"/>
      <c r="M12" s="68"/>
      <c r="N12" s="6" t="s">
        <v>80</v>
      </c>
      <c r="O12" s="212" t="s">
        <v>654</v>
      </c>
      <c r="P12" s="212" t="s">
        <v>435</v>
      </c>
      <c r="Q12" s="212" t="s">
        <v>435</v>
      </c>
      <c r="R12" s="163" t="s">
        <v>870</v>
      </c>
      <c r="S12" s="68"/>
      <c r="T12" s="68"/>
      <c r="U12" s="6" t="s">
        <v>80</v>
      </c>
      <c r="V12" s="212" t="s">
        <v>1365</v>
      </c>
      <c r="W12" s="69" t="s">
        <v>1251</v>
      </c>
      <c r="X12" s="403" t="s">
        <v>435</v>
      </c>
      <c r="Y12" s="69" t="s">
        <v>891</v>
      </c>
      <c r="Z12" s="68"/>
      <c r="AA12" s="68"/>
      <c r="AB12" s="6" t="s">
        <v>80</v>
      </c>
      <c r="AC12" s="326" t="s">
        <v>435</v>
      </c>
      <c r="AD12" s="163" t="s">
        <v>166</v>
      </c>
      <c r="AE12" s="403" t="s">
        <v>435</v>
      </c>
      <c r="AF12" s="163" t="s">
        <v>70</v>
      </c>
      <c r="AG12" s="48"/>
    </row>
    <row r="13" ht="14.25" customHeight="1">
      <c r="A13" s="68" t="s">
        <v>95</v>
      </c>
      <c r="B13" s="320"/>
      <c r="C13" s="320"/>
      <c r="D13" s="48"/>
      <c r="E13" s="48"/>
      <c r="F13" s="48"/>
      <c r="G13" s="68" t="s">
        <v>95</v>
      </c>
      <c r="H13" s="69" t="s">
        <v>867</v>
      </c>
      <c r="I13" s="69" t="s">
        <v>957</v>
      </c>
      <c r="J13" s="192" t="s">
        <v>435</v>
      </c>
      <c r="K13" s="192" t="s">
        <v>184</v>
      </c>
      <c r="L13" s="48"/>
      <c r="M13" s="68"/>
      <c r="N13" s="6" t="s">
        <v>95</v>
      </c>
      <c r="O13" s="212" t="s">
        <v>435</v>
      </c>
      <c r="P13" s="212" t="s">
        <v>435</v>
      </c>
      <c r="Q13" s="212" t="s">
        <v>435</v>
      </c>
      <c r="R13" s="163" t="s">
        <v>435</v>
      </c>
      <c r="S13" s="48"/>
      <c r="T13" s="68"/>
      <c r="U13" s="6" t="s">
        <v>95</v>
      </c>
      <c r="V13" s="212" t="s">
        <v>435</v>
      </c>
      <c r="W13" s="69" t="s">
        <v>96</v>
      </c>
      <c r="X13" s="403" t="s">
        <v>435</v>
      </c>
      <c r="Y13" s="221" t="s">
        <v>988</v>
      </c>
      <c r="Z13" s="68"/>
      <c r="AA13" s="68"/>
      <c r="AB13" s="6" t="s">
        <v>95</v>
      </c>
      <c r="AC13" s="326" t="s">
        <v>435</v>
      </c>
      <c r="AD13" s="163" t="s">
        <v>435</v>
      </c>
      <c r="AE13" s="403" t="s">
        <v>435</v>
      </c>
      <c r="AF13" s="163" t="s">
        <v>1628</v>
      </c>
      <c r="AG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>
      <c r="A16" s="48"/>
      <c r="B16" s="407">
        <v>45691.0</v>
      </c>
      <c r="C16" s="407">
        <v>45692.0</v>
      </c>
      <c r="D16" s="407">
        <v>45693.0</v>
      </c>
      <c r="E16" s="407">
        <v>45694.0</v>
      </c>
      <c r="F16" s="48"/>
      <c r="G16" s="48"/>
      <c r="H16" s="407">
        <v>45698.0</v>
      </c>
      <c r="I16" s="407">
        <v>45699.0</v>
      </c>
      <c r="J16" s="407">
        <v>45700.0</v>
      </c>
      <c r="K16" s="407">
        <v>45701.0</v>
      </c>
      <c r="L16" s="48"/>
      <c r="M16" s="48"/>
      <c r="N16" s="1"/>
      <c r="O16" s="407">
        <v>45705.0</v>
      </c>
      <c r="P16" s="407">
        <v>45706.0</v>
      </c>
      <c r="Q16" s="407">
        <v>45707.0</v>
      </c>
      <c r="R16" s="407">
        <v>45708.0</v>
      </c>
      <c r="S16" s="48"/>
      <c r="T16" s="1"/>
      <c r="U16" s="1"/>
      <c r="V16" s="407">
        <v>45712.0</v>
      </c>
      <c r="W16" s="407">
        <v>45713.0</v>
      </c>
      <c r="X16" s="407">
        <v>45714.0</v>
      </c>
      <c r="Y16" s="407">
        <v>45715.0</v>
      </c>
      <c r="Z16" s="48"/>
      <c r="AA16" s="48"/>
      <c r="AB16" s="48"/>
      <c r="AC16" s="48"/>
      <c r="AD16" s="48"/>
      <c r="AE16" s="48"/>
      <c r="AF16" s="48"/>
      <c r="AG16" s="48"/>
    </row>
    <row r="17">
      <c r="A17" s="48" t="s">
        <v>0</v>
      </c>
      <c r="B17" s="326" t="s">
        <v>435</v>
      </c>
      <c r="C17" s="192" t="s">
        <v>188</v>
      </c>
      <c r="D17" s="326" t="s">
        <v>435</v>
      </c>
      <c r="E17" s="212" t="s">
        <v>16</v>
      </c>
      <c r="F17" s="48"/>
      <c r="G17" s="48" t="s">
        <v>0</v>
      </c>
      <c r="H17" s="329" t="s">
        <v>435</v>
      </c>
      <c r="I17" s="192" t="s">
        <v>188</v>
      </c>
      <c r="J17" s="329" t="s">
        <v>435</v>
      </c>
      <c r="K17" s="408" t="s">
        <v>435</v>
      </c>
      <c r="L17" s="48"/>
      <c r="M17" s="48"/>
      <c r="N17" s="68" t="s">
        <v>0</v>
      </c>
      <c r="O17" s="329" t="s">
        <v>435</v>
      </c>
      <c r="P17" s="409" t="s">
        <v>435</v>
      </c>
      <c r="Q17" s="329" t="s">
        <v>435</v>
      </c>
      <c r="R17" s="163" t="s">
        <v>16</v>
      </c>
      <c r="S17" s="48"/>
      <c r="T17" s="68"/>
      <c r="U17" s="68" t="s">
        <v>0</v>
      </c>
      <c r="V17" s="329" t="s">
        <v>435</v>
      </c>
      <c r="W17" s="285" t="s">
        <v>188</v>
      </c>
      <c r="X17" s="400"/>
      <c r="Y17" s="400"/>
      <c r="Z17" s="48"/>
      <c r="AA17" s="48"/>
      <c r="AB17" s="48"/>
      <c r="AC17" s="48"/>
      <c r="AD17" s="48"/>
      <c r="AE17" s="48"/>
      <c r="AF17" s="48"/>
      <c r="AG17" s="48"/>
    </row>
    <row r="18">
      <c r="A18" s="68" t="s">
        <v>5</v>
      </c>
      <c r="B18" s="326" t="s">
        <v>435</v>
      </c>
      <c r="C18" s="199"/>
      <c r="D18" s="326" t="s">
        <v>435</v>
      </c>
      <c r="E18" s="69" t="s">
        <v>970</v>
      </c>
      <c r="F18" s="48"/>
      <c r="G18" s="68" t="s">
        <v>5</v>
      </c>
      <c r="H18" s="329" t="s">
        <v>435</v>
      </c>
      <c r="I18" s="199"/>
      <c r="J18" s="329" t="s">
        <v>435</v>
      </c>
      <c r="K18" s="192" t="s">
        <v>435</v>
      </c>
      <c r="L18" s="48"/>
      <c r="M18" s="68"/>
      <c r="N18" s="68" t="s">
        <v>5</v>
      </c>
      <c r="O18" s="329" t="s">
        <v>435</v>
      </c>
      <c r="P18" s="192" t="s">
        <v>435</v>
      </c>
      <c r="Q18" s="329" t="s">
        <v>435</v>
      </c>
      <c r="R18" s="61" t="s">
        <v>970</v>
      </c>
      <c r="S18" s="68"/>
      <c r="T18" s="68"/>
      <c r="U18" s="68" t="s">
        <v>5</v>
      </c>
      <c r="V18" s="329" t="s">
        <v>435</v>
      </c>
      <c r="W18" s="199"/>
      <c r="X18" s="400"/>
      <c r="Y18" s="400"/>
      <c r="Z18" s="48"/>
      <c r="AA18" s="48"/>
      <c r="AB18" s="48"/>
      <c r="AC18" s="48"/>
      <c r="AD18" s="48"/>
      <c r="AE18" s="48"/>
      <c r="AF18" s="48"/>
      <c r="AG18" s="48"/>
    </row>
    <row r="19">
      <c r="A19" s="68" t="s">
        <v>13</v>
      </c>
      <c r="B19" s="326" t="s">
        <v>435</v>
      </c>
      <c r="C19" s="203" t="s">
        <v>191</v>
      </c>
      <c r="D19" s="326" t="s">
        <v>435</v>
      </c>
      <c r="E19" s="212" t="s">
        <v>512</v>
      </c>
      <c r="F19" s="48"/>
      <c r="G19" s="68" t="s">
        <v>13</v>
      </c>
      <c r="H19" s="329" t="s">
        <v>435</v>
      </c>
      <c r="I19" s="203" t="s">
        <v>191</v>
      </c>
      <c r="J19" s="329" t="s">
        <v>435</v>
      </c>
      <c r="K19" s="192" t="s">
        <v>435</v>
      </c>
      <c r="L19" s="48"/>
      <c r="M19" s="68"/>
      <c r="N19" s="68" t="s">
        <v>13</v>
      </c>
      <c r="O19" s="329" t="s">
        <v>435</v>
      </c>
      <c r="P19" s="203" t="s">
        <v>191</v>
      </c>
      <c r="Q19" s="329" t="s">
        <v>435</v>
      </c>
      <c r="R19" s="191" t="s">
        <v>435</v>
      </c>
      <c r="S19" s="68"/>
      <c r="T19" s="68"/>
      <c r="U19" s="68" t="s">
        <v>13</v>
      </c>
      <c r="V19" s="329" t="s">
        <v>435</v>
      </c>
      <c r="W19" s="203" t="s">
        <v>168</v>
      </c>
      <c r="X19" s="400"/>
      <c r="Y19" s="10" t="s">
        <v>1803</v>
      </c>
      <c r="Z19" s="48"/>
      <c r="AA19" s="48"/>
      <c r="AB19" s="48"/>
      <c r="AC19" s="48"/>
      <c r="AD19" s="48"/>
      <c r="AE19" s="48"/>
      <c r="AF19" s="48"/>
      <c r="AG19" s="48"/>
    </row>
    <row r="20">
      <c r="A20" s="68" t="s">
        <v>19</v>
      </c>
      <c r="B20" s="326" t="s">
        <v>435</v>
      </c>
      <c r="C20" s="192" t="s">
        <v>815</v>
      </c>
      <c r="D20" s="326" t="s">
        <v>435</v>
      </c>
      <c r="E20" s="192" t="s">
        <v>94</v>
      </c>
      <c r="F20" s="48"/>
      <c r="G20" s="68" t="s">
        <v>19</v>
      </c>
      <c r="H20" s="329" t="s">
        <v>435</v>
      </c>
      <c r="I20" s="192" t="s">
        <v>815</v>
      </c>
      <c r="J20" s="329" t="s">
        <v>435</v>
      </c>
      <c r="K20" s="192" t="s">
        <v>918</v>
      </c>
      <c r="L20" s="48"/>
      <c r="M20" s="68"/>
      <c r="N20" s="68" t="s">
        <v>19</v>
      </c>
      <c r="O20" s="329" t="s">
        <v>435</v>
      </c>
      <c r="P20" s="192" t="s">
        <v>815</v>
      </c>
      <c r="Q20" s="329" t="s">
        <v>435</v>
      </c>
      <c r="R20" s="191" t="s">
        <v>677</v>
      </c>
      <c r="S20" s="68"/>
      <c r="T20" s="68"/>
      <c r="U20" s="68" t="s">
        <v>19</v>
      </c>
      <c r="V20" s="329" t="s">
        <v>435</v>
      </c>
      <c r="W20" s="192" t="s">
        <v>815</v>
      </c>
      <c r="X20" s="400"/>
      <c r="Y20" s="400"/>
      <c r="Z20" s="48"/>
      <c r="AA20" s="48"/>
      <c r="AB20" s="48"/>
      <c r="AC20" s="48"/>
      <c r="AD20" s="48"/>
      <c r="AE20" s="48"/>
      <c r="AF20" s="48"/>
      <c r="AG20" s="48"/>
    </row>
    <row r="21">
      <c r="A21" s="68" t="s">
        <v>39</v>
      </c>
      <c r="B21" s="326" t="s">
        <v>435</v>
      </c>
      <c r="C21" s="212" t="s">
        <v>78</v>
      </c>
      <c r="D21" s="326" t="s">
        <v>435</v>
      </c>
      <c r="E21" s="212" t="s">
        <v>1050</v>
      </c>
      <c r="F21" s="48"/>
      <c r="G21" s="68" t="s">
        <v>39</v>
      </c>
      <c r="H21" s="329" t="s">
        <v>435</v>
      </c>
      <c r="I21" s="203" t="s">
        <v>78</v>
      </c>
      <c r="J21" s="329" t="s">
        <v>435</v>
      </c>
      <c r="K21" s="212" t="s">
        <v>1071</v>
      </c>
      <c r="L21" s="48"/>
      <c r="M21" s="68"/>
      <c r="N21" s="68" t="s">
        <v>39</v>
      </c>
      <c r="O21" s="329" t="s">
        <v>435</v>
      </c>
      <c r="P21" s="212" t="s">
        <v>78</v>
      </c>
      <c r="Q21" s="329" t="s">
        <v>435</v>
      </c>
      <c r="R21" s="163" t="s">
        <v>1071</v>
      </c>
      <c r="S21" s="68"/>
      <c r="T21" s="68"/>
      <c r="U21" s="68" t="s">
        <v>39</v>
      </c>
      <c r="V21" s="329" t="s">
        <v>435</v>
      </c>
      <c r="W21" s="212" t="s">
        <v>78</v>
      </c>
      <c r="X21" s="400"/>
      <c r="Y21" s="400"/>
      <c r="Z21" s="48"/>
      <c r="AA21" s="48"/>
      <c r="AB21" s="48"/>
      <c r="AC21" s="48"/>
      <c r="AD21" s="48"/>
      <c r="AE21" s="48"/>
      <c r="AF21" s="48"/>
      <c r="AG21" s="48"/>
    </row>
    <row r="22">
      <c r="A22" s="68" t="s">
        <v>45</v>
      </c>
      <c r="B22" s="326" t="s">
        <v>435</v>
      </c>
      <c r="C22" s="212" t="s">
        <v>868</v>
      </c>
      <c r="D22" s="326" t="s">
        <v>435</v>
      </c>
      <c r="E22" s="192" t="s">
        <v>173</v>
      </c>
      <c r="F22" s="48"/>
      <c r="G22" s="68" t="s">
        <v>45</v>
      </c>
      <c r="H22" s="329" t="s">
        <v>435</v>
      </c>
      <c r="I22" s="212" t="s">
        <v>868</v>
      </c>
      <c r="J22" s="329" t="s">
        <v>435</v>
      </c>
      <c r="K22" s="234" t="s">
        <v>435</v>
      </c>
      <c r="L22" s="48"/>
      <c r="M22" s="68"/>
      <c r="N22" s="68" t="s">
        <v>45</v>
      </c>
      <c r="O22" s="329" t="s">
        <v>435</v>
      </c>
      <c r="P22" s="212" t="s">
        <v>868</v>
      </c>
      <c r="Q22" s="329" t="s">
        <v>435</v>
      </c>
      <c r="R22" s="191" t="s">
        <v>1510</v>
      </c>
      <c r="S22" s="68"/>
      <c r="T22" s="68"/>
      <c r="U22" s="68" t="s">
        <v>45</v>
      </c>
      <c r="V22" s="329" t="s">
        <v>435</v>
      </c>
      <c r="W22" s="212" t="s">
        <v>868</v>
      </c>
      <c r="X22" s="400"/>
      <c r="Y22" s="10" t="s">
        <v>143</v>
      </c>
      <c r="Z22" s="48"/>
      <c r="AA22" s="48"/>
      <c r="AB22" s="48"/>
      <c r="AC22" s="48"/>
      <c r="AD22" s="48"/>
      <c r="AE22" s="48"/>
      <c r="AF22" s="48"/>
      <c r="AG22" s="48"/>
    </row>
    <row r="23">
      <c r="A23" s="68" t="s">
        <v>54</v>
      </c>
      <c r="B23" s="326" t="s">
        <v>435</v>
      </c>
      <c r="C23" s="212" t="s">
        <v>68</v>
      </c>
      <c r="D23" s="326" t="s">
        <v>435</v>
      </c>
      <c r="E23" s="212" t="s">
        <v>1071</v>
      </c>
      <c r="F23" s="48"/>
      <c r="G23" s="68" t="s">
        <v>54</v>
      </c>
      <c r="H23" s="329" t="s">
        <v>435</v>
      </c>
      <c r="I23" s="212" t="s">
        <v>68</v>
      </c>
      <c r="J23" s="329" t="s">
        <v>435</v>
      </c>
      <c r="K23" s="192" t="s">
        <v>1106</v>
      </c>
      <c r="L23" s="48"/>
      <c r="M23" s="68"/>
      <c r="N23" s="68" t="s">
        <v>54</v>
      </c>
      <c r="O23" s="329" t="s">
        <v>435</v>
      </c>
      <c r="P23" s="212" t="s">
        <v>68</v>
      </c>
      <c r="Q23" s="329" t="s">
        <v>435</v>
      </c>
      <c r="R23" s="191" t="s">
        <v>1087</v>
      </c>
      <c r="S23" s="68"/>
      <c r="T23" s="68"/>
      <c r="U23" s="68" t="s">
        <v>54</v>
      </c>
      <c r="V23" s="329" t="s">
        <v>435</v>
      </c>
      <c r="W23" s="212" t="s">
        <v>68</v>
      </c>
      <c r="X23" s="400"/>
      <c r="Y23" s="400"/>
      <c r="Z23" s="48"/>
      <c r="AA23" s="48"/>
      <c r="AB23" s="48"/>
      <c r="AC23" s="48"/>
      <c r="AD23" s="48"/>
      <c r="AE23" s="48"/>
      <c r="AF23" s="48"/>
      <c r="AG23" s="48"/>
    </row>
    <row r="24">
      <c r="A24" s="68" t="s">
        <v>64</v>
      </c>
      <c r="B24" s="326" t="s">
        <v>435</v>
      </c>
      <c r="C24" s="212" t="s">
        <v>166</v>
      </c>
      <c r="D24" s="326" t="s">
        <v>435</v>
      </c>
      <c r="E24" s="212" t="s">
        <v>90</v>
      </c>
      <c r="F24" s="48"/>
      <c r="G24" s="68" t="s">
        <v>64</v>
      </c>
      <c r="H24" s="329" t="s">
        <v>435</v>
      </c>
      <c r="I24" s="192" t="s">
        <v>182</v>
      </c>
      <c r="J24" s="329" t="s">
        <v>435</v>
      </c>
      <c r="K24" s="212" t="s">
        <v>130</v>
      </c>
      <c r="L24" s="48"/>
      <c r="M24" s="68"/>
      <c r="N24" s="68" t="s">
        <v>64</v>
      </c>
      <c r="O24" s="329" t="s">
        <v>435</v>
      </c>
      <c r="P24" s="203" t="s">
        <v>166</v>
      </c>
      <c r="Q24" s="329" t="s">
        <v>435</v>
      </c>
      <c r="R24" s="163" t="s">
        <v>90</v>
      </c>
      <c r="S24" s="68"/>
      <c r="T24" s="68"/>
      <c r="U24" s="68" t="s">
        <v>64</v>
      </c>
      <c r="V24" s="329" t="s">
        <v>435</v>
      </c>
      <c r="W24" s="212" t="s">
        <v>1261</v>
      </c>
      <c r="X24" s="400"/>
      <c r="Y24" s="400"/>
      <c r="Z24" s="48"/>
      <c r="AA24" s="48"/>
      <c r="AB24" s="48"/>
      <c r="AC24" s="48"/>
      <c r="AD24" s="48"/>
      <c r="AE24" s="48"/>
      <c r="AF24" s="48"/>
      <c r="AG24" s="48"/>
    </row>
    <row r="25">
      <c r="A25" s="68" t="s">
        <v>71</v>
      </c>
      <c r="B25" s="326" t="s">
        <v>435</v>
      </c>
      <c r="C25" s="212" t="s">
        <v>917</v>
      </c>
      <c r="D25" s="410"/>
      <c r="E25" s="192" t="s">
        <v>335</v>
      </c>
      <c r="F25" s="48"/>
      <c r="G25" s="68" t="s">
        <v>71</v>
      </c>
      <c r="H25" s="329" t="s">
        <v>435</v>
      </c>
      <c r="I25" s="203" t="s">
        <v>166</v>
      </c>
      <c r="J25" s="329" t="s">
        <v>435</v>
      </c>
      <c r="K25" s="69" t="s">
        <v>782</v>
      </c>
      <c r="L25" s="48"/>
      <c r="M25" s="68"/>
      <c r="N25" s="68" t="s">
        <v>71</v>
      </c>
      <c r="O25" s="268" t="s">
        <v>120</v>
      </c>
      <c r="P25" s="212" t="s">
        <v>435</v>
      </c>
      <c r="Q25" s="329" t="s">
        <v>435</v>
      </c>
      <c r="R25" s="191" t="s">
        <v>335</v>
      </c>
      <c r="S25" s="68"/>
      <c r="T25" s="68"/>
      <c r="U25" s="68" t="s">
        <v>71</v>
      </c>
      <c r="V25" s="329" t="s">
        <v>435</v>
      </c>
      <c r="W25" s="212" t="s">
        <v>166</v>
      </c>
      <c r="X25" s="400"/>
      <c r="Y25" s="400"/>
      <c r="Z25" s="48"/>
      <c r="AA25" s="48"/>
      <c r="AB25" s="48"/>
      <c r="AC25" s="48"/>
      <c r="AD25" s="48"/>
      <c r="AE25" s="48"/>
      <c r="AF25" s="48"/>
      <c r="AG25" s="48"/>
    </row>
    <row r="26">
      <c r="A26" s="68" t="s">
        <v>80</v>
      </c>
      <c r="B26" s="326" t="s">
        <v>435</v>
      </c>
      <c r="C26" s="220" t="s">
        <v>891</v>
      </c>
      <c r="D26" s="326" t="s">
        <v>435</v>
      </c>
      <c r="E26" s="221" t="s">
        <v>1143</v>
      </c>
      <c r="F26" s="48"/>
      <c r="G26" s="68" t="s">
        <v>80</v>
      </c>
      <c r="H26" s="329" t="s">
        <v>435</v>
      </c>
      <c r="I26" s="203" t="s">
        <v>70</v>
      </c>
      <c r="J26" s="329" t="s">
        <v>435</v>
      </c>
      <c r="K26" s="203" t="s">
        <v>14</v>
      </c>
      <c r="L26" s="48"/>
      <c r="M26" s="68"/>
      <c r="N26" s="68" t="s">
        <v>80</v>
      </c>
      <c r="O26" s="329" t="s">
        <v>435</v>
      </c>
      <c r="P26" s="221" t="s">
        <v>435</v>
      </c>
      <c r="Q26" s="329" t="s">
        <v>435</v>
      </c>
      <c r="R26" s="61" t="s">
        <v>891</v>
      </c>
      <c r="S26" s="68"/>
      <c r="T26" s="68"/>
      <c r="U26" s="68" t="s">
        <v>80</v>
      </c>
      <c r="V26" s="329" t="s">
        <v>435</v>
      </c>
      <c r="W26" s="199"/>
      <c r="X26" s="400"/>
      <c r="Y26" s="400"/>
      <c r="Z26" s="48"/>
      <c r="AA26" s="48"/>
      <c r="AB26" s="48"/>
      <c r="AC26" s="48"/>
      <c r="AD26" s="48"/>
      <c r="AE26" s="48"/>
      <c r="AF26" s="48"/>
      <c r="AG26" s="48"/>
    </row>
    <row r="27">
      <c r="A27" s="68" t="s">
        <v>95</v>
      </c>
      <c r="B27" s="326" t="s">
        <v>435</v>
      </c>
      <c r="C27" s="411"/>
      <c r="D27" s="326" t="s">
        <v>435</v>
      </c>
      <c r="E27" s="69" t="s">
        <v>1164</v>
      </c>
      <c r="F27" s="48"/>
      <c r="G27" s="68" t="s">
        <v>95</v>
      </c>
      <c r="H27" s="329" t="s">
        <v>435</v>
      </c>
      <c r="I27" s="411"/>
      <c r="J27" s="329" t="s">
        <v>435</v>
      </c>
      <c r="K27" s="203" t="s">
        <v>435</v>
      </c>
      <c r="L27" s="48"/>
      <c r="M27" s="68"/>
      <c r="N27" s="68" t="s">
        <v>95</v>
      </c>
      <c r="O27" s="329" t="s">
        <v>435</v>
      </c>
      <c r="P27" s="69" t="s">
        <v>1464</v>
      </c>
      <c r="Q27" s="329" t="s">
        <v>435</v>
      </c>
      <c r="R27" s="61" t="s">
        <v>435</v>
      </c>
      <c r="S27" s="68"/>
      <c r="T27" s="68"/>
      <c r="U27" s="68" t="s">
        <v>95</v>
      </c>
      <c r="V27" s="329" t="s">
        <v>435</v>
      </c>
      <c r="W27" s="220" t="s">
        <v>841</v>
      </c>
      <c r="X27" s="400"/>
      <c r="Y27" s="272" t="s">
        <v>96</v>
      </c>
      <c r="Z27" s="48"/>
      <c r="AA27" s="48"/>
      <c r="AB27" s="48"/>
      <c r="AC27" s="48"/>
      <c r="AD27" s="48"/>
      <c r="AE27" s="48"/>
      <c r="AF27" s="48"/>
      <c r="AG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>
      <c r="A30" s="48"/>
      <c r="B30" s="412">
        <v>45719.0</v>
      </c>
      <c r="C30" s="412">
        <v>45720.0</v>
      </c>
      <c r="D30" s="412">
        <v>45721.0</v>
      </c>
      <c r="E30" s="412">
        <v>45722.0</v>
      </c>
      <c r="F30" s="48"/>
      <c r="G30" s="345"/>
      <c r="H30" s="412">
        <v>45726.0</v>
      </c>
      <c r="I30" s="412">
        <v>45727.0</v>
      </c>
      <c r="J30" s="412">
        <v>45728.0</v>
      </c>
      <c r="K30" s="412">
        <v>45729.0</v>
      </c>
      <c r="L30" s="413" t="s">
        <v>1804</v>
      </c>
      <c r="M30" s="48"/>
      <c r="N30" s="48"/>
      <c r="O30" s="412">
        <v>45733.0</v>
      </c>
      <c r="P30" s="412">
        <v>45734.0</v>
      </c>
      <c r="Q30" s="412">
        <v>45735.0</v>
      </c>
      <c r="R30" s="412">
        <v>45736.0</v>
      </c>
      <c r="S30" s="412">
        <v>45737.0</v>
      </c>
      <c r="T30" s="1"/>
      <c r="U30" s="345"/>
      <c r="V30" s="412">
        <v>45740.0</v>
      </c>
      <c r="W30" s="412">
        <v>45741.0</v>
      </c>
      <c r="X30" s="412">
        <v>45742.0</v>
      </c>
      <c r="Y30" s="412">
        <v>45743.0</v>
      </c>
      <c r="Z30" s="412">
        <v>45744.0</v>
      </c>
      <c r="AA30" s="40"/>
      <c r="AB30" s="48"/>
      <c r="AC30" s="412">
        <v>45747.0</v>
      </c>
      <c r="AD30" s="48"/>
      <c r="AE30" s="48"/>
      <c r="AF30" s="48"/>
      <c r="AG30" s="48"/>
    </row>
    <row r="31">
      <c r="A31" s="6" t="s">
        <v>0</v>
      </c>
      <c r="B31" s="329" t="s">
        <v>435</v>
      </c>
      <c r="C31" s="193" t="s">
        <v>188</v>
      </c>
      <c r="D31" s="329" t="s">
        <v>435</v>
      </c>
      <c r="E31" s="192" t="s">
        <v>20</v>
      </c>
      <c r="F31" s="48"/>
      <c r="G31" s="113" t="s">
        <v>0</v>
      </c>
      <c r="H31" s="414"/>
      <c r="I31" s="55"/>
      <c r="J31" s="9" t="s">
        <v>435</v>
      </c>
      <c r="K31" s="9" t="s">
        <v>435</v>
      </c>
      <c r="L31" s="9" t="s">
        <v>435</v>
      </c>
      <c r="N31" s="13" t="s">
        <v>0</v>
      </c>
      <c r="O31" s="329" t="s">
        <v>435</v>
      </c>
      <c r="P31" s="329" t="s">
        <v>435</v>
      </c>
      <c r="R31" s="10" t="s">
        <v>16</v>
      </c>
      <c r="S31" s="9" t="s">
        <v>435</v>
      </c>
      <c r="T31" s="68"/>
      <c r="U31" s="110" t="s">
        <v>0</v>
      </c>
      <c r="V31" s="329" t="s">
        <v>435</v>
      </c>
      <c r="W31" s="329" t="s">
        <v>435</v>
      </c>
      <c r="X31" s="329" t="s">
        <v>435</v>
      </c>
      <c r="Z31" s="374" t="s">
        <v>988</v>
      </c>
      <c r="AA31" s="110"/>
      <c r="AB31" s="172" t="s">
        <v>0</v>
      </c>
      <c r="AC31" s="329" t="s">
        <v>435</v>
      </c>
      <c r="AD31" s="48"/>
      <c r="AE31" s="48"/>
      <c r="AF31" s="48"/>
      <c r="AG31" s="48"/>
    </row>
    <row r="32">
      <c r="A32" s="6" t="s">
        <v>5</v>
      </c>
      <c r="B32" s="329" t="s">
        <v>435</v>
      </c>
      <c r="C32" s="192" t="s">
        <v>764</v>
      </c>
      <c r="D32" s="329" t="s">
        <v>435</v>
      </c>
      <c r="E32" s="226" t="s">
        <v>768</v>
      </c>
      <c r="F32" s="48"/>
      <c r="G32" s="113" t="s">
        <v>5</v>
      </c>
      <c r="H32" s="191" t="s">
        <v>764</v>
      </c>
      <c r="I32" s="10" t="s">
        <v>1253</v>
      </c>
      <c r="J32" s="9" t="s">
        <v>435</v>
      </c>
      <c r="K32" s="329" t="s">
        <v>435</v>
      </c>
      <c r="L32" s="194" t="s">
        <v>1301</v>
      </c>
      <c r="N32" s="13" t="s">
        <v>5</v>
      </c>
      <c r="O32" s="329" t="s">
        <v>435</v>
      </c>
      <c r="P32" s="329" t="s">
        <v>435</v>
      </c>
      <c r="Q32" s="16" t="s">
        <v>20</v>
      </c>
      <c r="R32" s="10" t="s">
        <v>896</v>
      </c>
      <c r="S32" s="9" t="s">
        <v>435</v>
      </c>
      <c r="T32" s="68"/>
      <c r="U32" s="113" t="s">
        <v>5</v>
      </c>
      <c r="V32" s="329" t="s">
        <v>435</v>
      </c>
      <c r="W32" s="329" t="s">
        <v>435</v>
      </c>
      <c r="X32" s="329" t="s">
        <v>435</v>
      </c>
      <c r="Y32" s="16" t="s">
        <v>20</v>
      </c>
      <c r="Z32" s="415"/>
      <c r="AA32" s="113"/>
      <c r="AB32" s="172" t="s">
        <v>5</v>
      </c>
      <c r="AC32" s="329" t="s">
        <v>435</v>
      </c>
      <c r="AD32" s="48"/>
      <c r="AE32" s="48"/>
      <c r="AF32" s="48"/>
      <c r="AG32" s="48"/>
    </row>
    <row r="33">
      <c r="A33" s="6" t="s">
        <v>13</v>
      </c>
      <c r="B33" s="329" t="s">
        <v>435</v>
      </c>
      <c r="C33" s="203" t="s">
        <v>191</v>
      </c>
      <c r="D33" s="329" t="s">
        <v>435</v>
      </c>
      <c r="E33" s="192" t="s">
        <v>1032</v>
      </c>
      <c r="F33" s="48"/>
      <c r="G33" s="113" t="s">
        <v>13</v>
      </c>
      <c r="H33" s="10" t="s">
        <v>1180</v>
      </c>
      <c r="I33" s="10" t="s">
        <v>78</v>
      </c>
      <c r="J33" s="9" t="s">
        <v>435</v>
      </c>
      <c r="K33" s="329" t="s">
        <v>435</v>
      </c>
      <c r="L33" s="194" t="s">
        <v>1316</v>
      </c>
      <c r="N33" s="13" t="s">
        <v>13</v>
      </c>
      <c r="O33" s="329" t="s">
        <v>435</v>
      </c>
      <c r="P33" s="329" t="s">
        <v>435</v>
      </c>
      <c r="Q33" s="10" t="s">
        <v>191</v>
      </c>
      <c r="R33" s="10" t="s">
        <v>78</v>
      </c>
      <c r="S33" s="9" t="s">
        <v>435</v>
      </c>
      <c r="T33" s="68"/>
      <c r="U33" s="113" t="s">
        <v>13</v>
      </c>
      <c r="V33" s="329" t="s">
        <v>435</v>
      </c>
      <c r="W33" s="329" t="s">
        <v>435</v>
      </c>
      <c r="X33" s="329" t="s">
        <v>435</v>
      </c>
      <c r="Z33" s="280" t="s">
        <v>17</v>
      </c>
      <c r="AA33" s="113"/>
      <c r="AB33" s="172" t="s">
        <v>13</v>
      </c>
      <c r="AC33" s="329" t="s">
        <v>435</v>
      </c>
      <c r="AD33" s="48"/>
      <c r="AE33" s="48"/>
      <c r="AF33" s="48"/>
      <c r="AG33" s="48"/>
    </row>
    <row r="34">
      <c r="A34" s="6" t="s">
        <v>19</v>
      </c>
      <c r="B34" s="329" t="s">
        <v>435</v>
      </c>
      <c r="C34" s="192" t="s">
        <v>815</v>
      </c>
      <c r="D34" s="329" t="s">
        <v>435</v>
      </c>
      <c r="E34" s="192" t="s">
        <v>201</v>
      </c>
      <c r="F34" s="48"/>
      <c r="G34" s="113" t="s">
        <v>19</v>
      </c>
      <c r="H34" s="17"/>
      <c r="I34" s="10" t="s">
        <v>1285</v>
      </c>
      <c r="J34" s="9" t="s">
        <v>435</v>
      </c>
      <c r="K34" s="329" t="s">
        <v>435</v>
      </c>
      <c r="L34" s="9" t="s">
        <v>435</v>
      </c>
      <c r="N34" s="13" t="s">
        <v>19</v>
      </c>
      <c r="O34" s="329" t="s">
        <v>435</v>
      </c>
      <c r="P34" s="329" t="s">
        <v>435</v>
      </c>
      <c r="Q34" s="16" t="s">
        <v>1181</v>
      </c>
      <c r="R34" s="10" t="s">
        <v>91</v>
      </c>
      <c r="S34" s="9" t="s">
        <v>435</v>
      </c>
      <c r="T34" s="68"/>
      <c r="U34" s="113" t="s">
        <v>19</v>
      </c>
      <c r="V34" s="329" t="s">
        <v>435</v>
      </c>
      <c r="W34" s="329" t="s">
        <v>435</v>
      </c>
      <c r="X34" s="329" t="s">
        <v>435</v>
      </c>
      <c r="Y34" s="280"/>
      <c r="Z34" s="299" t="s">
        <v>1181</v>
      </c>
      <c r="AA34" s="113"/>
      <c r="AB34" s="172" t="s">
        <v>19</v>
      </c>
      <c r="AC34" s="329" t="s">
        <v>435</v>
      </c>
      <c r="AD34" s="48"/>
      <c r="AE34" s="48"/>
      <c r="AF34" s="48"/>
      <c r="AG34" s="48"/>
    </row>
    <row r="35">
      <c r="A35" s="6" t="s">
        <v>39</v>
      </c>
      <c r="B35" s="329" t="s">
        <v>435</v>
      </c>
      <c r="C35" s="203" t="s">
        <v>78</v>
      </c>
      <c r="D35" s="329" t="s">
        <v>435</v>
      </c>
      <c r="E35" s="416"/>
      <c r="F35" s="48"/>
      <c r="G35" s="113" t="s">
        <v>39</v>
      </c>
      <c r="H35" s="204"/>
      <c r="I35" s="9" t="s">
        <v>435</v>
      </c>
      <c r="J35" s="9" t="s">
        <v>435</v>
      </c>
      <c r="K35" s="9" t="s">
        <v>435</v>
      </c>
      <c r="L35" s="9" t="s">
        <v>435</v>
      </c>
      <c r="N35" s="13" t="s">
        <v>39</v>
      </c>
      <c r="O35" s="329" t="s">
        <v>435</v>
      </c>
      <c r="P35" s="329" t="s">
        <v>435</v>
      </c>
      <c r="Q35" s="192"/>
      <c r="R35" s="10" t="s">
        <v>1475</v>
      </c>
      <c r="S35" s="9" t="s">
        <v>435</v>
      </c>
      <c r="T35" s="68"/>
      <c r="U35" s="113" t="s">
        <v>39</v>
      </c>
      <c r="V35" s="329" t="s">
        <v>435</v>
      </c>
      <c r="W35" s="329" t="s">
        <v>435</v>
      </c>
      <c r="X35" s="10" t="s">
        <v>1516</v>
      </c>
      <c r="Y35" s="10" t="s">
        <v>193</v>
      </c>
      <c r="Z35" s="9" t="s">
        <v>435</v>
      </c>
      <c r="AA35" s="113"/>
      <c r="AB35" s="172" t="s">
        <v>39</v>
      </c>
      <c r="AC35" s="329" t="s">
        <v>435</v>
      </c>
      <c r="AD35" s="48"/>
      <c r="AE35" s="48"/>
      <c r="AF35" s="48"/>
      <c r="AG35" s="48"/>
    </row>
    <row r="36">
      <c r="A36" s="6" t="s">
        <v>45</v>
      </c>
      <c r="B36" s="329" t="s">
        <v>435</v>
      </c>
      <c r="C36" s="203" t="s">
        <v>868</v>
      </c>
      <c r="D36" s="329" t="s">
        <v>435</v>
      </c>
      <c r="E36" s="234" t="s">
        <v>1071</v>
      </c>
      <c r="F36" s="48"/>
      <c r="G36" s="113" t="s">
        <v>45</v>
      </c>
      <c r="H36" s="17"/>
      <c r="I36" s="9" t="s">
        <v>435</v>
      </c>
      <c r="J36" s="9" t="s">
        <v>435</v>
      </c>
      <c r="K36" s="9" t="s">
        <v>435</v>
      </c>
      <c r="L36" s="9" t="s">
        <v>435</v>
      </c>
      <c r="N36" s="13" t="s">
        <v>45</v>
      </c>
      <c r="O36" s="329" t="s">
        <v>435</v>
      </c>
      <c r="P36" s="329" t="s">
        <v>435</v>
      </c>
      <c r="Q36" s="10" t="s">
        <v>68</v>
      </c>
      <c r="R36" s="10" t="s">
        <v>1487</v>
      </c>
      <c r="S36" s="9" t="s">
        <v>435</v>
      </c>
      <c r="T36" s="68"/>
      <c r="U36" s="113" t="s">
        <v>45</v>
      </c>
      <c r="V36" s="329" t="s">
        <v>435</v>
      </c>
      <c r="W36" s="329" t="s">
        <v>435</v>
      </c>
      <c r="X36" s="10" t="s">
        <v>68</v>
      </c>
      <c r="Y36" s="287" t="s">
        <v>78</v>
      </c>
      <c r="Z36" s="9" t="s">
        <v>435</v>
      </c>
      <c r="AA36" s="113"/>
      <c r="AB36" s="172" t="s">
        <v>45</v>
      </c>
      <c r="AC36" s="329" t="s">
        <v>435</v>
      </c>
      <c r="AD36" s="48"/>
      <c r="AE36" s="48"/>
      <c r="AF36" s="48"/>
      <c r="AG36" s="48"/>
    </row>
    <row r="37">
      <c r="A37" s="6" t="s">
        <v>54</v>
      </c>
      <c r="B37" s="329" t="s">
        <v>435</v>
      </c>
      <c r="C37" s="203" t="s">
        <v>87</v>
      </c>
      <c r="D37" s="329" t="s">
        <v>435</v>
      </c>
      <c r="E37" s="192" t="s">
        <v>1087</v>
      </c>
      <c r="F37" s="48"/>
      <c r="G37" s="113" t="s">
        <v>54</v>
      </c>
      <c r="H37" s="202" t="s">
        <v>68</v>
      </c>
      <c r="I37" s="9" t="s">
        <v>435</v>
      </c>
      <c r="J37" s="9" t="s">
        <v>435</v>
      </c>
      <c r="K37" s="9" t="s">
        <v>435</v>
      </c>
      <c r="L37" s="9" t="s">
        <v>435</v>
      </c>
      <c r="N37" s="13" t="s">
        <v>54</v>
      </c>
      <c r="O37" s="329" t="s">
        <v>435</v>
      </c>
      <c r="P37" s="329" t="s">
        <v>435</v>
      </c>
      <c r="Q37" s="10" t="s">
        <v>69</v>
      </c>
      <c r="R37" s="10" t="s">
        <v>1496</v>
      </c>
      <c r="S37" s="9" t="s">
        <v>435</v>
      </c>
      <c r="T37" s="68"/>
      <c r="U37" s="113" t="s">
        <v>54</v>
      </c>
      <c r="V37" s="329" t="s">
        <v>435</v>
      </c>
      <c r="W37" s="329" t="s">
        <v>435</v>
      </c>
      <c r="X37" s="283" t="s">
        <v>69</v>
      </c>
      <c r="Y37" s="10" t="s">
        <v>1487</v>
      </c>
      <c r="Z37" s="9" t="s">
        <v>435</v>
      </c>
      <c r="AA37" s="113"/>
      <c r="AB37" s="172" t="s">
        <v>54</v>
      </c>
      <c r="AC37" s="329" t="s">
        <v>435</v>
      </c>
      <c r="AD37" s="48"/>
      <c r="AE37" s="48"/>
      <c r="AF37" s="48"/>
      <c r="AG37" s="48"/>
    </row>
    <row r="38">
      <c r="A38" s="6" t="s">
        <v>64</v>
      </c>
      <c r="B38" s="329" t="s">
        <v>435</v>
      </c>
      <c r="C38" s="192" t="s">
        <v>918</v>
      </c>
      <c r="D38" s="329" t="s">
        <v>435</v>
      </c>
      <c r="E38" s="203" t="s">
        <v>90</v>
      </c>
      <c r="F38" s="48"/>
      <c r="G38" s="369">
        <v>0.7083333333333334</v>
      </c>
      <c r="H38" s="194" t="s">
        <v>182</v>
      </c>
      <c r="I38" s="9" t="s">
        <v>435</v>
      </c>
      <c r="J38" s="9" t="s">
        <v>435</v>
      </c>
      <c r="K38" s="9" t="s">
        <v>435</v>
      </c>
      <c r="L38" s="9" t="s">
        <v>435</v>
      </c>
      <c r="N38" s="13" t="s">
        <v>64</v>
      </c>
      <c r="O38" s="329" t="s">
        <v>435</v>
      </c>
      <c r="P38" s="329" t="s">
        <v>435</v>
      </c>
      <c r="Q38" s="16" t="s">
        <v>87</v>
      </c>
      <c r="R38" s="10" t="s">
        <v>90</v>
      </c>
      <c r="S38" s="9" t="s">
        <v>435</v>
      </c>
      <c r="T38" s="68"/>
      <c r="U38" s="417">
        <v>0.7222222222222222</v>
      </c>
      <c r="V38" s="329" t="s">
        <v>435</v>
      </c>
      <c r="W38" s="329" t="s">
        <v>435</v>
      </c>
      <c r="X38" s="10" t="s">
        <v>1342</v>
      </c>
      <c r="Y38" s="10" t="s">
        <v>143</v>
      </c>
      <c r="Z38" s="9" t="s">
        <v>435</v>
      </c>
      <c r="AA38" s="113"/>
      <c r="AB38" s="172" t="s">
        <v>64</v>
      </c>
      <c r="AC38" s="329" t="s">
        <v>435</v>
      </c>
      <c r="AD38" s="48"/>
      <c r="AE38" s="48"/>
      <c r="AF38" s="48"/>
      <c r="AG38" s="48"/>
    </row>
    <row r="39">
      <c r="A39" s="6" t="s">
        <v>71</v>
      </c>
      <c r="B39" s="329" t="s">
        <v>435</v>
      </c>
      <c r="C39" s="203" t="s">
        <v>938</v>
      </c>
      <c r="D39" s="329" t="s">
        <v>435</v>
      </c>
      <c r="E39" s="203"/>
      <c r="F39" s="48"/>
      <c r="G39" s="369">
        <v>0.75</v>
      </c>
      <c r="H39" s="22" t="s">
        <v>892</v>
      </c>
      <c r="I39" s="9" t="s">
        <v>435</v>
      </c>
      <c r="J39" s="9" t="s">
        <v>435</v>
      </c>
      <c r="K39" s="9" t="s">
        <v>435</v>
      </c>
      <c r="L39" s="9" t="s">
        <v>435</v>
      </c>
      <c r="N39" s="13" t="s">
        <v>71</v>
      </c>
      <c r="O39" s="329" t="s">
        <v>435</v>
      </c>
      <c r="P39" s="329" t="s">
        <v>435</v>
      </c>
      <c r="Q39" s="138" t="s">
        <v>1399</v>
      </c>
      <c r="R39" s="218"/>
      <c r="S39" s="329" t="s">
        <v>435</v>
      </c>
      <c r="T39" s="68"/>
      <c r="U39" s="417">
        <v>0.7638888888888888</v>
      </c>
      <c r="V39" s="329" t="s">
        <v>435</v>
      </c>
      <c r="W39" s="329" t="s">
        <v>435</v>
      </c>
      <c r="X39" s="10" t="s">
        <v>751</v>
      </c>
      <c r="Y39" s="138" t="s">
        <v>1399</v>
      </c>
      <c r="Z39" s="9" t="s">
        <v>435</v>
      </c>
      <c r="AA39" s="349"/>
      <c r="AB39" s="172" t="s">
        <v>71</v>
      </c>
      <c r="AC39" s="329" t="s">
        <v>435</v>
      </c>
      <c r="AD39" s="48"/>
      <c r="AE39" s="48"/>
      <c r="AF39" s="48"/>
      <c r="AG39" s="48"/>
    </row>
    <row r="40">
      <c r="A40" s="6" t="s">
        <v>80</v>
      </c>
      <c r="B40" s="329" t="s">
        <v>435</v>
      </c>
      <c r="C40" s="203" t="s">
        <v>70</v>
      </c>
      <c r="D40" s="329" t="s">
        <v>435</v>
      </c>
      <c r="E40" s="203" t="s">
        <v>16</v>
      </c>
      <c r="F40" s="48"/>
      <c r="G40" s="117" t="s">
        <v>1805</v>
      </c>
      <c r="H40" s="10" t="s">
        <v>1235</v>
      </c>
      <c r="I40" s="9" t="s">
        <v>435</v>
      </c>
      <c r="J40" s="9" t="s">
        <v>435</v>
      </c>
      <c r="K40" s="9" t="s">
        <v>435</v>
      </c>
      <c r="L40" s="9" t="s">
        <v>435</v>
      </c>
      <c r="N40" s="13" t="s">
        <v>80</v>
      </c>
      <c r="O40" s="329" t="s">
        <v>435</v>
      </c>
      <c r="P40" s="329" t="s">
        <v>435</v>
      </c>
      <c r="Q40" s="194" t="s">
        <v>53</v>
      </c>
      <c r="R40" s="10" t="s">
        <v>174</v>
      </c>
      <c r="S40" s="329" t="s">
        <v>435</v>
      </c>
      <c r="T40" s="68"/>
      <c r="U40" s="417">
        <v>0.8055555555555556</v>
      </c>
      <c r="V40" s="329" t="s">
        <v>435</v>
      </c>
      <c r="W40" s="329" t="s">
        <v>435</v>
      </c>
      <c r="X40" s="10" t="s">
        <v>1235</v>
      </c>
      <c r="Y40" s="10" t="s">
        <v>96</v>
      </c>
      <c r="Z40" s="9" t="s">
        <v>435</v>
      </c>
      <c r="AA40" s="349"/>
      <c r="AB40" s="172" t="s">
        <v>80</v>
      </c>
      <c r="AC40" s="329" t="s">
        <v>435</v>
      </c>
      <c r="AD40" s="48"/>
      <c r="AE40" s="48"/>
      <c r="AF40" s="48"/>
      <c r="AG40" s="48"/>
    </row>
    <row r="41">
      <c r="A41" s="6" t="s">
        <v>95</v>
      </c>
      <c r="B41" s="329" t="s">
        <v>435</v>
      </c>
      <c r="C41" s="69" t="s">
        <v>891</v>
      </c>
      <c r="D41" s="329" t="s">
        <v>435</v>
      </c>
      <c r="E41" s="214" t="s">
        <v>841</v>
      </c>
      <c r="F41" s="48"/>
      <c r="G41" s="113" t="s">
        <v>95</v>
      </c>
      <c r="H41" s="323"/>
      <c r="I41" s="9" t="s">
        <v>435</v>
      </c>
      <c r="J41" s="9" t="s">
        <v>435</v>
      </c>
      <c r="K41" s="9" t="s">
        <v>435</v>
      </c>
      <c r="L41" s="9" t="s">
        <v>435</v>
      </c>
      <c r="N41" s="13" t="s">
        <v>95</v>
      </c>
      <c r="O41" s="329" t="s">
        <v>435</v>
      </c>
      <c r="P41" s="329" t="s">
        <v>435</v>
      </c>
      <c r="Q41" s="10" t="s">
        <v>1423</v>
      </c>
      <c r="R41" s="98"/>
      <c r="S41" s="329" t="s">
        <v>435</v>
      </c>
      <c r="T41" s="68"/>
      <c r="U41" s="417">
        <v>0.8472222222222222</v>
      </c>
      <c r="V41" s="329" t="s">
        <v>435</v>
      </c>
      <c r="W41" s="329" t="s">
        <v>435</v>
      </c>
      <c r="X41" s="10" t="s">
        <v>51</v>
      </c>
      <c r="Y41" s="17"/>
      <c r="Z41" s="9" t="s">
        <v>435</v>
      </c>
      <c r="AA41" s="349"/>
      <c r="AB41" s="172" t="s">
        <v>95</v>
      </c>
      <c r="AC41" s="329" t="s">
        <v>435</v>
      </c>
      <c r="AD41" s="48"/>
      <c r="AE41" s="48"/>
      <c r="AF41" s="48"/>
      <c r="AG41" s="48"/>
    </row>
    <row r="42">
      <c r="A42" s="48"/>
      <c r="B42" s="48"/>
      <c r="C42" s="48"/>
      <c r="D42" s="48"/>
      <c r="E42" s="48"/>
      <c r="F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7"/>
      <c r="O43" s="52"/>
      <c r="P43" s="418" t="s">
        <v>1806</v>
      </c>
      <c r="S43" s="52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>
      <c r="A44" s="48"/>
      <c r="B44" s="351">
        <v>45748.0</v>
      </c>
      <c r="C44" s="352" t="s">
        <v>1807</v>
      </c>
      <c r="D44" s="351">
        <v>45750.0</v>
      </c>
      <c r="E44" s="351">
        <v>45751.0</v>
      </c>
      <c r="F44" s="48"/>
      <c r="G44" s="345"/>
      <c r="H44" s="351">
        <v>45755.0</v>
      </c>
      <c r="I44" s="352" t="s">
        <v>1808</v>
      </c>
      <c r="J44" s="351">
        <v>45757.0</v>
      </c>
      <c r="K44" s="351">
        <v>45758.0</v>
      </c>
      <c r="L44" s="48"/>
      <c r="M44" s="48"/>
      <c r="N44" s="345"/>
      <c r="O44" s="351">
        <v>45761.0</v>
      </c>
      <c r="P44" s="351">
        <v>45762.0</v>
      </c>
      <c r="Q44" s="352" t="s">
        <v>1809</v>
      </c>
      <c r="R44" s="351">
        <v>45764.0</v>
      </c>
      <c r="S44" s="351">
        <v>45765.0</v>
      </c>
      <c r="T44" s="1"/>
      <c r="U44" s="345"/>
      <c r="V44" s="419" t="s">
        <v>1810</v>
      </c>
      <c r="W44" s="351">
        <v>45769.0</v>
      </c>
      <c r="X44" s="352" t="s">
        <v>1811</v>
      </c>
      <c r="Y44" s="351">
        <v>45771.0</v>
      </c>
      <c r="Z44" s="351">
        <v>45772.0</v>
      </c>
      <c r="AA44" s="1"/>
      <c r="AB44" s="345"/>
      <c r="AC44" s="420">
        <v>45775.0</v>
      </c>
      <c r="AD44" s="351">
        <v>45776.0</v>
      </c>
      <c r="AE44" s="352" t="s">
        <v>1812</v>
      </c>
      <c r="AF44" s="48"/>
      <c r="AG44" s="48"/>
    </row>
    <row r="45">
      <c r="A45" s="6" t="s">
        <v>0</v>
      </c>
      <c r="B45" s="329" t="s">
        <v>435</v>
      </c>
      <c r="C45" s="10" t="s">
        <v>16</v>
      </c>
      <c r="D45" s="329" t="s">
        <v>435</v>
      </c>
      <c r="E45" s="10"/>
      <c r="F45" s="48"/>
      <c r="G45" s="110" t="s">
        <v>0</v>
      </c>
      <c r="H45" s="329" t="s">
        <v>435</v>
      </c>
      <c r="I45" s="194" t="s">
        <v>1200</v>
      </c>
      <c r="J45" s="329" t="s">
        <v>435</v>
      </c>
      <c r="K45" s="10"/>
      <c r="L45" s="48"/>
      <c r="M45" s="68"/>
      <c r="N45" s="110" t="s">
        <v>0</v>
      </c>
      <c r="O45" s="329" t="s">
        <v>435</v>
      </c>
      <c r="P45" s="10" t="s">
        <v>1181</v>
      </c>
      <c r="Q45" s="22" t="s">
        <v>1603</v>
      </c>
      <c r="R45" s="329" t="s">
        <v>435</v>
      </c>
      <c r="S45" s="329" t="s">
        <v>435</v>
      </c>
      <c r="T45" s="68"/>
      <c r="U45" s="110" t="s">
        <v>0</v>
      </c>
      <c r="V45" s="329" t="s">
        <v>435</v>
      </c>
      <c r="W45" s="329" t="s">
        <v>435</v>
      </c>
      <c r="X45" s="194" t="s">
        <v>512</v>
      </c>
      <c r="Y45" s="329" t="s">
        <v>435</v>
      </c>
      <c r="Z45" s="10" t="s">
        <v>182</v>
      </c>
      <c r="AA45" s="68"/>
      <c r="AB45" s="110" t="s">
        <v>0</v>
      </c>
      <c r="AD45" s="329" t="s">
        <v>435</v>
      </c>
      <c r="AE45" s="9" t="s">
        <v>435</v>
      </c>
      <c r="AF45" s="48"/>
      <c r="AG45" s="48"/>
    </row>
    <row r="46">
      <c r="A46" s="6" t="s">
        <v>5</v>
      </c>
      <c r="B46" s="329" t="s">
        <v>435</v>
      </c>
      <c r="C46" s="16" t="s">
        <v>20</v>
      </c>
      <c r="D46" s="329" t="s">
        <v>435</v>
      </c>
      <c r="E46" s="10" t="s">
        <v>896</v>
      </c>
      <c r="F46" s="48"/>
      <c r="G46" s="113" t="s">
        <v>5</v>
      </c>
      <c r="H46" s="329" t="s">
        <v>435</v>
      </c>
      <c r="I46" s="16" t="s">
        <v>20</v>
      </c>
      <c r="J46" s="329" t="s">
        <v>435</v>
      </c>
      <c r="K46" s="10" t="s">
        <v>707</v>
      </c>
      <c r="L46" s="48"/>
      <c r="M46" s="68"/>
      <c r="N46" s="113" t="s">
        <v>5</v>
      </c>
      <c r="O46" s="329" t="s">
        <v>435</v>
      </c>
      <c r="P46" s="10" t="s">
        <v>896</v>
      </c>
      <c r="Q46" s="16" t="s">
        <v>20</v>
      </c>
      <c r="R46" s="329" t="s">
        <v>435</v>
      </c>
      <c r="S46" s="329" t="s">
        <v>435</v>
      </c>
      <c r="T46" s="68"/>
      <c r="U46" s="113" t="s">
        <v>5</v>
      </c>
      <c r="V46" s="329" t="s">
        <v>435</v>
      </c>
      <c r="W46" s="33" t="s">
        <v>435</v>
      </c>
      <c r="X46" s="16" t="s">
        <v>20</v>
      </c>
      <c r="Y46" s="329" t="s">
        <v>435</v>
      </c>
      <c r="Z46" s="194" t="s">
        <v>1104</v>
      </c>
      <c r="AA46" s="68"/>
      <c r="AB46" s="113" t="s">
        <v>5</v>
      </c>
      <c r="AC46" s="36" t="s">
        <v>20</v>
      </c>
      <c r="AD46" s="329" t="s">
        <v>435</v>
      </c>
      <c r="AE46" s="9" t="s">
        <v>435</v>
      </c>
      <c r="AF46" s="48"/>
      <c r="AG46" s="48"/>
    </row>
    <row r="47">
      <c r="A47" s="6" t="s">
        <v>13</v>
      </c>
      <c r="B47" s="329" t="s">
        <v>435</v>
      </c>
      <c r="C47" s="10" t="s">
        <v>956</v>
      </c>
      <c r="D47" s="329" t="s">
        <v>435</v>
      </c>
      <c r="E47" s="10" t="s">
        <v>1181</v>
      </c>
      <c r="F47" s="48"/>
      <c r="G47" s="113" t="s">
        <v>13</v>
      </c>
      <c r="H47" s="329" t="s">
        <v>435</v>
      </c>
      <c r="I47" s="10"/>
      <c r="J47" s="329" t="s">
        <v>435</v>
      </c>
      <c r="K47" s="194" t="s">
        <v>971</v>
      </c>
      <c r="L47" s="48"/>
      <c r="M47" s="68"/>
      <c r="N47" s="113" t="s">
        <v>13</v>
      </c>
      <c r="O47" s="329" t="s">
        <v>435</v>
      </c>
      <c r="P47" s="194" t="s">
        <v>90</v>
      </c>
      <c r="Q47" s="293" t="s">
        <v>183</v>
      </c>
      <c r="R47" s="329" t="s">
        <v>435</v>
      </c>
      <c r="S47" s="329" t="s">
        <v>435</v>
      </c>
      <c r="T47" s="68"/>
      <c r="U47" s="113" t="s">
        <v>13</v>
      </c>
      <c r="V47" s="329" t="s">
        <v>435</v>
      </c>
      <c r="W47" s="329" t="s">
        <v>435</v>
      </c>
      <c r="X47" s="10" t="s">
        <v>78</v>
      </c>
      <c r="Y47" s="329" t="s">
        <v>435</v>
      </c>
      <c r="Z47" s="22" t="s">
        <v>763</v>
      </c>
      <c r="AA47" s="68"/>
      <c r="AB47" s="113" t="s">
        <v>13</v>
      </c>
      <c r="AC47" s="298" t="s">
        <v>896</v>
      </c>
      <c r="AD47" s="329" t="s">
        <v>435</v>
      </c>
      <c r="AE47" s="9" t="s">
        <v>435</v>
      </c>
      <c r="AF47" s="48"/>
      <c r="AG47" s="48"/>
    </row>
    <row r="48">
      <c r="A48" s="6" t="s">
        <v>19</v>
      </c>
      <c r="B48" s="329" t="s">
        <v>435</v>
      </c>
      <c r="C48" s="194" t="s">
        <v>971</v>
      </c>
      <c r="D48" s="329" t="s">
        <v>435</v>
      </c>
      <c r="E48" s="10" t="s">
        <v>1198</v>
      </c>
      <c r="F48" s="48"/>
      <c r="G48" s="113" t="s">
        <v>19</v>
      </c>
      <c r="H48" s="329" t="s">
        <v>435</v>
      </c>
      <c r="I48" s="223" t="s">
        <v>1342</v>
      </c>
      <c r="J48" s="329" t="s">
        <v>435</v>
      </c>
      <c r="K48" s="272" t="s">
        <v>1448</v>
      </c>
      <c r="L48" s="48"/>
      <c r="M48" s="68"/>
      <c r="N48" s="113" t="s">
        <v>19</v>
      </c>
      <c r="O48" s="329" t="s">
        <v>435</v>
      </c>
      <c r="P48" s="421"/>
      <c r="Q48" s="194" t="s">
        <v>971</v>
      </c>
      <c r="R48" s="329" t="s">
        <v>435</v>
      </c>
      <c r="S48" s="329" t="s">
        <v>435</v>
      </c>
      <c r="T48" s="68"/>
      <c r="U48" s="113" t="s">
        <v>19</v>
      </c>
      <c r="V48" s="329" t="s">
        <v>435</v>
      </c>
      <c r="W48" s="329" t="s">
        <v>435</v>
      </c>
      <c r="X48" s="194" t="s">
        <v>971</v>
      </c>
      <c r="Y48" s="329" t="s">
        <v>435</v>
      </c>
      <c r="Z48" s="59" t="s">
        <v>1181</v>
      </c>
      <c r="AA48" s="68"/>
      <c r="AB48" s="113" t="s">
        <v>19</v>
      </c>
      <c r="AC48" s="17"/>
      <c r="AD48" s="329" t="s">
        <v>435</v>
      </c>
      <c r="AE48" s="9" t="s">
        <v>435</v>
      </c>
      <c r="AF48" s="48"/>
      <c r="AG48" s="48"/>
    </row>
    <row r="49">
      <c r="A49" s="43" t="s">
        <v>27</v>
      </c>
      <c r="B49" s="329" t="s">
        <v>435</v>
      </c>
      <c r="C49" s="194" t="s">
        <v>988</v>
      </c>
      <c r="D49" s="329" t="s">
        <v>435</v>
      </c>
      <c r="E49" s="194"/>
      <c r="F49" s="48"/>
      <c r="G49" s="117" t="s">
        <v>27</v>
      </c>
      <c r="H49" s="329" t="s">
        <v>435</v>
      </c>
      <c r="I49" s="194" t="s">
        <v>78</v>
      </c>
      <c r="J49" s="329" t="s">
        <v>435</v>
      </c>
      <c r="K49" s="10" t="s">
        <v>1459</v>
      </c>
      <c r="L49" s="48"/>
      <c r="M49" s="68"/>
      <c r="N49" s="117" t="s">
        <v>27</v>
      </c>
      <c r="O49" s="329" t="s">
        <v>435</v>
      </c>
      <c r="P49" s="22" t="s">
        <v>892</v>
      </c>
      <c r="Q49" s="10" t="s">
        <v>1198</v>
      </c>
      <c r="R49" s="33"/>
      <c r="S49" s="33"/>
      <c r="T49" s="68"/>
      <c r="U49" s="117" t="s">
        <v>1783</v>
      </c>
      <c r="V49" s="329"/>
      <c r="W49" s="329" t="s">
        <v>435</v>
      </c>
      <c r="X49" s="298" t="s">
        <v>939</v>
      </c>
      <c r="Y49" s="329" t="s">
        <v>435</v>
      </c>
      <c r="Z49" s="22" t="s">
        <v>765</v>
      </c>
      <c r="AA49" s="68"/>
      <c r="AB49" s="117" t="s">
        <v>27</v>
      </c>
      <c r="AC49" s="194" t="s">
        <v>939</v>
      </c>
      <c r="AD49" s="329" t="s">
        <v>435</v>
      </c>
      <c r="AE49" s="9" t="s">
        <v>435</v>
      </c>
      <c r="AF49" s="48"/>
      <c r="AG49" s="48"/>
    </row>
    <row r="50">
      <c r="A50" s="43" t="s">
        <v>33</v>
      </c>
      <c r="B50" s="329" t="s">
        <v>435</v>
      </c>
      <c r="C50" s="194" t="s">
        <v>1006</v>
      </c>
      <c r="D50" s="329" t="s">
        <v>435</v>
      </c>
      <c r="E50" s="194" t="s">
        <v>183</v>
      </c>
      <c r="F50" s="48"/>
      <c r="G50" s="117" t="s">
        <v>33</v>
      </c>
      <c r="H50" s="329" t="s">
        <v>435</v>
      </c>
      <c r="I50" s="9" t="s">
        <v>435</v>
      </c>
      <c r="J50" s="329" t="s">
        <v>435</v>
      </c>
      <c r="K50" s="194" t="s">
        <v>183</v>
      </c>
      <c r="L50" s="48"/>
      <c r="M50" s="68"/>
      <c r="N50" s="117" t="s">
        <v>33</v>
      </c>
      <c r="O50" s="329" t="s">
        <v>435</v>
      </c>
      <c r="P50" s="22" t="s">
        <v>1558</v>
      </c>
      <c r="R50" s="33"/>
      <c r="S50" s="33"/>
      <c r="T50" s="68"/>
      <c r="U50" s="117" t="s">
        <v>33</v>
      </c>
      <c r="V50" s="329"/>
      <c r="W50" s="329" t="s">
        <v>435</v>
      </c>
      <c r="X50" s="194" t="s">
        <v>183</v>
      </c>
      <c r="Y50" s="10" t="s">
        <v>193</v>
      </c>
      <c r="Z50" s="194" t="s">
        <v>1710</v>
      </c>
      <c r="AA50" s="68"/>
      <c r="AB50" s="117" t="s">
        <v>33</v>
      </c>
      <c r="AC50" s="33" t="s">
        <v>1813</v>
      </c>
      <c r="AD50" s="329" t="s">
        <v>435</v>
      </c>
      <c r="AE50" s="9" t="s">
        <v>435</v>
      </c>
      <c r="AF50" s="48"/>
      <c r="AG50" s="48"/>
    </row>
    <row r="51">
      <c r="A51" s="6" t="s">
        <v>39</v>
      </c>
      <c r="B51" s="194" t="s">
        <v>58</v>
      </c>
      <c r="C51" s="9"/>
      <c r="D51" s="10" t="s">
        <v>193</v>
      </c>
      <c r="E51" s="9" t="s">
        <v>435</v>
      </c>
      <c r="F51" s="48"/>
      <c r="G51" s="113" t="s">
        <v>39</v>
      </c>
      <c r="H51" s="22" t="s">
        <v>892</v>
      </c>
      <c r="I51" s="9" t="s">
        <v>435</v>
      </c>
      <c r="J51" s="22" t="s">
        <v>141</v>
      </c>
      <c r="K51" s="9" t="s">
        <v>435</v>
      </c>
      <c r="L51" s="48"/>
      <c r="M51" s="68"/>
      <c r="N51" s="113" t="s">
        <v>39</v>
      </c>
      <c r="O51" s="194" t="s">
        <v>58</v>
      </c>
      <c r="P51" s="33" t="s">
        <v>435</v>
      </c>
      <c r="Q51" s="33" t="s">
        <v>435</v>
      </c>
      <c r="R51" s="33" t="s">
        <v>1814</v>
      </c>
      <c r="S51" s="33" t="s">
        <v>1815</v>
      </c>
      <c r="T51" s="68"/>
      <c r="U51" s="113" t="s">
        <v>39</v>
      </c>
      <c r="V51" s="329" t="s">
        <v>435</v>
      </c>
      <c r="W51" s="194"/>
      <c r="X51" s="9" t="s">
        <v>435</v>
      </c>
      <c r="Y51" s="22" t="s">
        <v>1706</v>
      </c>
      <c r="Z51" s="9" t="s">
        <v>435</v>
      </c>
      <c r="AA51" s="68"/>
      <c r="AB51" s="113" t="s">
        <v>39</v>
      </c>
      <c r="AC51" s="194" t="s">
        <v>1741</v>
      </c>
      <c r="AD51" s="194" t="s">
        <v>58</v>
      </c>
      <c r="AE51" s="9" t="s">
        <v>435</v>
      </c>
      <c r="AF51" s="48"/>
      <c r="AG51" s="48"/>
    </row>
    <row r="52">
      <c r="A52" s="6" t="s">
        <v>45</v>
      </c>
      <c r="B52" s="10" t="s">
        <v>68</v>
      </c>
      <c r="C52" s="9"/>
      <c r="D52" s="10" t="s">
        <v>78</v>
      </c>
      <c r="E52" s="9" t="s">
        <v>435</v>
      </c>
      <c r="F52" s="48"/>
      <c r="G52" s="113" t="s">
        <v>45</v>
      </c>
      <c r="H52" s="10" t="s">
        <v>768</v>
      </c>
      <c r="I52" s="9" t="s">
        <v>435</v>
      </c>
      <c r="J52" s="22" t="s">
        <v>186</v>
      </c>
      <c r="K52" s="9" t="s">
        <v>435</v>
      </c>
      <c r="L52" s="48"/>
      <c r="M52" s="68"/>
      <c r="N52" s="113" t="s">
        <v>45</v>
      </c>
      <c r="O52" s="194" t="s">
        <v>1488</v>
      </c>
      <c r="P52" s="10" t="s">
        <v>68</v>
      </c>
      <c r="Q52" s="9" t="s">
        <v>435</v>
      </c>
      <c r="R52" s="33"/>
      <c r="S52" s="33"/>
      <c r="T52" s="68"/>
      <c r="U52" s="113" t="s">
        <v>45</v>
      </c>
      <c r="V52" s="329" t="s">
        <v>435</v>
      </c>
      <c r="W52" s="10" t="s">
        <v>68</v>
      </c>
      <c r="X52" s="9" t="s">
        <v>435</v>
      </c>
      <c r="Y52" s="223" t="s">
        <v>1710</v>
      </c>
      <c r="Z52" s="9" t="s">
        <v>435</v>
      </c>
      <c r="AA52" s="68"/>
      <c r="AB52" s="113" t="s">
        <v>45</v>
      </c>
      <c r="AC52" s="16" t="s">
        <v>90</v>
      </c>
      <c r="AD52" s="280"/>
      <c r="AE52" s="9" t="s">
        <v>435</v>
      </c>
      <c r="AF52" s="48"/>
      <c r="AG52" s="48"/>
    </row>
    <row r="53">
      <c r="A53" s="6" t="s">
        <v>54</v>
      </c>
      <c r="B53" s="10" t="s">
        <v>69</v>
      </c>
      <c r="C53" s="9"/>
      <c r="D53" s="10" t="s">
        <v>94</v>
      </c>
      <c r="E53" s="9" t="s">
        <v>435</v>
      </c>
      <c r="F53" s="48"/>
      <c r="G53" s="113" t="s">
        <v>54</v>
      </c>
      <c r="H53" s="10" t="s">
        <v>69</v>
      </c>
      <c r="I53" s="9" t="s">
        <v>435</v>
      </c>
      <c r="J53" s="22" t="s">
        <v>972</v>
      </c>
      <c r="K53" s="9" t="s">
        <v>435</v>
      </c>
      <c r="L53" s="48"/>
      <c r="M53" s="68"/>
      <c r="N53" s="113" t="s">
        <v>54</v>
      </c>
      <c r="O53" s="299"/>
      <c r="P53" s="10" t="s">
        <v>69</v>
      </c>
      <c r="Q53" s="9" t="s">
        <v>435</v>
      </c>
      <c r="R53" s="329" t="s">
        <v>435</v>
      </c>
      <c r="S53" s="9" t="s">
        <v>435</v>
      </c>
      <c r="T53" s="68"/>
      <c r="U53" s="113" t="s">
        <v>54</v>
      </c>
      <c r="V53" s="329" t="s">
        <v>435</v>
      </c>
      <c r="W53" s="10" t="s">
        <v>69</v>
      </c>
      <c r="X53" s="9"/>
      <c r="Y53" s="280"/>
      <c r="Z53" s="9" t="s">
        <v>435</v>
      </c>
      <c r="AA53" s="68"/>
      <c r="AB53" s="113" t="s">
        <v>54</v>
      </c>
      <c r="AC53" s="16" t="s">
        <v>892</v>
      </c>
      <c r="AD53" s="10" t="s">
        <v>69</v>
      </c>
      <c r="AE53" s="9" t="s">
        <v>435</v>
      </c>
      <c r="AF53" s="48"/>
      <c r="AG53" s="48"/>
    </row>
    <row r="54">
      <c r="A54" s="6" t="s">
        <v>64</v>
      </c>
      <c r="B54" s="16" t="s">
        <v>816</v>
      </c>
      <c r="C54" s="9"/>
      <c r="D54" s="10" t="s">
        <v>128</v>
      </c>
      <c r="E54" s="9" t="s">
        <v>435</v>
      </c>
      <c r="F54" s="48"/>
      <c r="G54" s="117" t="s">
        <v>1816</v>
      </c>
      <c r="I54" s="9" t="s">
        <v>435</v>
      </c>
      <c r="K54" s="9" t="s">
        <v>435</v>
      </c>
      <c r="L54" s="48"/>
      <c r="M54" s="68"/>
      <c r="N54" s="417">
        <v>0.7083333333333334</v>
      </c>
      <c r="O54" s="276" t="s">
        <v>1497</v>
      </c>
      <c r="P54" s="16" t="s">
        <v>1573</v>
      </c>
      <c r="Q54" s="9" t="s">
        <v>435</v>
      </c>
      <c r="R54" s="329" t="s">
        <v>435</v>
      </c>
      <c r="S54" s="9" t="s">
        <v>435</v>
      </c>
      <c r="T54" s="68"/>
      <c r="U54" s="113" t="s">
        <v>64</v>
      </c>
      <c r="V54" s="329" t="s">
        <v>435</v>
      </c>
      <c r="W54" s="15" t="s">
        <v>939</v>
      </c>
      <c r="X54" s="9"/>
      <c r="Y54" s="10" t="s">
        <v>1718</v>
      </c>
      <c r="Z54" s="9" t="s">
        <v>435</v>
      </c>
      <c r="AA54" s="68"/>
      <c r="AB54" s="369">
        <v>0.7083333333333334</v>
      </c>
      <c r="AC54" s="194" t="s">
        <v>40</v>
      </c>
      <c r="AD54" s="16" t="s">
        <v>87</v>
      </c>
      <c r="AE54" s="9" t="s">
        <v>435</v>
      </c>
      <c r="AF54" s="48"/>
      <c r="AG54" s="48"/>
    </row>
    <row r="55">
      <c r="A55" s="6" t="s">
        <v>71</v>
      </c>
      <c r="B55" s="194" t="s">
        <v>174</v>
      </c>
      <c r="C55" s="194" t="s">
        <v>1033</v>
      </c>
      <c r="D55" s="422"/>
      <c r="E55" s="9" t="s">
        <v>435</v>
      </c>
      <c r="F55" s="48"/>
      <c r="G55" s="113" t="s">
        <v>71</v>
      </c>
      <c r="H55" s="194" t="s">
        <v>174</v>
      </c>
      <c r="I55" s="9" t="s">
        <v>435</v>
      </c>
      <c r="K55" s="9" t="s">
        <v>435</v>
      </c>
      <c r="L55" s="48"/>
      <c r="M55" s="68"/>
      <c r="N55" s="113" t="s">
        <v>71</v>
      </c>
      <c r="O55" s="194" t="s">
        <v>1051</v>
      </c>
      <c r="P55" s="223" t="s">
        <v>193</v>
      </c>
      <c r="Q55" s="33" t="s">
        <v>1817</v>
      </c>
      <c r="R55" s="329" t="s">
        <v>435</v>
      </c>
      <c r="S55" s="9" t="s">
        <v>435</v>
      </c>
      <c r="T55" s="68"/>
      <c r="U55" s="113" t="s">
        <v>71</v>
      </c>
      <c r="V55" s="329" t="s">
        <v>435</v>
      </c>
      <c r="W55" s="16" t="s">
        <v>31</v>
      </c>
      <c r="X55" s="9" t="s">
        <v>435</v>
      </c>
      <c r="Y55" s="22" t="s">
        <v>1517</v>
      </c>
      <c r="Z55" s="9" t="s">
        <v>435</v>
      </c>
      <c r="AA55" s="68"/>
      <c r="AB55" s="113" t="s">
        <v>71</v>
      </c>
      <c r="AC55" s="194" t="s">
        <v>31</v>
      </c>
      <c r="AD55" s="276" t="s">
        <v>16</v>
      </c>
      <c r="AE55" s="9" t="s">
        <v>435</v>
      </c>
      <c r="AF55" s="48"/>
      <c r="AG55" s="48"/>
    </row>
    <row r="56">
      <c r="A56" s="6" t="s">
        <v>80</v>
      </c>
      <c r="B56" s="194" t="s">
        <v>53</v>
      </c>
      <c r="C56" s="9" t="s">
        <v>435</v>
      </c>
      <c r="D56" s="22" t="s">
        <v>90</v>
      </c>
      <c r="E56" s="9" t="s">
        <v>435</v>
      </c>
      <c r="F56" s="48"/>
      <c r="G56" s="113" t="s">
        <v>80</v>
      </c>
      <c r="H56" s="194" t="s">
        <v>70</v>
      </c>
      <c r="I56" s="359" t="s">
        <v>435</v>
      </c>
      <c r="J56" s="10" t="s">
        <v>128</v>
      </c>
      <c r="K56" s="9" t="s">
        <v>435</v>
      </c>
      <c r="L56" s="48"/>
      <c r="M56" s="48"/>
      <c r="N56" s="113" t="s">
        <v>80</v>
      </c>
      <c r="O56" s="194" t="s">
        <v>361</v>
      </c>
      <c r="P56" s="10" t="s">
        <v>1087</v>
      </c>
      <c r="Q56" s="33"/>
      <c r="R56" s="33"/>
      <c r="S56" s="9" t="s">
        <v>435</v>
      </c>
      <c r="T56" s="48"/>
      <c r="U56" s="113" t="s">
        <v>80</v>
      </c>
      <c r="V56" s="329" t="s">
        <v>435</v>
      </c>
      <c r="W56" s="194" t="s">
        <v>891</v>
      </c>
      <c r="X56" s="9" t="s">
        <v>435</v>
      </c>
      <c r="Y56" s="16" t="s">
        <v>1724</v>
      </c>
      <c r="Z56" s="9" t="s">
        <v>435</v>
      </c>
      <c r="AA56" s="48"/>
      <c r="AB56" s="113" t="s">
        <v>80</v>
      </c>
      <c r="AC56" s="189" t="s">
        <v>1748</v>
      </c>
      <c r="AD56" s="9" t="s">
        <v>435</v>
      </c>
      <c r="AE56" s="9" t="s">
        <v>435</v>
      </c>
      <c r="AF56" s="48"/>
      <c r="AG56" s="48"/>
    </row>
    <row r="57">
      <c r="A57" s="6" t="s">
        <v>95</v>
      </c>
      <c r="B57" s="194" t="s">
        <v>891</v>
      </c>
      <c r="C57" s="9" t="s">
        <v>435</v>
      </c>
      <c r="D57" s="10" t="s">
        <v>217</v>
      </c>
      <c r="E57" s="9" t="s">
        <v>435</v>
      </c>
      <c r="F57" s="48"/>
      <c r="G57" s="113" t="s">
        <v>95</v>
      </c>
      <c r="H57" s="194" t="s">
        <v>1302</v>
      </c>
      <c r="I57" s="359" t="s">
        <v>435</v>
      </c>
      <c r="J57" s="22" t="s">
        <v>1188</v>
      </c>
      <c r="K57" s="9" t="s">
        <v>435</v>
      </c>
      <c r="L57" s="48"/>
      <c r="M57" s="48"/>
      <c r="N57" s="113" t="s">
        <v>95</v>
      </c>
      <c r="O57" s="280" t="s">
        <v>96</v>
      </c>
      <c r="P57" s="22" t="s">
        <v>1602</v>
      </c>
      <c r="Q57" s="33"/>
      <c r="R57" s="33"/>
      <c r="S57" s="9" t="s">
        <v>435</v>
      </c>
      <c r="T57" s="48"/>
      <c r="U57" s="113" t="s">
        <v>95</v>
      </c>
      <c r="V57" s="329" t="s">
        <v>435</v>
      </c>
      <c r="W57" s="22" t="s">
        <v>1668</v>
      </c>
      <c r="X57" s="9" t="s">
        <v>435</v>
      </c>
      <c r="Y57" s="15" t="s">
        <v>1726</v>
      </c>
      <c r="Z57" s="9" t="s">
        <v>435</v>
      </c>
      <c r="AA57" s="48"/>
      <c r="AB57" s="113" t="s">
        <v>95</v>
      </c>
      <c r="AC57" s="223" t="s">
        <v>53</v>
      </c>
      <c r="AD57" s="9" t="s">
        <v>435</v>
      </c>
      <c r="AE57" s="9" t="s">
        <v>435</v>
      </c>
      <c r="AF57" s="48"/>
      <c r="AG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48"/>
    </row>
    <row r="59"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1"/>
      <c r="O59" s="48"/>
      <c r="P59" s="48"/>
      <c r="Q59" s="48"/>
      <c r="R59" s="48"/>
      <c r="S59" s="48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48"/>
    </row>
    <row r="60">
      <c r="A60" s="345"/>
      <c r="B60" s="361">
        <v>45778.0</v>
      </c>
      <c r="C60" s="363">
        <v>45779.0</v>
      </c>
      <c r="D60" s="48"/>
      <c r="E60" s="48"/>
      <c r="F60" s="48"/>
      <c r="G60" s="48"/>
      <c r="H60" s="423">
        <v>45783.0</v>
      </c>
      <c r="I60" s="423">
        <v>45784.0</v>
      </c>
      <c r="J60" s="423">
        <v>45785.0</v>
      </c>
      <c r="K60" s="363">
        <v>45786.0</v>
      </c>
      <c r="M60" s="48"/>
      <c r="N60" s="364"/>
      <c r="O60" s="423">
        <v>45789.0</v>
      </c>
      <c r="P60" s="423">
        <v>45790.0</v>
      </c>
      <c r="Q60" s="423">
        <v>45791.0</v>
      </c>
      <c r="R60" s="423">
        <v>45792.0</v>
      </c>
      <c r="S60" s="363">
        <v>45793.0</v>
      </c>
      <c r="T60" s="1"/>
      <c r="U60" s="1"/>
      <c r="V60" s="423">
        <v>45797.0</v>
      </c>
      <c r="W60" s="423">
        <v>45798.0</v>
      </c>
      <c r="X60" s="423">
        <v>45799.0</v>
      </c>
      <c r="Y60" s="363">
        <v>45800.0</v>
      </c>
      <c r="Z60" s="424" t="s">
        <v>1818</v>
      </c>
      <c r="AA60" s="1"/>
      <c r="AB60" s="364"/>
      <c r="AC60" s="423">
        <v>45804.0</v>
      </c>
      <c r="AD60" s="423">
        <v>45805.0</v>
      </c>
      <c r="AE60" s="423">
        <v>45806.0</v>
      </c>
      <c r="AF60" s="363">
        <v>45807.0</v>
      </c>
      <c r="AG60" s="424" t="s">
        <v>1819</v>
      </c>
    </row>
    <row r="61">
      <c r="A61" s="110" t="s">
        <v>0</v>
      </c>
      <c r="B61" s="329" t="s">
        <v>435</v>
      </c>
      <c r="C61" s="10" t="s">
        <v>78</v>
      </c>
      <c r="D61" s="48"/>
      <c r="E61" s="48"/>
      <c r="F61" s="48"/>
      <c r="G61" s="172" t="s">
        <v>0</v>
      </c>
      <c r="H61" s="9" t="s">
        <v>435</v>
      </c>
      <c r="I61" s="194" t="s">
        <v>512</v>
      </c>
      <c r="J61" s="9" t="s">
        <v>435</v>
      </c>
      <c r="M61" s="68"/>
      <c r="N61" s="305" t="s">
        <v>0</v>
      </c>
      <c r="O61" s="9" t="s">
        <v>435</v>
      </c>
      <c r="P61" s="22" t="s">
        <v>78</v>
      </c>
      <c r="Q61" s="9" t="s">
        <v>435</v>
      </c>
      <c r="R61" s="9" t="s">
        <v>435</v>
      </c>
      <c r="S61" s="323"/>
      <c r="T61" s="68"/>
      <c r="U61" s="6" t="s">
        <v>0</v>
      </c>
      <c r="V61" s="9" t="s">
        <v>435</v>
      </c>
      <c r="W61" s="194" t="s">
        <v>512</v>
      </c>
      <c r="X61" s="9" t="s">
        <v>435</v>
      </c>
      <c r="Y61" s="16"/>
      <c r="Z61" s="68"/>
      <c r="AA61" s="68"/>
      <c r="AB61" s="319" t="s">
        <v>0</v>
      </c>
      <c r="AC61" s="44" t="s">
        <v>435</v>
      </c>
      <c r="AD61" s="191"/>
      <c r="AE61" s="44" t="s">
        <v>435</v>
      </c>
      <c r="AF61" s="22" t="s">
        <v>20</v>
      </c>
      <c r="AG61" s="9" t="s">
        <v>435</v>
      </c>
    </row>
    <row r="62">
      <c r="A62" s="113" t="s">
        <v>5</v>
      </c>
      <c r="B62" s="329" t="s">
        <v>435</v>
      </c>
      <c r="D62" s="48"/>
      <c r="E62" s="48"/>
      <c r="F62" s="48"/>
      <c r="G62" s="172" t="s">
        <v>5</v>
      </c>
      <c r="H62" s="9" t="s">
        <v>435</v>
      </c>
      <c r="I62" s="16" t="s">
        <v>20</v>
      </c>
      <c r="J62" s="9" t="s">
        <v>435</v>
      </c>
      <c r="M62" s="68"/>
      <c r="N62" s="305" t="s">
        <v>5</v>
      </c>
      <c r="O62" s="9" t="s">
        <v>435</v>
      </c>
      <c r="P62" s="194" t="s">
        <v>20</v>
      </c>
      <c r="Q62" s="9" t="s">
        <v>435</v>
      </c>
      <c r="R62" s="9" t="s">
        <v>435</v>
      </c>
      <c r="S62" s="323"/>
      <c r="T62" s="68"/>
      <c r="U62" s="6" t="s">
        <v>5</v>
      </c>
      <c r="V62" s="9" t="s">
        <v>435</v>
      </c>
      <c r="W62" s="194" t="s">
        <v>20</v>
      </c>
      <c r="X62" s="9" t="s">
        <v>435</v>
      </c>
      <c r="Y62" s="10" t="s">
        <v>1465</v>
      </c>
      <c r="Z62" s="68"/>
      <c r="AA62" s="68"/>
      <c r="AB62" s="319" t="s">
        <v>5</v>
      </c>
      <c r="AC62" s="44" t="s">
        <v>435</v>
      </c>
      <c r="AD62" s="194"/>
      <c r="AE62" s="44" t="s">
        <v>435</v>
      </c>
      <c r="AF62" s="10" t="s">
        <v>1465</v>
      </c>
      <c r="AG62" s="9" t="s">
        <v>435</v>
      </c>
    </row>
    <row r="63">
      <c r="A63" s="113" t="s">
        <v>13</v>
      </c>
      <c r="B63" s="329" t="s">
        <v>435</v>
      </c>
      <c r="C63" s="280"/>
      <c r="D63" s="48"/>
      <c r="E63" s="48"/>
      <c r="F63" s="48"/>
      <c r="G63" s="172" t="s">
        <v>13</v>
      </c>
      <c r="H63" s="9" t="s">
        <v>435</v>
      </c>
      <c r="I63" s="294"/>
      <c r="J63" s="9" t="s">
        <v>435</v>
      </c>
      <c r="K63" s="16" t="s">
        <v>763</v>
      </c>
      <c r="M63" s="68"/>
      <c r="N63" s="305" t="s">
        <v>13</v>
      </c>
      <c r="O63" s="9" t="s">
        <v>435</v>
      </c>
      <c r="P63" s="10" t="s">
        <v>896</v>
      </c>
      <c r="Q63" s="9" t="s">
        <v>435</v>
      </c>
      <c r="R63" s="9" t="s">
        <v>435</v>
      </c>
      <c r="S63" s="323"/>
      <c r="T63" s="68"/>
      <c r="U63" s="6" t="s">
        <v>13</v>
      </c>
      <c r="V63" s="9" t="s">
        <v>435</v>
      </c>
      <c r="W63" s="191"/>
      <c r="X63" s="9" t="s">
        <v>435</v>
      </c>
      <c r="Y63" s="16" t="s">
        <v>763</v>
      </c>
      <c r="Z63" s="277" t="s">
        <v>1498</v>
      </c>
      <c r="AA63" s="68"/>
      <c r="AB63" s="319" t="s">
        <v>13</v>
      </c>
      <c r="AC63" s="44" t="s">
        <v>435</v>
      </c>
      <c r="AD63" s="16" t="s">
        <v>58</v>
      </c>
      <c r="AE63" s="44" t="s">
        <v>435</v>
      </c>
      <c r="AF63" s="10" t="s">
        <v>1632</v>
      </c>
      <c r="AG63" s="10" t="s">
        <v>1648</v>
      </c>
    </row>
    <row r="64">
      <c r="A64" s="113" t="s">
        <v>19</v>
      </c>
      <c r="B64" s="329" t="s">
        <v>435</v>
      </c>
      <c r="D64" s="48"/>
      <c r="E64" s="48"/>
      <c r="F64" s="48"/>
      <c r="G64" s="172" t="s">
        <v>19</v>
      </c>
      <c r="H64" s="9" t="s">
        <v>435</v>
      </c>
      <c r="I64" s="10" t="s">
        <v>37</v>
      </c>
      <c r="J64" s="9" t="s">
        <v>435</v>
      </c>
      <c r="K64" s="22"/>
      <c r="M64" s="68"/>
      <c r="N64" s="305" t="s">
        <v>19</v>
      </c>
      <c r="O64" s="9" t="s">
        <v>435</v>
      </c>
      <c r="P64" s="16" t="s">
        <v>91</v>
      </c>
      <c r="Q64" s="9" t="s">
        <v>435</v>
      </c>
      <c r="R64" s="9" t="s">
        <v>435</v>
      </c>
      <c r="S64" s="425"/>
      <c r="T64" s="68"/>
      <c r="U64" s="6" t="s">
        <v>19</v>
      </c>
      <c r="V64" s="9" t="s">
        <v>435</v>
      </c>
      <c r="X64" s="9" t="s">
        <v>435</v>
      </c>
      <c r="Y64" s="47"/>
      <c r="Z64" s="68"/>
      <c r="AA64" s="68"/>
      <c r="AB64" s="319" t="s">
        <v>19</v>
      </c>
      <c r="AC64" s="44" t="s">
        <v>435</v>
      </c>
      <c r="AD64" s="10" t="s">
        <v>37</v>
      </c>
      <c r="AE64" s="44" t="s">
        <v>435</v>
      </c>
      <c r="AF64" s="10" t="s">
        <v>1637</v>
      </c>
      <c r="AG64" s="16" t="s">
        <v>669</v>
      </c>
    </row>
    <row r="65">
      <c r="A65" s="117" t="s">
        <v>27</v>
      </c>
      <c r="B65" s="78"/>
      <c r="C65" s="22" t="s">
        <v>765</v>
      </c>
      <c r="D65" s="48"/>
      <c r="E65" s="48"/>
      <c r="F65" s="48"/>
      <c r="G65" s="172" t="s">
        <v>27</v>
      </c>
      <c r="H65" s="9" t="s">
        <v>435</v>
      </c>
      <c r="I65" s="298" t="s">
        <v>939</v>
      </c>
      <c r="J65" s="9" t="s">
        <v>435</v>
      </c>
      <c r="K65" s="22" t="s">
        <v>765</v>
      </c>
      <c r="M65" s="68"/>
      <c r="N65" s="305" t="s">
        <v>27</v>
      </c>
      <c r="O65" s="9" t="s">
        <v>435</v>
      </c>
      <c r="P65" s="71"/>
      <c r="Q65" s="372" t="s">
        <v>1820</v>
      </c>
      <c r="R65" s="9" t="s">
        <v>435</v>
      </c>
      <c r="S65" s="323"/>
      <c r="T65" s="68"/>
      <c r="U65" s="32" t="s">
        <v>27</v>
      </c>
      <c r="V65" s="9" t="s">
        <v>435</v>
      </c>
      <c r="W65" s="223" t="s">
        <v>939</v>
      </c>
      <c r="X65" s="9" t="s">
        <v>435</v>
      </c>
      <c r="Z65" s="68"/>
      <c r="AA65" s="68"/>
      <c r="AB65" s="321" t="s">
        <v>27</v>
      </c>
      <c r="AC65" s="44" t="s">
        <v>435</v>
      </c>
      <c r="AD65" s="16" t="s">
        <v>1562</v>
      </c>
      <c r="AE65" s="44" t="s">
        <v>435</v>
      </c>
      <c r="AF65" s="16" t="s">
        <v>1317</v>
      </c>
      <c r="AG65" s="9" t="s">
        <v>435</v>
      </c>
    </row>
    <row r="66">
      <c r="A66" s="117" t="s">
        <v>33</v>
      </c>
      <c r="B66" s="78"/>
      <c r="C66" s="298" t="s">
        <v>183</v>
      </c>
      <c r="D66" s="48"/>
      <c r="E66" s="48"/>
      <c r="F66" s="48"/>
      <c r="G66" s="172" t="s">
        <v>33</v>
      </c>
      <c r="H66" s="9" t="s">
        <v>435</v>
      </c>
      <c r="J66" s="9" t="s">
        <v>435</v>
      </c>
      <c r="K66" s="99"/>
      <c r="M66" s="68"/>
      <c r="N66" s="305" t="s">
        <v>33</v>
      </c>
      <c r="O66" s="33" t="s">
        <v>1813</v>
      </c>
      <c r="P66" s="33" t="s">
        <v>1813</v>
      </c>
      <c r="Q66" s="9" t="s">
        <v>435</v>
      </c>
      <c r="R66" s="9" t="s">
        <v>435</v>
      </c>
      <c r="S66" s="323"/>
      <c r="T66" s="68"/>
      <c r="U66" s="32" t="s">
        <v>33</v>
      </c>
      <c r="V66" s="9" t="s">
        <v>435</v>
      </c>
      <c r="W66" s="10" t="s">
        <v>51</v>
      </c>
      <c r="X66" s="9" t="s">
        <v>435</v>
      </c>
      <c r="Y66" s="22" t="s">
        <v>141</v>
      </c>
      <c r="Z66" s="68"/>
      <c r="AA66" s="68"/>
      <c r="AB66" s="321" t="s">
        <v>33</v>
      </c>
      <c r="AC66" s="44" t="s">
        <v>435</v>
      </c>
      <c r="AD66" s="44" t="s">
        <v>435</v>
      </c>
      <c r="AE66" s="44" t="s">
        <v>435</v>
      </c>
      <c r="AF66" s="9" t="s">
        <v>435</v>
      </c>
      <c r="AG66" s="9" t="s">
        <v>435</v>
      </c>
    </row>
    <row r="67">
      <c r="A67" s="113" t="s">
        <v>39</v>
      </c>
      <c r="B67" s="426" t="s">
        <v>1821</v>
      </c>
      <c r="C67" s="9" t="s">
        <v>435</v>
      </c>
      <c r="D67" s="48"/>
      <c r="E67" s="48"/>
      <c r="F67" s="48"/>
      <c r="G67" s="172" t="s">
        <v>39</v>
      </c>
      <c r="H67" s="299"/>
      <c r="I67" s="9" t="s">
        <v>435</v>
      </c>
      <c r="J67" s="194" t="s">
        <v>186</v>
      </c>
      <c r="K67" s="9" t="s">
        <v>435</v>
      </c>
      <c r="M67" s="68"/>
      <c r="N67" s="305" t="s">
        <v>39</v>
      </c>
      <c r="O67" s="194" t="s">
        <v>94</v>
      </c>
      <c r="P67" s="427"/>
      <c r="Q67" s="9" t="s">
        <v>435</v>
      </c>
      <c r="R67" s="9" t="s">
        <v>435</v>
      </c>
      <c r="S67" s="9" t="s">
        <v>435</v>
      </c>
      <c r="T67" s="68"/>
      <c r="U67" s="6" t="s">
        <v>39</v>
      </c>
      <c r="V67" s="194" t="s">
        <v>765</v>
      </c>
      <c r="W67" s="9" t="s">
        <v>435</v>
      </c>
      <c r="X67" s="194"/>
      <c r="Y67" s="9" t="s">
        <v>435</v>
      </c>
      <c r="Z67" s="68"/>
      <c r="AA67" s="68"/>
      <c r="AB67" s="319" t="s">
        <v>39</v>
      </c>
      <c r="AC67" s="10" t="s">
        <v>176</v>
      </c>
      <c r="AD67" s="44" t="s">
        <v>435</v>
      </c>
      <c r="AE67" s="299"/>
      <c r="AF67" s="9" t="s">
        <v>435</v>
      </c>
      <c r="AG67" s="9" t="s">
        <v>435</v>
      </c>
    </row>
    <row r="68">
      <c r="A68" s="113" t="s">
        <v>45</v>
      </c>
      <c r="B68" s="426" t="s">
        <v>1822</v>
      </c>
      <c r="C68" s="9" t="s">
        <v>435</v>
      </c>
      <c r="D68" s="48"/>
      <c r="E68" s="48"/>
      <c r="F68" s="48"/>
      <c r="G68" s="172" t="s">
        <v>45</v>
      </c>
      <c r="H68" s="299"/>
      <c r="I68" s="9" t="s">
        <v>435</v>
      </c>
      <c r="J68" s="22"/>
      <c r="K68" s="9" t="s">
        <v>435</v>
      </c>
      <c r="M68" s="68"/>
      <c r="N68" s="305" t="s">
        <v>45</v>
      </c>
      <c r="O68" s="10" t="s">
        <v>90</v>
      </c>
      <c r="P68" s="22" t="s">
        <v>1033</v>
      </c>
      <c r="Q68" s="9" t="s">
        <v>435</v>
      </c>
      <c r="R68" s="372" t="s">
        <v>1823</v>
      </c>
      <c r="S68" s="9" t="s">
        <v>435</v>
      </c>
      <c r="T68" s="68"/>
      <c r="U68" s="6" t="s">
        <v>45</v>
      </c>
      <c r="V68" s="10"/>
      <c r="W68" s="9" t="s">
        <v>435</v>
      </c>
      <c r="X68" s="22"/>
      <c r="Y68" s="9" t="s">
        <v>435</v>
      </c>
      <c r="Z68" s="68"/>
      <c r="AA68" s="68"/>
      <c r="AB68" s="319" t="s">
        <v>45</v>
      </c>
      <c r="AD68" s="44" t="s">
        <v>435</v>
      </c>
      <c r="AE68" s="16" t="s">
        <v>1367</v>
      </c>
      <c r="AF68" s="9" t="s">
        <v>435</v>
      </c>
      <c r="AG68" s="9" t="s">
        <v>435</v>
      </c>
    </row>
    <row r="69">
      <c r="A69" s="113" t="s">
        <v>54</v>
      </c>
      <c r="B69" s="78"/>
      <c r="C69" s="9" t="s">
        <v>435</v>
      </c>
      <c r="D69" s="48"/>
      <c r="E69" s="48"/>
      <c r="F69" s="48"/>
      <c r="G69" s="172" t="s">
        <v>54</v>
      </c>
      <c r="H69" s="59" t="s">
        <v>65</v>
      </c>
      <c r="I69" s="9" t="s">
        <v>435</v>
      </c>
      <c r="J69" s="22" t="s">
        <v>972</v>
      </c>
      <c r="K69" s="9" t="s">
        <v>435</v>
      </c>
      <c r="M69" s="68"/>
      <c r="N69" s="305" t="s">
        <v>54</v>
      </c>
      <c r="O69" s="22" t="s">
        <v>740</v>
      </c>
      <c r="Q69" s="9" t="s">
        <v>435</v>
      </c>
      <c r="R69" s="372" t="s">
        <v>1824</v>
      </c>
      <c r="S69" s="9" t="s">
        <v>435</v>
      </c>
      <c r="T69" s="68"/>
      <c r="U69" s="6" t="s">
        <v>54</v>
      </c>
      <c r="V69" s="22" t="s">
        <v>740</v>
      </c>
      <c r="W69" s="9" t="s">
        <v>435</v>
      </c>
      <c r="X69" s="22"/>
      <c r="Y69" s="9" t="s">
        <v>435</v>
      </c>
      <c r="Z69" s="68"/>
      <c r="AA69" s="68"/>
      <c r="AB69" s="319" t="s">
        <v>54</v>
      </c>
      <c r="AC69" s="16" t="s">
        <v>740</v>
      </c>
      <c r="AD69" s="44" t="s">
        <v>435</v>
      </c>
      <c r="AE69" s="194" t="s">
        <v>1104</v>
      </c>
      <c r="AF69" s="9" t="s">
        <v>435</v>
      </c>
      <c r="AG69" s="9" t="s">
        <v>435</v>
      </c>
    </row>
    <row r="70">
      <c r="A70" s="369">
        <v>0.7083333333333334</v>
      </c>
      <c r="B70" s="71"/>
      <c r="C70" s="9" t="s">
        <v>435</v>
      </c>
      <c r="D70" s="48"/>
      <c r="E70" s="48"/>
      <c r="F70" s="48"/>
      <c r="G70" s="172" t="s">
        <v>64</v>
      </c>
      <c r="H70" s="280"/>
      <c r="I70" s="9" t="s">
        <v>435</v>
      </c>
      <c r="J70" s="223" t="s">
        <v>94</v>
      </c>
      <c r="K70" s="9" t="s">
        <v>435</v>
      </c>
      <c r="M70" s="68"/>
      <c r="N70" s="324">
        <v>0.7291666666666666</v>
      </c>
      <c r="O70" s="22" t="s">
        <v>1165</v>
      </c>
      <c r="P70" s="10" t="s">
        <v>892</v>
      </c>
      <c r="Q70" s="9" t="s">
        <v>435</v>
      </c>
      <c r="R70" s="9" t="s">
        <v>435</v>
      </c>
      <c r="S70" s="33"/>
      <c r="T70" s="68"/>
      <c r="U70" s="428">
        <v>0.7083333333333334</v>
      </c>
      <c r="V70" s="10" t="s">
        <v>1366</v>
      </c>
      <c r="W70" s="9" t="s">
        <v>435</v>
      </c>
      <c r="X70" s="192"/>
      <c r="Y70" s="9" t="s">
        <v>435</v>
      </c>
      <c r="Z70" s="68"/>
      <c r="AA70" s="68"/>
      <c r="AB70" s="324">
        <v>0.7083333333333334</v>
      </c>
      <c r="AC70" s="10" t="s">
        <v>1300</v>
      </c>
      <c r="AD70" s="44" t="s">
        <v>435</v>
      </c>
      <c r="AE70" s="10" t="s">
        <v>1581</v>
      </c>
      <c r="AF70" s="9" t="s">
        <v>435</v>
      </c>
      <c r="AG70" s="9" t="s">
        <v>435</v>
      </c>
    </row>
    <row r="71">
      <c r="A71" s="113" t="s">
        <v>71</v>
      </c>
      <c r="B71" s="429"/>
      <c r="C71" s="9" t="s">
        <v>435</v>
      </c>
      <c r="D71" s="48"/>
      <c r="E71" s="48"/>
      <c r="F71" s="48"/>
      <c r="G71" s="172" t="s">
        <v>71</v>
      </c>
      <c r="I71" s="9" t="s">
        <v>435</v>
      </c>
      <c r="J71" s="10" t="s">
        <v>1007</v>
      </c>
      <c r="K71" s="9" t="s">
        <v>435</v>
      </c>
      <c r="M71" s="68"/>
      <c r="N71" s="305" t="s">
        <v>71</v>
      </c>
      <c r="O71" s="22" t="s">
        <v>1182</v>
      </c>
      <c r="P71" s="298"/>
      <c r="Q71" s="9" t="s">
        <v>435</v>
      </c>
      <c r="R71" s="9" t="s">
        <v>435</v>
      </c>
      <c r="S71" s="33"/>
      <c r="T71" s="68"/>
      <c r="U71" s="6" t="s">
        <v>71</v>
      </c>
      <c r="V71" s="194" t="s">
        <v>31</v>
      </c>
      <c r="W71" s="9" t="s">
        <v>435</v>
      </c>
      <c r="X71" s="10" t="s">
        <v>165</v>
      </c>
      <c r="Y71" s="9" t="s">
        <v>435</v>
      </c>
      <c r="Z71" s="68"/>
      <c r="AA71" s="68"/>
      <c r="AB71" s="319" t="s">
        <v>71</v>
      </c>
      <c r="AC71" s="16" t="s">
        <v>174</v>
      </c>
      <c r="AD71" s="44" t="s">
        <v>435</v>
      </c>
      <c r="AE71" s="289" t="s">
        <v>137</v>
      </c>
      <c r="AF71" s="9" t="s">
        <v>435</v>
      </c>
      <c r="AG71" s="9" t="s">
        <v>435</v>
      </c>
    </row>
    <row r="72">
      <c r="A72" s="113" t="s">
        <v>80</v>
      </c>
      <c r="B72" s="78"/>
      <c r="C72" s="9" t="s">
        <v>435</v>
      </c>
      <c r="D72" s="48"/>
      <c r="E72" s="48"/>
      <c r="F72" s="48"/>
      <c r="G72" s="172" t="s">
        <v>80</v>
      </c>
      <c r="H72" s="10" t="s">
        <v>817</v>
      </c>
      <c r="I72" s="9" t="s">
        <v>435</v>
      </c>
      <c r="J72" s="16" t="s">
        <v>1034</v>
      </c>
      <c r="K72" s="9" t="s">
        <v>435</v>
      </c>
      <c r="M72" s="68"/>
      <c r="N72" s="305" t="s">
        <v>80</v>
      </c>
      <c r="O72" s="10" t="s">
        <v>171</v>
      </c>
      <c r="P72" s="22" t="s">
        <v>137</v>
      </c>
      <c r="Q72" s="9" t="s">
        <v>435</v>
      </c>
      <c r="R72" s="9" t="s">
        <v>435</v>
      </c>
      <c r="S72" s="9" t="s">
        <v>435</v>
      </c>
      <c r="T72" s="68"/>
      <c r="U72" s="6" t="s">
        <v>80</v>
      </c>
      <c r="V72" s="10" t="s">
        <v>16</v>
      </c>
      <c r="W72" s="9" t="s">
        <v>435</v>
      </c>
      <c r="X72" s="10" t="s">
        <v>891</v>
      </c>
      <c r="Y72" s="9" t="s">
        <v>435</v>
      </c>
      <c r="Z72" s="68"/>
      <c r="AA72" s="68"/>
      <c r="AB72" s="319" t="s">
        <v>80</v>
      </c>
      <c r="AC72" s="16" t="s">
        <v>782</v>
      </c>
      <c r="AD72" s="44" t="s">
        <v>435</v>
      </c>
      <c r="AE72" s="10" t="s">
        <v>165</v>
      </c>
      <c r="AF72" s="9" t="s">
        <v>435</v>
      </c>
      <c r="AG72" s="9" t="s">
        <v>435</v>
      </c>
    </row>
    <row r="73">
      <c r="A73" s="113" t="s">
        <v>95</v>
      </c>
      <c r="B73" s="78"/>
      <c r="C73" s="9" t="s">
        <v>435</v>
      </c>
      <c r="D73" s="48"/>
      <c r="E73" s="48"/>
      <c r="F73" s="48"/>
      <c r="G73" s="172" t="s">
        <v>95</v>
      </c>
      <c r="H73" s="194" t="s">
        <v>842</v>
      </c>
      <c r="I73" s="9" t="s">
        <v>435</v>
      </c>
      <c r="J73" s="10" t="s">
        <v>1051</v>
      </c>
      <c r="K73" s="9" t="s">
        <v>435</v>
      </c>
      <c r="M73" s="68"/>
      <c r="N73" s="305" t="s">
        <v>95</v>
      </c>
      <c r="O73" s="194" t="s">
        <v>669</v>
      </c>
      <c r="P73" s="10" t="s">
        <v>1331</v>
      </c>
      <c r="Q73" s="9" t="s">
        <v>435</v>
      </c>
      <c r="R73" s="9" t="s">
        <v>435</v>
      </c>
      <c r="S73" s="9" t="s">
        <v>435</v>
      </c>
      <c r="T73" s="68"/>
      <c r="U73" s="6" t="s">
        <v>95</v>
      </c>
      <c r="V73" s="360"/>
      <c r="W73" s="9" t="s">
        <v>435</v>
      </c>
      <c r="X73" s="10"/>
      <c r="Y73" s="9" t="s">
        <v>435</v>
      </c>
      <c r="Z73" s="68"/>
      <c r="AA73" s="68"/>
      <c r="AB73" s="319" t="s">
        <v>95</v>
      </c>
      <c r="AC73" s="10" t="s">
        <v>1164</v>
      </c>
      <c r="AD73" s="44" t="s">
        <v>435</v>
      </c>
      <c r="AE73" s="10" t="s">
        <v>1610</v>
      </c>
      <c r="AF73" s="9" t="s">
        <v>435</v>
      </c>
      <c r="AG73" s="9" t="s">
        <v>435</v>
      </c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>
      <c r="A75" s="48"/>
      <c r="B75" s="430">
        <v>45811.0</v>
      </c>
      <c r="C75" s="430">
        <v>45812.0</v>
      </c>
      <c r="D75" s="430">
        <v>45813.0</v>
      </c>
      <c r="E75" s="431">
        <v>45814.0</v>
      </c>
      <c r="F75" s="432" t="s">
        <v>1825</v>
      </c>
      <c r="G75" s="13"/>
      <c r="H75" s="430">
        <v>45818.0</v>
      </c>
      <c r="I75" s="430">
        <v>45819.0</v>
      </c>
      <c r="J75" s="430">
        <v>45820.0</v>
      </c>
      <c r="K75" s="2">
        <v>45821.0</v>
      </c>
      <c r="L75" s="432" t="s">
        <v>1826</v>
      </c>
      <c r="M75" s="48"/>
      <c r="N75" s="1"/>
      <c r="O75" s="430">
        <v>45825.0</v>
      </c>
      <c r="P75" s="430">
        <v>45826.0</v>
      </c>
      <c r="Q75" s="430">
        <v>45827.0</v>
      </c>
      <c r="R75" s="2">
        <v>45828.0</v>
      </c>
      <c r="S75" s="48"/>
      <c r="T75" s="48"/>
      <c r="U75" s="1"/>
      <c r="V75" s="430">
        <v>45832.0</v>
      </c>
      <c r="W75" s="430">
        <v>45833.0</v>
      </c>
      <c r="X75" s="430">
        <v>45834.0</v>
      </c>
      <c r="Y75" s="2">
        <v>45835.0</v>
      </c>
      <c r="Z75" s="433" t="s">
        <v>1827</v>
      </c>
      <c r="AB75" s="48"/>
      <c r="AC75" s="48"/>
      <c r="AD75" s="48"/>
      <c r="AE75" s="48"/>
      <c r="AF75" s="48"/>
      <c r="AG75" s="48"/>
    </row>
    <row r="76">
      <c r="A76" s="319" t="s">
        <v>0</v>
      </c>
      <c r="B76" s="371"/>
      <c r="C76" s="10" t="s">
        <v>16</v>
      </c>
      <c r="D76" s="371"/>
      <c r="E76" s="10" t="s">
        <v>1072</v>
      </c>
      <c r="F76" s="47"/>
      <c r="G76" s="6" t="s">
        <v>0</v>
      </c>
      <c r="H76" s="9" t="s">
        <v>435</v>
      </c>
      <c r="I76" s="22" t="s">
        <v>896</v>
      </c>
      <c r="J76" s="9" t="s">
        <v>435</v>
      </c>
      <c r="K76" s="10" t="s">
        <v>31</v>
      </c>
      <c r="M76" s="48"/>
      <c r="N76" s="6" t="s">
        <v>0</v>
      </c>
      <c r="O76" s="280"/>
      <c r="P76" s="10" t="s">
        <v>16</v>
      </c>
      <c r="Q76" s="9" t="s">
        <v>435</v>
      </c>
      <c r="R76" s="9" t="s">
        <v>435</v>
      </c>
      <c r="S76" s="48"/>
      <c r="T76" s="1"/>
      <c r="U76" s="6" t="s">
        <v>0</v>
      </c>
      <c r="V76" s="9" t="s">
        <v>435</v>
      </c>
      <c r="W76" s="13" t="s">
        <v>896</v>
      </c>
      <c r="X76" s="9" t="s">
        <v>435</v>
      </c>
      <c r="Y76" s="17"/>
      <c r="Z76" s="16" t="s">
        <v>1559</v>
      </c>
      <c r="AB76" s="48"/>
      <c r="AC76" s="48"/>
      <c r="AD76" s="48"/>
      <c r="AE76" s="48"/>
      <c r="AF76" s="48"/>
      <c r="AG76" s="48"/>
    </row>
    <row r="77">
      <c r="A77" s="319" t="s">
        <v>5</v>
      </c>
      <c r="B77" s="371"/>
      <c r="C77" s="10"/>
      <c r="D77" s="371"/>
      <c r="F77" s="47"/>
      <c r="G77" s="6" t="s">
        <v>5</v>
      </c>
      <c r="H77" s="9" t="s">
        <v>435</v>
      </c>
      <c r="I77" s="56" t="s">
        <v>942</v>
      </c>
      <c r="J77" s="9" t="s">
        <v>435</v>
      </c>
      <c r="K77" s="10" t="s">
        <v>1410</v>
      </c>
      <c r="L77" s="22" t="s">
        <v>1424</v>
      </c>
      <c r="M77" s="68"/>
      <c r="N77" s="6" t="s">
        <v>5</v>
      </c>
      <c r="O77" s="17"/>
      <c r="P77" s="56" t="s">
        <v>1544</v>
      </c>
      <c r="Q77" s="9" t="s">
        <v>435</v>
      </c>
      <c r="R77" s="9" t="s">
        <v>435</v>
      </c>
      <c r="S77" s="68"/>
      <c r="T77" s="68"/>
      <c r="U77" s="6" t="s">
        <v>5</v>
      </c>
      <c r="V77" s="9" t="s">
        <v>435</v>
      </c>
      <c r="W77" s="15" t="s">
        <v>1649</v>
      </c>
      <c r="X77" s="9" t="s">
        <v>435</v>
      </c>
      <c r="Y77" s="17"/>
      <c r="Z77" s="16" t="s">
        <v>1828</v>
      </c>
      <c r="AB77" s="48"/>
      <c r="AC77" s="48"/>
      <c r="AD77" s="48"/>
      <c r="AE77" s="48"/>
      <c r="AF77" s="48"/>
      <c r="AG77" s="48"/>
    </row>
    <row r="78">
      <c r="A78" s="319" t="s">
        <v>13</v>
      </c>
      <c r="B78" s="371"/>
      <c r="D78" s="371"/>
      <c r="F78" s="10" t="s">
        <v>1144</v>
      </c>
      <c r="G78" s="6" t="s">
        <v>13</v>
      </c>
      <c r="H78" s="9" t="s">
        <v>435</v>
      </c>
      <c r="I78" s="16" t="s">
        <v>58</v>
      </c>
      <c r="J78" s="9" t="s">
        <v>435</v>
      </c>
      <c r="K78" s="192"/>
      <c r="L78" s="10" t="s">
        <v>1144</v>
      </c>
      <c r="M78" s="68"/>
      <c r="N78" s="6" t="s">
        <v>13</v>
      </c>
      <c r="O78" s="17"/>
      <c r="P78" s="36" t="s">
        <v>91</v>
      </c>
      <c r="Q78" s="9" t="s">
        <v>435</v>
      </c>
      <c r="R78" s="9" t="s">
        <v>435</v>
      </c>
      <c r="S78" s="68"/>
      <c r="T78" s="68"/>
      <c r="U78" s="6" t="s">
        <v>13</v>
      </c>
      <c r="V78" s="9" t="s">
        <v>435</v>
      </c>
      <c r="W78" s="56" t="s">
        <v>942</v>
      </c>
      <c r="X78" s="9" t="s">
        <v>435</v>
      </c>
      <c r="Y78" s="16" t="s">
        <v>43</v>
      </c>
      <c r="Z78" s="68"/>
      <c r="AB78" s="48"/>
      <c r="AC78" s="48"/>
      <c r="AD78" s="48"/>
      <c r="AE78" s="48"/>
      <c r="AF78" s="48"/>
      <c r="AG78" s="48"/>
    </row>
    <row r="79">
      <c r="A79" s="319" t="s">
        <v>19</v>
      </c>
      <c r="B79" s="371"/>
      <c r="C79" s="192"/>
      <c r="D79" s="371"/>
      <c r="E79" s="16" t="s">
        <v>91</v>
      </c>
      <c r="F79" s="22" t="s">
        <v>1166</v>
      </c>
      <c r="G79" s="6" t="s">
        <v>19</v>
      </c>
      <c r="H79" s="9" t="s">
        <v>435</v>
      </c>
      <c r="I79" s="22" t="s">
        <v>843</v>
      </c>
      <c r="J79" s="9" t="s">
        <v>435</v>
      </c>
      <c r="K79" s="10"/>
      <c r="L79" s="22" t="s">
        <v>1052</v>
      </c>
      <c r="M79" s="68"/>
      <c r="N79" s="6" t="s">
        <v>19</v>
      </c>
      <c r="O79" s="16" t="s">
        <v>843</v>
      </c>
      <c r="P79" s="10" t="s">
        <v>37</v>
      </c>
      <c r="Q79" s="9" t="s">
        <v>435</v>
      </c>
      <c r="R79" s="9" t="s">
        <v>435</v>
      </c>
      <c r="S79" s="68"/>
      <c r="T79" s="68"/>
      <c r="U79" s="6" t="s">
        <v>19</v>
      </c>
      <c r="V79" s="9" t="s">
        <v>435</v>
      </c>
      <c r="W79" s="28"/>
      <c r="X79" s="9" t="s">
        <v>435</v>
      </c>
      <c r="Y79" s="16" t="s">
        <v>843</v>
      </c>
      <c r="Z79" s="68"/>
      <c r="AB79" s="48"/>
      <c r="AC79" s="48"/>
      <c r="AD79" s="48"/>
      <c r="AE79" s="48"/>
      <c r="AF79" s="48"/>
      <c r="AG79" s="48"/>
    </row>
    <row r="80">
      <c r="A80" s="321" t="s">
        <v>27</v>
      </c>
      <c r="B80" s="371"/>
      <c r="C80" s="10" t="s">
        <v>940</v>
      </c>
      <c r="D80" s="371"/>
      <c r="E80" s="194" t="s">
        <v>1104</v>
      </c>
      <c r="G80" s="32" t="s">
        <v>27</v>
      </c>
      <c r="H80" s="9" t="s">
        <v>435</v>
      </c>
      <c r="I80" s="9" t="s">
        <v>435</v>
      </c>
      <c r="J80" s="10" t="s">
        <v>1317</v>
      </c>
      <c r="K80" s="56"/>
      <c r="M80" s="68"/>
      <c r="N80" s="32" t="s">
        <v>27</v>
      </c>
      <c r="O80" s="10" t="s">
        <v>869</v>
      </c>
      <c r="P80" s="10"/>
      <c r="Q80" s="9" t="s">
        <v>435</v>
      </c>
      <c r="R80" s="9" t="s">
        <v>435</v>
      </c>
      <c r="S80" s="68"/>
      <c r="T80" s="68"/>
      <c r="U80" s="32" t="s">
        <v>27</v>
      </c>
      <c r="V80" s="33"/>
      <c r="W80" s="10" t="s">
        <v>1661</v>
      </c>
      <c r="X80" s="9" t="s">
        <v>435</v>
      </c>
      <c r="Y80" s="10" t="s">
        <v>69</v>
      </c>
      <c r="Z80" s="68"/>
      <c r="AB80" s="48"/>
      <c r="AC80" s="48"/>
      <c r="AD80" s="48"/>
      <c r="AE80" s="48"/>
      <c r="AF80" s="48"/>
      <c r="AG80" s="48"/>
    </row>
    <row r="81">
      <c r="A81" s="321" t="s">
        <v>33</v>
      </c>
      <c r="B81" s="371"/>
      <c r="C81" s="194" t="s">
        <v>765</v>
      </c>
      <c r="D81" s="371"/>
      <c r="E81" s="22" t="s">
        <v>893</v>
      </c>
      <c r="G81" s="32" t="s">
        <v>33</v>
      </c>
      <c r="H81" s="9" t="s">
        <v>435</v>
      </c>
      <c r="I81" s="33"/>
      <c r="J81" s="9" t="s">
        <v>435</v>
      </c>
      <c r="K81" s="22"/>
      <c r="M81" s="68"/>
      <c r="N81" s="32" t="s">
        <v>33</v>
      </c>
      <c r="O81" s="7" t="s">
        <v>435</v>
      </c>
      <c r="P81" s="91" t="s">
        <v>893</v>
      </c>
      <c r="Q81" s="9" t="s">
        <v>435</v>
      </c>
      <c r="R81" s="9" t="s">
        <v>435</v>
      </c>
      <c r="S81" s="68"/>
      <c r="T81" s="68"/>
      <c r="U81" s="32" t="s">
        <v>33</v>
      </c>
      <c r="V81" s="9" t="s">
        <v>435</v>
      </c>
      <c r="X81" s="9" t="s">
        <v>435</v>
      </c>
      <c r="Y81" s="36"/>
      <c r="Z81" s="68"/>
      <c r="AB81" s="48"/>
      <c r="AC81" s="48"/>
      <c r="AD81" s="48"/>
      <c r="AE81" s="48"/>
      <c r="AF81" s="48"/>
      <c r="AG81" s="48"/>
    </row>
    <row r="82">
      <c r="A82" s="319" t="s">
        <v>39</v>
      </c>
      <c r="B82" s="16" t="s">
        <v>740</v>
      </c>
      <c r="C82" s="371"/>
      <c r="D82" s="194" t="s">
        <v>94</v>
      </c>
      <c r="E82" s="9" t="s">
        <v>435</v>
      </c>
      <c r="G82" s="32" t="s">
        <v>39</v>
      </c>
      <c r="H82" s="9" t="s">
        <v>435</v>
      </c>
      <c r="I82" s="9" t="s">
        <v>435</v>
      </c>
      <c r="J82" s="10" t="s">
        <v>1332</v>
      </c>
      <c r="K82" s="9"/>
      <c r="M82" s="68"/>
      <c r="N82" s="32" t="s">
        <v>39</v>
      </c>
      <c r="O82" s="10" t="s">
        <v>1300</v>
      </c>
      <c r="P82" s="85"/>
      <c r="Q82" s="9" t="s">
        <v>435</v>
      </c>
      <c r="R82" s="9" t="s">
        <v>435</v>
      </c>
      <c r="S82" s="68"/>
      <c r="T82" s="68"/>
      <c r="U82" s="32" t="s">
        <v>39</v>
      </c>
      <c r="V82" s="61" t="s">
        <v>58</v>
      </c>
      <c r="X82" s="10" t="s">
        <v>1664</v>
      </c>
      <c r="Y82" s="9" t="s">
        <v>435</v>
      </c>
      <c r="Z82" s="68"/>
      <c r="AA82" s="48"/>
      <c r="AB82" s="48"/>
      <c r="AC82" s="48"/>
      <c r="AD82" s="48"/>
      <c r="AE82" s="48"/>
      <c r="AF82" s="48"/>
      <c r="AG82" s="48"/>
    </row>
    <row r="83">
      <c r="A83" s="319" t="s">
        <v>45</v>
      </c>
      <c r="B83" s="10" t="s">
        <v>68</v>
      </c>
      <c r="C83" s="371"/>
      <c r="D83" s="16" t="s">
        <v>989</v>
      </c>
      <c r="E83" s="9" t="s">
        <v>435</v>
      </c>
      <c r="G83" s="6" t="s">
        <v>45</v>
      </c>
      <c r="H83" s="59" t="s">
        <v>1090</v>
      </c>
      <c r="I83" s="9" t="s">
        <v>435</v>
      </c>
      <c r="J83" s="10" t="s">
        <v>1343</v>
      </c>
      <c r="K83" s="9" t="s">
        <v>435</v>
      </c>
      <c r="M83" s="68"/>
      <c r="N83" s="6" t="s">
        <v>45</v>
      </c>
      <c r="O83" s="10" t="s">
        <v>768</v>
      </c>
      <c r="P83" s="66"/>
      <c r="Q83" s="9" t="s">
        <v>435</v>
      </c>
      <c r="R83" s="9" t="s">
        <v>435</v>
      </c>
      <c r="S83" s="68"/>
      <c r="T83" s="68"/>
      <c r="U83" s="6" t="s">
        <v>45</v>
      </c>
      <c r="V83" s="10" t="s">
        <v>1603</v>
      </c>
      <c r="W83" s="9" t="s">
        <v>435</v>
      </c>
      <c r="Y83" s="9" t="s">
        <v>435</v>
      </c>
      <c r="Z83" s="68"/>
      <c r="AA83" s="48"/>
      <c r="AB83" s="48"/>
      <c r="AC83" s="48"/>
      <c r="AD83" s="48"/>
      <c r="AE83" s="48"/>
      <c r="AF83" s="48"/>
      <c r="AG83" s="48"/>
    </row>
    <row r="84">
      <c r="A84" s="319" t="s">
        <v>54</v>
      </c>
      <c r="B84" s="10" t="s">
        <v>69</v>
      </c>
      <c r="C84" s="371"/>
      <c r="D84" s="10" t="s">
        <v>1008</v>
      </c>
      <c r="E84" s="9" t="s">
        <v>435</v>
      </c>
      <c r="G84" s="6" t="s">
        <v>54</v>
      </c>
      <c r="H84" s="16" t="s">
        <v>740</v>
      </c>
      <c r="I84" s="9" t="s">
        <v>435</v>
      </c>
      <c r="J84" s="10" t="s">
        <v>818</v>
      </c>
      <c r="K84" s="9" t="s">
        <v>435</v>
      </c>
      <c r="M84" s="68"/>
      <c r="N84" s="6" t="s">
        <v>54</v>
      </c>
      <c r="O84" s="10" t="s">
        <v>1090</v>
      </c>
      <c r="Q84" s="9" t="s">
        <v>435</v>
      </c>
      <c r="R84" s="9" t="s">
        <v>435</v>
      </c>
      <c r="S84" s="68"/>
      <c r="T84" s="68"/>
      <c r="U84" s="6" t="s">
        <v>54</v>
      </c>
      <c r="V84" s="16" t="s">
        <v>77</v>
      </c>
      <c r="W84" s="9" t="s">
        <v>435</v>
      </c>
      <c r="X84" s="16" t="s">
        <v>1669</v>
      </c>
      <c r="Y84" s="9" t="s">
        <v>435</v>
      </c>
      <c r="Z84" s="68"/>
      <c r="AA84" s="48"/>
      <c r="AB84" s="48"/>
      <c r="AC84" s="48"/>
      <c r="AD84" s="48"/>
      <c r="AE84" s="48"/>
      <c r="AF84" s="48"/>
      <c r="AG84" s="48"/>
    </row>
    <row r="85">
      <c r="A85" s="321" t="s">
        <v>1789</v>
      </c>
      <c r="B85" s="10" t="s">
        <v>818</v>
      </c>
      <c r="C85" s="371"/>
      <c r="D85" s="22" t="s">
        <v>843</v>
      </c>
      <c r="E85" s="9" t="s">
        <v>435</v>
      </c>
      <c r="G85" s="428">
        <v>0.7083333333333334</v>
      </c>
      <c r="H85" s="22" t="s">
        <v>68</v>
      </c>
      <c r="I85" s="9" t="s">
        <v>435</v>
      </c>
      <c r="J85" s="16" t="s">
        <v>1367</v>
      </c>
      <c r="K85" s="9" t="s">
        <v>435</v>
      </c>
      <c r="M85" s="68"/>
      <c r="N85" s="428">
        <v>0.7083333333333334</v>
      </c>
      <c r="O85" s="10" t="s">
        <v>791</v>
      </c>
      <c r="P85" s="55"/>
      <c r="Q85" s="9" t="s">
        <v>435</v>
      </c>
      <c r="R85" s="9" t="s">
        <v>435</v>
      </c>
      <c r="S85" s="68"/>
      <c r="T85" s="68"/>
      <c r="U85" s="6" t="s">
        <v>64</v>
      </c>
      <c r="V85" s="10" t="s">
        <v>1619</v>
      </c>
      <c r="W85" s="9" t="s">
        <v>435</v>
      </c>
      <c r="X85" s="10" t="s">
        <v>1581</v>
      </c>
      <c r="Y85" s="9" t="s">
        <v>435</v>
      </c>
      <c r="Z85" s="68"/>
      <c r="AA85" s="48"/>
      <c r="AB85" s="48"/>
      <c r="AC85" s="48"/>
      <c r="AD85" s="48"/>
      <c r="AE85" s="48"/>
      <c r="AF85" s="48"/>
      <c r="AG85" s="48"/>
    </row>
    <row r="86">
      <c r="A86" s="319" t="s">
        <v>71</v>
      </c>
      <c r="B86" s="22" t="s">
        <v>843</v>
      </c>
      <c r="C86" s="371"/>
      <c r="D86" s="194" t="s">
        <v>1052</v>
      </c>
      <c r="E86" s="9" t="s">
        <v>435</v>
      </c>
      <c r="G86" s="6" t="s">
        <v>71</v>
      </c>
      <c r="H86" s="16" t="s">
        <v>988</v>
      </c>
      <c r="I86" s="9" t="s">
        <v>435</v>
      </c>
      <c r="J86" s="10" t="s">
        <v>165</v>
      </c>
      <c r="K86" s="9" t="s">
        <v>435</v>
      </c>
      <c r="M86" s="68"/>
      <c r="N86" s="6" t="s">
        <v>71</v>
      </c>
      <c r="O86" s="16" t="s">
        <v>1236</v>
      </c>
      <c r="P86" s="22" t="s">
        <v>98</v>
      </c>
      <c r="Q86" s="9" t="s">
        <v>435</v>
      </c>
      <c r="R86" s="9" t="s">
        <v>435</v>
      </c>
      <c r="S86" s="68"/>
      <c r="T86" s="68"/>
      <c r="U86" s="6" t="s">
        <v>71</v>
      </c>
      <c r="V86" s="22" t="s">
        <v>846</v>
      </c>
      <c r="W86" s="9" t="s">
        <v>435</v>
      </c>
      <c r="X86" s="280"/>
      <c r="Y86" s="9" t="s">
        <v>435</v>
      </c>
      <c r="Z86" s="68"/>
      <c r="AA86" s="48"/>
      <c r="AB86" s="48"/>
      <c r="AC86" s="48"/>
      <c r="AD86" s="48"/>
      <c r="AE86" s="48"/>
      <c r="AF86" s="48"/>
      <c r="AG86" s="48"/>
    </row>
    <row r="87">
      <c r="A87" s="319" t="s">
        <v>80</v>
      </c>
      <c r="B87" s="10" t="s">
        <v>171</v>
      </c>
      <c r="C87" s="371"/>
      <c r="D87" s="9" t="s">
        <v>435</v>
      </c>
      <c r="E87" s="9" t="s">
        <v>435</v>
      </c>
      <c r="G87" s="6" t="s">
        <v>80</v>
      </c>
      <c r="H87" s="22" t="s">
        <v>1236</v>
      </c>
      <c r="I87" s="9" t="s">
        <v>435</v>
      </c>
      <c r="J87" s="10" t="s">
        <v>124</v>
      </c>
      <c r="K87" s="9" t="s">
        <v>435</v>
      </c>
      <c r="M87" s="68"/>
      <c r="N87" s="6" t="s">
        <v>80</v>
      </c>
      <c r="O87" s="22" t="s">
        <v>174</v>
      </c>
      <c r="P87" s="10" t="s">
        <v>891</v>
      </c>
      <c r="Q87" s="9" t="s">
        <v>435</v>
      </c>
      <c r="R87" s="9" t="s">
        <v>435</v>
      </c>
      <c r="S87" s="68"/>
      <c r="T87" s="68"/>
      <c r="U87" s="6" t="s">
        <v>80</v>
      </c>
      <c r="V87" s="16" t="s">
        <v>1236</v>
      </c>
      <c r="W87" s="9" t="s">
        <v>435</v>
      </c>
      <c r="X87" s="276"/>
      <c r="Y87" s="9" t="s">
        <v>435</v>
      </c>
      <c r="Z87" s="68"/>
      <c r="AA87" s="48"/>
      <c r="AB87" s="48"/>
      <c r="AC87" s="48"/>
      <c r="AD87" s="48"/>
      <c r="AE87" s="48"/>
      <c r="AF87" s="48"/>
      <c r="AG87" s="48"/>
    </row>
    <row r="88">
      <c r="A88" s="319" t="s">
        <v>95</v>
      </c>
      <c r="B88" s="10" t="s">
        <v>892</v>
      </c>
      <c r="C88" s="371"/>
      <c r="D88" s="9" t="s">
        <v>435</v>
      </c>
      <c r="E88" s="9" t="s">
        <v>435</v>
      </c>
      <c r="F88" s="48"/>
      <c r="G88" s="6" t="s">
        <v>95</v>
      </c>
      <c r="H88" s="9" t="s">
        <v>435</v>
      </c>
      <c r="I88" s="9" t="s">
        <v>435</v>
      </c>
      <c r="J88" s="375"/>
      <c r="K88" s="9" t="s">
        <v>435</v>
      </c>
      <c r="M88" s="48"/>
      <c r="N88" s="6" t="s">
        <v>95</v>
      </c>
      <c r="O88" s="10" t="s">
        <v>1527</v>
      </c>
      <c r="P88" s="10" t="s">
        <v>1582</v>
      </c>
      <c r="Q88" s="9" t="s">
        <v>435</v>
      </c>
      <c r="R88" s="9" t="s">
        <v>435</v>
      </c>
      <c r="S88" s="48"/>
      <c r="T88" s="48"/>
      <c r="U88" s="6" t="s">
        <v>95</v>
      </c>
      <c r="V88" s="10" t="s">
        <v>1602</v>
      </c>
      <c r="W88" s="9" t="s">
        <v>435</v>
      </c>
      <c r="X88" s="10" t="s">
        <v>1682</v>
      </c>
      <c r="Y88" s="9" t="s">
        <v>435</v>
      </c>
      <c r="Z88" s="48"/>
      <c r="AA88" s="48"/>
      <c r="AB88" s="48"/>
      <c r="AC88" s="48"/>
      <c r="AD88" s="48"/>
      <c r="AE88" s="48"/>
      <c r="AF88" s="48"/>
      <c r="AG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>
      <c r="B90" s="434">
        <v>45839.0</v>
      </c>
      <c r="C90" s="434">
        <v>45840.0</v>
      </c>
      <c r="D90" s="434">
        <v>45841.0</v>
      </c>
      <c r="E90" s="435">
        <v>45842.0</v>
      </c>
      <c r="F90" s="436" t="s">
        <v>1829</v>
      </c>
      <c r="G90" s="48"/>
      <c r="H90" s="434">
        <v>45846.0</v>
      </c>
      <c r="I90" s="434">
        <v>45847.0</v>
      </c>
      <c r="J90" s="434">
        <v>45848.0</v>
      </c>
      <c r="K90" s="51">
        <v>45849.0</v>
      </c>
      <c r="L90" s="48"/>
      <c r="M90" s="48"/>
      <c r="N90" s="1"/>
      <c r="O90" s="434">
        <v>45853.0</v>
      </c>
      <c r="P90" s="434">
        <v>45854.0</v>
      </c>
      <c r="Q90" s="434">
        <v>45855.0</v>
      </c>
      <c r="R90" s="435">
        <v>45856.0</v>
      </c>
      <c r="S90" s="48"/>
      <c r="T90" s="1"/>
      <c r="U90" s="1"/>
      <c r="V90" s="434">
        <v>45860.0</v>
      </c>
      <c r="W90" s="434">
        <v>45861.0</v>
      </c>
      <c r="X90" s="434">
        <v>45862.0</v>
      </c>
      <c r="Y90" s="437">
        <v>45863.0</v>
      </c>
      <c r="Z90" s="1"/>
      <c r="AA90" s="1"/>
      <c r="AB90" s="1"/>
      <c r="AC90" s="51">
        <v>45867.0</v>
      </c>
      <c r="AD90" s="376" t="s">
        <v>1830</v>
      </c>
      <c r="AE90" s="51">
        <v>45869.0</v>
      </c>
      <c r="AF90" s="48"/>
      <c r="AG90" s="48"/>
    </row>
    <row r="91">
      <c r="A91" s="319" t="s">
        <v>0</v>
      </c>
      <c r="B91" s="9" t="s">
        <v>435</v>
      </c>
      <c r="C91" s="10" t="s">
        <v>742</v>
      </c>
      <c r="D91" s="9" t="s">
        <v>435</v>
      </c>
      <c r="E91" s="10" t="s">
        <v>990</v>
      </c>
      <c r="F91" s="47"/>
      <c r="G91" s="6" t="s">
        <v>0</v>
      </c>
      <c r="H91" s="33"/>
      <c r="I91" s="54"/>
      <c r="J91" s="9" t="s">
        <v>435</v>
      </c>
      <c r="K91" s="16" t="s">
        <v>1333</v>
      </c>
      <c r="L91" s="48"/>
      <c r="M91" s="68"/>
      <c r="N91" s="64" t="s">
        <v>0</v>
      </c>
      <c r="O91" s="9" t="s">
        <v>435</v>
      </c>
      <c r="Q91" s="9" t="s">
        <v>435</v>
      </c>
      <c r="R91" s="22" t="s">
        <v>896</v>
      </c>
      <c r="S91" s="68"/>
      <c r="T91" s="68"/>
      <c r="U91" s="6" t="s">
        <v>0</v>
      </c>
      <c r="V91" s="9" t="s">
        <v>435</v>
      </c>
      <c r="W91" s="22" t="s">
        <v>1200</v>
      </c>
      <c r="X91" s="9" t="s">
        <v>435</v>
      </c>
      <c r="Y91" s="22" t="s">
        <v>921</v>
      </c>
      <c r="Z91" s="68"/>
      <c r="AA91" s="68"/>
      <c r="AB91" s="6" t="s">
        <v>0</v>
      </c>
      <c r="AD91" s="43" t="s">
        <v>1731</v>
      </c>
      <c r="AE91" s="9" t="s">
        <v>435</v>
      </c>
      <c r="AF91" s="48"/>
      <c r="AG91" s="48"/>
    </row>
    <row r="92">
      <c r="A92" s="319" t="s">
        <v>5</v>
      </c>
      <c r="B92" s="9" t="s">
        <v>435</v>
      </c>
      <c r="D92" s="9" t="s">
        <v>435</v>
      </c>
      <c r="E92" s="10"/>
      <c r="F92" s="47"/>
      <c r="G92" s="6" t="s">
        <v>5</v>
      </c>
      <c r="H92" s="9" t="s">
        <v>435</v>
      </c>
      <c r="I92" s="56" t="s">
        <v>942</v>
      </c>
      <c r="J92" s="9" t="s">
        <v>435</v>
      </c>
      <c r="K92" s="43" t="s">
        <v>844</v>
      </c>
      <c r="L92" s="48"/>
      <c r="M92" s="68"/>
      <c r="N92" s="64" t="s">
        <v>5</v>
      </c>
      <c r="O92" s="9" t="s">
        <v>435</v>
      </c>
      <c r="P92" s="43" t="s">
        <v>1466</v>
      </c>
      <c r="Q92" s="9" t="s">
        <v>435</v>
      </c>
      <c r="R92" s="22" t="s">
        <v>1545</v>
      </c>
      <c r="S92" s="68"/>
      <c r="T92" s="68"/>
      <c r="U92" s="6" t="s">
        <v>5</v>
      </c>
      <c r="V92" s="9" t="s">
        <v>435</v>
      </c>
      <c r="W92" s="69" t="s">
        <v>942</v>
      </c>
      <c r="X92" s="9" t="s">
        <v>435</v>
      </c>
      <c r="Y92" s="15" t="s">
        <v>844</v>
      </c>
      <c r="Z92" s="68"/>
      <c r="AA92" s="68"/>
      <c r="AB92" s="6" t="s">
        <v>5</v>
      </c>
      <c r="AC92" s="10" t="s">
        <v>677</v>
      </c>
      <c r="AD92" s="22" t="s">
        <v>1733</v>
      </c>
      <c r="AE92" s="9" t="s">
        <v>435</v>
      </c>
      <c r="AF92" s="48"/>
      <c r="AG92" s="48"/>
    </row>
    <row r="93">
      <c r="A93" s="319" t="s">
        <v>13</v>
      </c>
      <c r="B93" s="9" t="s">
        <v>435</v>
      </c>
      <c r="C93" s="43" t="s">
        <v>844</v>
      </c>
      <c r="D93" s="9" t="s">
        <v>435</v>
      </c>
      <c r="F93" s="10" t="s">
        <v>1053</v>
      </c>
      <c r="G93" s="6" t="s">
        <v>13</v>
      </c>
      <c r="H93" s="9" t="s">
        <v>435</v>
      </c>
      <c r="I93" s="10" t="s">
        <v>37</v>
      </c>
      <c r="J93" s="9" t="s">
        <v>435</v>
      </c>
      <c r="K93" s="59" t="s">
        <v>43</v>
      </c>
      <c r="L93" s="48"/>
      <c r="M93" s="68"/>
      <c r="N93" s="64" t="s">
        <v>13</v>
      </c>
      <c r="O93" s="9" t="s">
        <v>435</v>
      </c>
      <c r="P93" s="10" t="s">
        <v>20</v>
      </c>
      <c r="Q93" s="9" t="s">
        <v>435</v>
      </c>
      <c r="S93" s="68"/>
      <c r="T93" s="68"/>
      <c r="U93" s="6" t="s">
        <v>13</v>
      </c>
      <c r="V93" s="9" t="s">
        <v>435</v>
      </c>
      <c r="W93" s="22" t="s">
        <v>1638</v>
      </c>
      <c r="X93" s="9" t="s">
        <v>435</v>
      </c>
      <c r="Y93" s="22" t="s">
        <v>1694</v>
      </c>
      <c r="Z93" s="68"/>
      <c r="AA93" s="68"/>
      <c r="AB93" s="6" t="s">
        <v>13</v>
      </c>
      <c r="AD93" s="22" t="s">
        <v>844</v>
      </c>
      <c r="AE93" s="9" t="s">
        <v>435</v>
      </c>
      <c r="AF93" s="48"/>
      <c r="AG93" s="48"/>
    </row>
    <row r="94">
      <c r="A94" s="319" t="s">
        <v>19</v>
      </c>
      <c r="B94" s="9" t="s">
        <v>435</v>
      </c>
      <c r="D94" s="9" t="s">
        <v>435</v>
      </c>
      <c r="E94" s="10" t="s">
        <v>20</v>
      </c>
      <c r="G94" s="6" t="s">
        <v>19</v>
      </c>
      <c r="H94" s="9" t="s">
        <v>435</v>
      </c>
      <c r="I94" s="16" t="s">
        <v>843</v>
      </c>
      <c r="J94" s="9" t="s">
        <v>435</v>
      </c>
      <c r="K94" s="10" t="s">
        <v>16</v>
      </c>
      <c r="L94" s="48"/>
      <c r="M94" s="68"/>
      <c r="N94" s="64" t="s">
        <v>19</v>
      </c>
      <c r="O94" s="9" t="s">
        <v>435</v>
      </c>
      <c r="P94" s="192"/>
      <c r="Q94" s="9" t="s">
        <v>435</v>
      </c>
      <c r="R94" s="10" t="s">
        <v>921</v>
      </c>
      <c r="S94" s="68"/>
      <c r="T94" s="68"/>
      <c r="U94" s="6" t="s">
        <v>19</v>
      </c>
      <c r="V94" s="9" t="s">
        <v>435</v>
      </c>
      <c r="W94" s="10" t="s">
        <v>43</v>
      </c>
      <c r="X94" s="9" t="s">
        <v>435</v>
      </c>
      <c r="Y94" s="10" t="s">
        <v>16</v>
      </c>
      <c r="Z94" s="68"/>
      <c r="AA94" s="68"/>
      <c r="AB94" s="6" t="s">
        <v>19</v>
      </c>
      <c r="AC94" s="22" t="s">
        <v>1711</v>
      </c>
      <c r="AE94" s="9" t="s">
        <v>435</v>
      </c>
      <c r="AF94" s="48"/>
      <c r="AG94" s="48"/>
    </row>
    <row r="95">
      <c r="A95" s="321" t="s">
        <v>27</v>
      </c>
      <c r="B95" s="9" t="s">
        <v>435</v>
      </c>
      <c r="C95" s="10" t="s">
        <v>869</v>
      </c>
      <c r="D95" s="9" t="s">
        <v>435</v>
      </c>
      <c r="E95" s="36" t="s">
        <v>91</v>
      </c>
      <c r="G95" s="32" t="s">
        <v>27</v>
      </c>
      <c r="H95" s="9" t="s">
        <v>435</v>
      </c>
      <c r="I95" s="10" t="s">
        <v>869</v>
      </c>
      <c r="J95" s="9" t="s">
        <v>435</v>
      </c>
      <c r="K95" s="10" t="s">
        <v>742</v>
      </c>
      <c r="L95" s="48"/>
      <c r="M95" s="68"/>
      <c r="N95" s="75" t="s">
        <v>27</v>
      </c>
      <c r="O95" s="9" t="s">
        <v>435</v>
      </c>
      <c r="P95" s="192" t="s">
        <v>869</v>
      </c>
      <c r="Q95" s="9" t="s">
        <v>435</v>
      </c>
      <c r="R95" s="10" t="s">
        <v>742</v>
      </c>
      <c r="S95" s="68"/>
      <c r="T95" s="68"/>
      <c r="U95" s="32" t="s">
        <v>27</v>
      </c>
      <c r="V95" s="9" t="s">
        <v>435</v>
      </c>
      <c r="W95" s="10" t="s">
        <v>869</v>
      </c>
      <c r="X95" s="9" t="s">
        <v>435</v>
      </c>
      <c r="Y95" s="10" t="s">
        <v>1699</v>
      </c>
      <c r="Z95" s="68"/>
      <c r="AA95" s="68"/>
      <c r="AB95" s="32" t="s">
        <v>27</v>
      </c>
      <c r="AC95" s="10" t="s">
        <v>1719</v>
      </c>
      <c r="AD95" s="360"/>
      <c r="AE95" s="9" t="s">
        <v>435</v>
      </c>
      <c r="AF95" s="48"/>
      <c r="AG95" s="48"/>
    </row>
    <row r="96">
      <c r="A96" s="321" t="s">
        <v>33</v>
      </c>
      <c r="B96" s="9" t="s">
        <v>435</v>
      </c>
      <c r="C96" s="91" t="s">
        <v>893</v>
      </c>
      <c r="D96" s="9" t="s">
        <v>435</v>
      </c>
      <c r="E96" s="91"/>
      <c r="G96" s="32" t="s">
        <v>33</v>
      </c>
      <c r="H96" s="9" t="s">
        <v>435</v>
      </c>
      <c r="I96" s="59" t="s">
        <v>20</v>
      </c>
      <c r="J96" s="9" t="s">
        <v>435</v>
      </c>
      <c r="K96" s="36" t="s">
        <v>893</v>
      </c>
      <c r="L96" s="48"/>
      <c r="M96" s="68"/>
      <c r="N96" s="75" t="s">
        <v>33</v>
      </c>
      <c r="O96" s="9" t="s">
        <v>435</v>
      </c>
      <c r="P96" s="10" t="s">
        <v>1166</v>
      </c>
      <c r="Q96" s="9" t="s">
        <v>435</v>
      </c>
      <c r="R96" s="36" t="s">
        <v>893</v>
      </c>
      <c r="S96" s="68"/>
      <c r="T96" s="68"/>
      <c r="U96" s="32" t="s">
        <v>33</v>
      </c>
      <c r="V96" s="9" t="s">
        <v>435</v>
      </c>
      <c r="W96" s="10" t="s">
        <v>1655</v>
      </c>
      <c r="X96" s="9" t="s">
        <v>435</v>
      </c>
      <c r="Y96" s="55"/>
      <c r="Z96" s="68"/>
      <c r="AA96" s="68"/>
      <c r="AB96" s="32" t="s">
        <v>33</v>
      </c>
      <c r="AC96" s="9" t="s">
        <v>435</v>
      </c>
      <c r="AD96" s="9" t="s">
        <v>435</v>
      </c>
      <c r="AE96" s="9" t="s">
        <v>435</v>
      </c>
      <c r="AF96" s="48"/>
      <c r="AG96" s="48"/>
    </row>
    <row r="97">
      <c r="A97" s="319" t="s">
        <v>39</v>
      </c>
      <c r="B97" s="10"/>
      <c r="C97" s="9" t="s">
        <v>435</v>
      </c>
      <c r="E97" s="9" t="s">
        <v>435</v>
      </c>
      <c r="G97" s="32" t="s">
        <v>39</v>
      </c>
      <c r="H97" s="56" t="s">
        <v>58</v>
      </c>
      <c r="I97" s="9" t="s">
        <v>435</v>
      </c>
      <c r="J97" s="10" t="s">
        <v>1237</v>
      </c>
      <c r="K97" s="9" t="s">
        <v>435</v>
      </c>
      <c r="L97" s="48"/>
      <c r="M97" s="68"/>
      <c r="N97" s="75" t="s">
        <v>39</v>
      </c>
      <c r="O97" s="15" t="s">
        <v>1400</v>
      </c>
      <c r="P97" s="9" t="s">
        <v>435</v>
      </c>
      <c r="Q97" s="22"/>
      <c r="R97" s="9" t="s">
        <v>435</v>
      </c>
      <c r="S97" s="68"/>
      <c r="T97" s="68"/>
      <c r="U97" s="32" t="s">
        <v>39</v>
      </c>
      <c r="V97" s="22" t="s">
        <v>40</v>
      </c>
      <c r="W97" s="33"/>
      <c r="X97" s="59" t="s">
        <v>1411</v>
      </c>
      <c r="Y97" s="33" t="s">
        <v>435</v>
      </c>
      <c r="Z97" s="68"/>
      <c r="AA97" s="68"/>
      <c r="AB97" s="32" t="s">
        <v>39</v>
      </c>
      <c r="AC97" s="56" t="s">
        <v>58</v>
      </c>
      <c r="AD97" s="10" t="s">
        <v>991</v>
      </c>
      <c r="AE97" s="9" t="s">
        <v>435</v>
      </c>
      <c r="AF97" s="48"/>
      <c r="AG97" s="48"/>
    </row>
    <row r="98">
      <c r="A98" s="319" t="s">
        <v>45</v>
      </c>
      <c r="C98" s="9" t="s">
        <v>435</v>
      </c>
      <c r="D98" s="55"/>
      <c r="E98" s="9" t="s">
        <v>435</v>
      </c>
      <c r="G98" s="6" t="s">
        <v>45</v>
      </c>
      <c r="H98" s="10" t="s">
        <v>767</v>
      </c>
      <c r="I98" s="9" t="s">
        <v>435</v>
      </c>
      <c r="J98" s="10" t="s">
        <v>69</v>
      </c>
      <c r="K98" s="9" t="s">
        <v>435</v>
      </c>
      <c r="L98" s="48"/>
      <c r="M98" s="68"/>
      <c r="N98" s="64" t="s">
        <v>45</v>
      </c>
      <c r="O98" s="10" t="s">
        <v>768</v>
      </c>
      <c r="P98" s="9" t="s">
        <v>435</v>
      </c>
      <c r="Q98" s="191"/>
      <c r="R98" s="9" t="s">
        <v>435</v>
      </c>
      <c r="S98" s="68"/>
      <c r="T98" s="68"/>
      <c r="U98" s="6" t="s">
        <v>45</v>
      </c>
      <c r="V98" s="10" t="s">
        <v>791</v>
      </c>
      <c r="W98" s="9" t="s">
        <v>435</v>
      </c>
      <c r="X98" s="10" t="s">
        <v>69</v>
      </c>
      <c r="Y98" s="9" t="s">
        <v>435</v>
      </c>
      <c r="Z98" s="68"/>
      <c r="AA98" s="68"/>
      <c r="AB98" s="6" t="s">
        <v>45</v>
      </c>
      <c r="AD98" s="10" t="s">
        <v>791</v>
      </c>
      <c r="AE98" s="9" t="s">
        <v>435</v>
      </c>
      <c r="AF98" s="48"/>
      <c r="AG98" s="48"/>
    </row>
    <row r="99">
      <c r="A99" s="319" t="s">
        <v>54</v>
      </c>
      <c r="B99" s="10" t="s">
        <v>741</v>
      </c>
      <c r="C99" s="9" t="s">
        <v>435</v>
      </c>
      <c r="D99" s="22" t="s">
        <v>919</v>
      </c>
      <c r="E99" s="9" t="s">
        <v>435</v>
      </c>
      <c r="G99" s="6" t="s">
        <v>54</v>
      </c>
      <c r="H99" s="16" t="s">
        <v>77</v>
      </c>
      <c r="I99" s="9" t="s">
        <v>435</v>
      </c>
      <c r="J99" s="16" t="s">
        <v>90</v>
      </c>
      <c r="K99" s="9" t="s">
        <v>435</v>
      </c>
      <c r="L99" s="48"/>
      <c r="M99" s="68"/>
      <c r="N99" s="64" t="s">
        <v>54</v>
      </c>
      <c r="O99" s="22" t="s">
        <v>1425</v>
      </c>
      <c r="P99" s="9" t="s">
        <v>435</v>
      </c>
      <c r="Q99" s="10" t="s">
        <v>1505</v>
      </c>
      <c r="R99" s="9" t="s">
        <v>435</v>
      </c>
      <c r="S99" s="68"/>
      <c r="T99" s="68"/>
      <c r="U99" s="6" t="s">
        <v>54</v>
      </c>
      <c r="V99" s="16" t="s">
        <v>77</v>
      </c>
      <c r="W99" s="9" t="s">
        <v>435</v>
      </c>
      <c r="X99" s="22" t="s">
        <v>1529</v>
      </c>
      <c r="Y99" s="9" t="s">
        <v>435</v>
      </c>
      <c r="Z99" s="68"/>
      <c r="AA99" s="68"/>
      <c r="AB99" s="6" t="s">
        <v>54</v>
      </c>
      <c r="AC99" s="22" t="s">
        <v>78</v>
      </c>
      <c r="AD99" s="10" t="s">
        <v>1739</v>
      </c>
      <c r="AE99" s="9" t="s">
        <v>435</v>
      </c>
      <c r="AF99" s="48"/>
      <c r="AG99" s="48"/>
    </row>
    <row r="100">
      <c r="A100" s="321" t="s">
        <v>1789</v>
      </c>
      <c r="B100" s="10" t="s">
        <v>766</v>
      </c>
      <c r="C100" s="9" t="s">
        <v>435</v>
      </c>
      <c r="D100" s="10" t="s">
        <v>941</v>
      </c>
      <c r="E100" s="9" t="s">
        <v>435</v>
      </c>
      <c r="G100" s="6" t="s">
        <v>64</v>
      </c>
      <c r="H100" s="10" t="s">
        <v>1128</v>
      </c>
      <c r="I100" s="9" t="s">
        <v>435</v>
      </c>
      <c r="J100" s="10" t="s">
        <v>1286</v>
      </c>
      <c r="K100" s="9" t="s">
        <v>435</v>
      </c>
      <c r="L100" s="48"/>
      <c r="M100" s="68"/>
      <c r="N100" s="79">
        <v>0.7083333333333334</v>
      </c>
      <c r="O100" s="10" t="s">
        <v>1436</v>
      </c>
      <c r="P100" s="9" t="s">
        <v>435</v>
      </c>
      <c r="Q100" s="10" t="s">
        <v>1511</v>
      </c>
      <c r="R100" s="9" t="s">
        <v>435</v>
      </c>
      <c r="S100" s="68"/>
      <c r="T100" s="68"/>
      <c r="U100" s="6" t="s">
        <v>64</v>
      </c>
      <c r="V100" s="10" t="s">
        <v>1591</v>
      </c>
      <c r="W100" s="9" t="s">
        <v>435</v>
      </c>
      <c r="X100" s="80"/>
      <c r="Y100" s="9" t="s">
        <v>435</v>
      </c>
      <c r="Z100" s="68"/>
      <c r="AA100" s="68"/>
      <c r="AB100" s="6" t="s">
        <v>64</v>
      </c>
      <c r="AD100" s="16" t="s">
        <v>843</v>
      </c>
      <c r="AE100" s="9" t="s">
        <v>435</v>
      </c>
      <c r="AF100" s="48"/>
      <c r="AG100" s="48"/>
    </row>
    <row r="101">
      <c r="A101" s="319" t="s">
        <v>71</v>
      </c>
      <c r="B101" s="10" t="s">
        <v>174</v>
      </c>
      <c r="C101" s="9" t="s">
        <v>435</v>
      </c>
      <c r="D101" s="22"/>
      <c r="E101" s="9" t="s">
        <v>435</v>
      </c>
      <c r="G101" s="6" t="s">
        <v>71</v>
      </c>
      <c r="H101" s="17"/>
      <c r="I101" s="9" t="s">
        <v>435</v>
      </c>
      <c r="K101" s="9" t="s">
        <v>435</v>
      </c>
      <c r="L101" s="48"/>
      <c r="M101" s="68"/>
      <c r="N101" s="64" t="s">
        <v>71</v>
      </c>
      <c r="O101" s="280"/>
      <c r="P101" s="9" t="s">
        <v>435</v>
      </c>
      <c r="Q101" s="194" t="s">
        <v>1517</v>
      </c>
      <c r="R101" s="9" t="s">
        <v>435</v>
      </c>
      <c r="S101" s="68"/>
      <c r="T101" s="68"/>
      <c r="U101" s="6" t="s">
        <v>71</v>
      </c>
      <c r="V101" s="10" t="s">
        <v>174</v>
      </c>
      <c r="W101" s="9" t="s">
        <v>435</v>
      </c>
      <c r="X101" s="10" t="s">
        <v>184</v>
      </c>
      <c r="Y101" s="9" t="s">
        <v>435</v>
      </c>
      <c r="Z101" s="68"/>
      <c r="AA101" s="68"/>
      <c r="AB101" s="6" t="s">
        <v>71</v>
      </c>
      <c r="AC101" s="10" t="s">
        <v>907</v>
      </c>
      <c r="AD101" s="22" t="s">
        <v>1518</v>
      </c>
      <c r="AE101" s="9" t="s">
        <v>435</v>
      </c>
      <c r="AF101" s="48"/>
      <c r="AG101" s="48"/>
    </row>
    <row r="102">
      <c r="A102" s="319" t="s">
        <v>80</v>
      </c>
      <c r="B102" s="9" t="s">
        <v>435</v>
      </c>
      <c r="C102" s="10" t="s">
        <v>1831</v>
      </c>
      <c r="D102" s="10" t="s">
        <v>891</v>
      </c>
      <c r="E102" s="9" t="s">
        <v>435</v>
      </c>
      <c r="G102" s="6" t="s">
        <v>80</v>
      </c>
      <c r="H102" s="10" t="s">
        <v>1145</v>
      </c>
      <c r="I102" s="9" t="s">
        <v>435</v>
      </c>
      <c r="J102" s="10" t="s">
        <v>973</v>
      </c>
      <c r="K102" s="9" t="s">
        <v>435</v>
      </c>
      <c r="L102" s="48"/>
      <c r="M102" s="48"/>
      <c r="N102" s="64" t="s">
        <v>80</v>
      </c>
      <c r="O102" s="22" t="s">
        <v>1318</v>
      </c>
      <c r="P102" s="9" t="s">
        <v>435</v>
      </c>
      <c r="R102" s="9" t="s">
        <v>435</v>
      </c>
      <c r="S102" s="48"/>
      <c r="T102" s="48"/>
      <c r="U102" s="6" t="s">
        <v>80</v>
      </c>
      <c r="V102" s="10" t="s">
        <v>973</v>
      </c>
      <c r="W102" s="9" t="s">
        <v>435</v>
      </c>
      <c r="X102" s="22" t="s">
        <v>275</v>
      </c>
      <c r="Y102" s="9" t="s">
        <v>435</v>
      </c>
      <c r="Z102" s="48"/>
      <c r="AA102" s="48"/>
      <c r="AB102" s="6" t="s">
        <v>80</v>
      </c>
      <c r="AC102" s="10" t="s">
        <v>1729</v>
      </c>
      <c r="AD102" s="16" t="s">
        <v>90</v>
      </c>
      <c r="AE102" s="9" t="s">
        <v>435</v>
      </c>
      <c r="AF102" s="48"/>
      <c r="AG102" s="48"/>
    </row>
    <row r="103">
      <c r="A103" s="319" t="s">
        <v>95</v>
      </c>
      <c r="B103" s="9" t="s">
        <v>435</v>
      </c>
      <c r="C103" s="16" t="s">
        <v>1832</v>
      </c>
      <c r="D103" s="10" t="s">
        <v>973</v>
      </c>
      <c r="E103" s="9"/>
      <c r="G103" s="6" t="s">
        <v>95</v>
      </c>
      <c r="H103" s="17"/>
      <c r="I103" s="9" t="s">
        <v>435</v>
      </c>
      <c r="J103" s="59" t="s">
        <v>1318</v>
      </c>
      <c r="K103" s="9" t="s">
        <v>435</v>
      </c>
      <c r="L103" s="48"/>
      <c r="M103" s="48"/>
      <c r="N103" s="64" t="s">
        <v>95</v>
      </c>
      <c r="O103" s="10" t="s">
        <v>1164</v>
      </c>
      <c r="P103" s="9"/>
      <c r="Q103" s="15" t="s">
        <v>1528</v>
      </c>
      <c r="R103" s="9"/>
      <c r="S103" s="48"/>
      <c r="T103" s="48"/>
      <c r="U103" s="6" t="s">
        <v>95</v>
      </c>
      <c r="V103" s="265" t="s">
        <v>1620</v>
      </c>
      <c r="W103" s="9"/>
      <c r="Y103" s="9"/>
      <c r="Z103" s="48"/>
      <c r="AA103" s="48"/>
      <c r="AB103" s="6" t="s">
        <v>95</v>
      </c>
      <c r="AC103" s="22" t="s">
        <v>1368</v>
      </c>
      <c r="AD103" s="10" t="s">
        <v>1168</v>
      </c>
      <c r="AE103" s="9" t="s">
        <v>435</v>
      </c>
      <c r="AF103" s="48"/>
      <c r="AG103" s="48"/>
    </row>
    <row r="104">
      <c r="F104" s="48"/>
      <c r="L104" s="48"/>
      <c r="M104" s="48"/>
      <c r="S104" s="48"/>
      <c r="T104" s="1"/>
      <c r="Z104" s="48"/>
      <c r="AA104" s="48"/>
      <c r="AB104" s="48"/>
      <c r="AC104" s="48"/>
      <c r="AD104" s="48"/>
      <c r="AE104" s="48"/>
      <c r="AF104" s="48"/>
      <c r="AG104" s="48"/>
    </row>
    <row r="105">
      <c r="B105" s="377">
        <v>45870.0</v>
      </c>
      <c r="F105" s="48"/>
      <c r="G105" s="48"/>
      <c r="H105" s="438">
        <v>45874.0</v>
      </c>
      <c r="I105" s="438">
        <v>45875.0</v>
      </c>
      <c r="J105" s="438">
        <v>45876.0</v>
      </c>
      <c r="K105" s="377">
        <v>45877.0</v>
      </c>
      <c r="L105" s="439" t="s">
        <v>1833</v>
      </c>
      <c r="M105" s="68"/>
      <c r="N105" s="378"/>
      <c r="O105" s="379">
        <v>45880.0</v>
      </c>
      <c r="P105" s="379" t="s">
        <v>1834</v>
      </c>
      <c r="Q105" s="379" t="s">
        <v>1835</v>
      </c>
      <c r="R105" s="379" t="s">
        <v>1836</v>
      </c>
      <c r="S105" s="379" t="s">
        <v>1837</v>
      </c>
      <c r="T105" s="380" t="s">
        <v>1838</v>
      </c>
      <c r="V105" s="438">
        <v>45888.0</v>
      </c>
      <c r="W105" s="438">
        <v>45889.0</v>
      </c>
      <c r="X105" s="438">
        <v>45890.0</v>
      </c>
      <c r="Y105" s="377">
        <v>45891.0</v>
      </c>
      <c r="Z105" s="439" t="s">
        <v>1839</v>
      </c>
      <c r="AA105" s="48"/>
      <c r="AB105" s="48"/>
      <c r="AC105" s="438">
        <v>45895.0</v>
      </c>
      <c r="AD105" s="438">
        <v>45896.0</v>
      </c>
      <c r="AE105" s="438">
        <v>45897.0</v>
      </c>
      <c r="AF105" s="377">
        <v>45898.0</v>
      </c>
      <c r="AG105" s="440">
        <v>45899.0</v>
      </c>
    </row>
    <row r="106" ht="16.5" customHeight="1">
      <c r="A106" s="319" t="s">
        <v>0</v>
      </c>
      <c r="B106" s="9" t="s">
        <v>435</v>
      </c>
      <c r="F106" s="48"/>
      <c r="G106" s="6" t="s">
        <v>0</v>
      </c>
      <c r="H106" s="33" t="s">
        <v>435</v>
      </c>
      <c r="I106" s="10" t="s">
        <v>677</v>
      </c>
      <c r="J106" s="33" t="s">
        <v>435</v>
      </c>
      <c r="K106" s="15" t="s">
        <v>921</v>
      </c>
      <c r="L106" s="10" t="s">
        <v>1254</v>
      </c>
      <c r="M106" s="68"/>
      <c r="N106" s="6" t="s">
        <v>0</v>
      </c>
      <c r="O106" s="359" t="s">
        <v>435</v>
      </c>
      <c r="P106" s="9" t="s">
        <v>435</v>
      </c>
      <c r="Q106" s="22" t="s">
        <v>844</v>
      </c>
      <c r="R106" s="28" t="s">
        <v>1506</v>
      </c>
      <c r="S106" s="441"/>
      <c r="T106" s="442"/>
      <c r="V106" s="9" t="s">
        <v>435</v>
      </c>
      <c r="W106" s="10" t="s">
        <v>896</v>
      </c>
      <c r="X106" s="9" t="s">
        <v>435</v>
      </c>
      <c r="Y106" s="10" t="s">
        <v>1200</v>
      </c>
      <c r="AA106" s="48"/>
      <c r="AB106" s="48"/>
      <c r="AC106" s="9" t="s">
        <v>435</v>
      </c>
      <c r="AD106" s="10"/>
      <c r="AE106" s="9" t="s">
        <v>435</v>
      </c>
      <c r="AF106" s="10" t="s">
        <v>1699</v>
      </c>
    </row>
    <row r="107">
      <c r="A107" s="319" t="s">
        <v>5</v>
      </c>
      <c r="B107" s="9" t="s">
        <v>435</v>
      </c>
      <c r="F107" s="48"/>
      <c r="G107" s="6" t="s">
        <v>5</v>
      </c>
      <c r="H107" s="33" t="s">
        <v>435</v>
      </c>
      <c r="I107" s="69" t="s">
        <v>942</v>
      </c>
      <c r="J107" s="33" t="s">
        <v>435</v>
      </c>
      <c r="K107" s="22" t="s">
        <v>844</v>
      </c>
      <c r="L107" s="192"/>
      <c r="M107" s="68"/>
      <c r="N107" s="6" t="s">
        <v>5</v>
      </c>
      <c r="O107" s="359" t="s">
        <v>435</v>
      </c>
      <c r="P107" s="9" t="s">
        <v>435</v>
      </c>
      <c r="Q107" s="22" t="s">
        <v>168</v>
      </c>
      <c r="R107" s="9" t="s">
        <v>435</v>
      </c>
      <c r="S107" s="441"/>
      <c r="T107" s="442"/>
      <c r="V107" s="9" t="s">
        <v>435</v>
      </c>
      <c r="W107" s="69" t="s">
        <v>942</v>
      </c>
      <c r="X107" s="9" t="s">
        <v>435</v>
      </c>
      <c r="Y107" s="299" t="s">
        <v>844</v>
      </c>
      <c r="Z107" s="98"/>
      <c r="AA107" s="48"/>
      <c r="AB107" s="48"/>
      <c r="AC107" s="9" t="s">
        <v>435</v>
      </c>
      <c r="AD107" s="10" t="s">
        <v>677</v>
      </c>
      <c r="AE107" s="9" t="s">
        <v>435</v>
      </c>
      <c r="AF107" s="10" t="s">
        <v>1751</v>
      </c>
    </row>
    <row r="108">
      <c r="A108" s="319" t="s">
        <v>13</v>
      </c>
      <c r="B108" s="9" t="s">
        <v>435</v>
      </c>
      <c r="F108" s="48"/>
      <c r="G108" s="6" t="s">
        <v>13</v>
      </c>
      <c r="H108" s="33" t="s">
        <v>435</v>
      </c>
      <c r="I108" s="22" t="s">
        <v>168</v>
      </c>
      <c r="J108" s="33" t="s">
        <v>435</v>
      </c>
      <c r="K108" s="10" t="s">
        <v>1210</v>
      </c>
      <c r="L108" s="192"/>
      <c r="M108" s="68"/>
      <c r="N108" s="6" t="s">
        <v>13</v>
      </c>
      <c r="O108" s="9" t="s">
        <v>435</v>
      </c>
      <c r="P108" s="9" t="s">
        <v>435</v>
      </c>
      <c r="Q108" s="10" t="s">
        <v>921</v>
      </c>
      <c r="R108" s="381" t="s">
        <v>1840</v>
      </c>
      <c r="S108" s="426"/>
      <c r="V108" s="9" t="s">
        <v>435</v>
      </c>
      <c r="W108" s="22" t="s">
        <v>168</v>
      </c>
      <c r="X108" s="9" t="s">
        <v>435</v>
      </c>
      <c r="Y108" s="299" t="s">
        <v>1518</v>
      </c>
      <c r="Z108" s="302" t="s">
        <v>865</v>
      </c>
      <c r="AA108" s="48"/>
      <c r="AB108" s="48"/>
      <c r="AC108" s="9" t="s">
        <v>435</v>
      </c>
      <c r="AD108" s="22" t="s">
        <v>168</v>
      </c>
      <c r="AE108" s="9" t="s">
        <v>435</v>
      </c>
      <c r="AF108" s="10" t="s">
        <v>1754</v>
      </c>
      <c r="AG108" s="22" t="s">
        <v>1759</v>
      </c>
    </row>
    <row r="109" ht="15.0" customHeight="1">
      <c r="A109" s="319" t="s">
        <v>19</v>
      </c>
      <c r="B109" s="9" t="s">
        <v>435</v>
      </c>
      <c r="F109" s="48"/>
      <c r="G109" s="6" t="s">
        <v>19</v>
      </c>
      <c r="H109" s="33" t="s">
        <v>435</v>
      </c>
      <c r="I109" s="10" t="s">
        <v>43</v>
      </c>
      <c r="J109" s="33" t="s">
        <v>435</v>
      </c>
      <c r="K109" s="10" t="s">
        <v>16</v>
      </c>
      <c r="L109" s="192"/>
      <c r="M109" s="68"/>
      <c r="N109" s="6" t="s">
        <v>19</v>
      </c>
      <c r="O109" s="9" t="s">
        <v>435</v>
      </c>
      <c r="P109" s="9" t="s">
        <v>435</v>
      </c>
      <c r="Q109" s="59" t="s">
        <v>1476</v>
      </c>
      <c r="R109" s="9" t="s">
        <v>435</v>
      </c>
      <c r="S109" s="441"/>
      <c r="T109" s="43" t="s">
        <v>1559</v>
      </c>
      <c r="V109" s="9" t="s">
        <v>435</v>
      </c>
      <c r="W109" s="16" t="s">
        <v>1056</v>
      </c>
      <c r="X109" s="9" t="s">
        <v>435</v>
      </c>
      <c r="Y109" s="280" t="s">
        <v>16</v>
      </c>
      <c r="Z109" s="43" t="s">
        <v>1720</v>
      </c>
      <c r="AA109" s="48"/>
      <c r="AB109" s="48"/>
      <c r="AC109" s="9" t="s">
        <v>435</v>
      </c>
      <c r="AD109" s="10" t="s">
        <v>38</v>
      </c>
      <c r="AE109" s="9" t="s">
        <v>435</v>
      </c>
      <c r="AF109" s="10"/>
      <c r="AG109" s="22" t="s">
        <v>1053</v>
      </c>
    </row>
    <row r="110">
      <c r="A110" s="321" t="s">
        <v>27</v>
      </c>
      <c r="B110" s="9" t="s">
        <v>435</v>
      </c>
      <c r="F110" s="48"/>
      <c r="G110" s="32" t="s">
        <v>27</v>
      </c>
      <c r="H110" s="9"/>
      <c r="I110" s="22" t="s">
        <v>991</v>
      </c>
      <c r="J110" s="33" t="s">
        <v>435</v>
      </c>
      <c r="K110" s="10" t="s">
        <v>893</v>
      </c>
      <c r="L110" s="192"/>
      <c r="M110" s="68"/>
      <c r="N110" s="32" t="s">
        <v>27</v>
      </c>
      <c r="O110" s="9" t="s">
        <v>435</v>
      </c>
      <c r="P110" s="194" t="s">
        <v>1351</v>
      </c>
      <c r="Q110" s="10" t="s">
        <v>1489</v>
      </c>
      <c r="R110" s="9" t="s">
        <v>435</v>
      </c>
      <c r="S110" s="426" t="s">
        <v>1786</v>
      </c>
      <c r="V110" s="9" t="s">
        <v>435</v>
      </c>
      <c r="W110" s="298"/>
      <c r="X110" s="9" t="s">
        <v>435</v>
      </c>
      <c r="Y110" s="16" t="s">
        <v>1700</v>
      </c>
      <c r="AA110" s="48"/>
      <c r="AB110" s="48"/>
      <c r="AC110" s="9" t="s">
        <v>435</v>
      </c>
      <c r="AD110" s="199"/>
      <c r="AE110" s="9" t="s">
        <v>435</v>
      </c>
      <c r="AF110" s="10" t="s">
        <v>1756</v>
      </c>
      <c r="AG110" s="43" t="s">
        <v>1760</v>
      </c>
    </row>
    <row r="111">
      <c r="A111" s="321" t="s">
        <v>33</v>
      </c>
      <c r="B111" s="9" t="s">
        <v>435</v>
      </c>
      <c r="F111" s="48"/>
      <c r="G111" s="32" t="s">
        <v>33</v>
      </c>
      <c r="H111" s="33" t="s">
        <v>435</v>
      </c>
      <c r="I111" s="10" t="s">
        <v>1009</v>
      </c>
      <c r="J111" s="194" t="s">
        <v>1035</v>
      </c>
      <c r="K111" s="33" t="s">
        <v>435</v>
      </c>
      <c r="L111" s="47"/>
      <c r="M111" s="68"/>
      <c r="N111" s="32" t="s">
        <v>33</v>
      </c>
      <c r="O111" s="9" t="s">
        <v>435</v>
      </c>
      <c r="P111" s="382" t="s">
        <v>1841</v>
      </c>
      <c r="Q111" s="10" t="s">
        <v>1499</v>
      </c>
      <c r="R111" s="33"/>
      <c r="S111" s="441"/>
      <c r="V111" s="9" t="s">
        <v>435</v>
      </c>
      <c r="W111" s="10" t="s">
        <v>991</v>
      </c>
      <c r="X111" s="9" t="s">
        <v>435</v>
      </c>
      <c r="Y111" s="10" t="s">
        <v>893</v>
      </c>
      <c r="AA111" s="48"/>
      <c r="AB111" s="48"/>
      <c r="AC111" s="9" t="s">
        <v>435</v>
      </c>
      <c r="AD111" s="28" t="s">
        <v>1129</v>
      </c>
      <c r="AE111" s="9" t="s">
        <v>435</v>
      </c>
      <c r="AF111" s="10" t="s">
        <v>1757</v>
      </c>
    </row>
    <row r="112">
      <c r="A112" s="319" t="s">
        <v>39</v>
      </c>
      <c r="B112" s="9" t="s">
        <v>435</v>
      </c>
      <c r="F112" s="48"/>
      <c r="G112" s="32" t="s">
        <v>39</v>
      </c>
      <c r="H112" s="10" t="s">
        <v>742</v>
      </c>
      <c r="I112" s="33" t="s">
        <v>435</v>
      </c>
      <c r="J112" s="22" t="s">
        <v>919</v>
      </c>
      <c r="K112" s="33" t="s">
        <v>435</v>
      </c>
      <c r="L112" s="47"/>
      <c r="M112" s="68"/>
      <c r="N112" s="32" t="s">
        <v>39</v>
      </c>
      <c r="O112" s="16" t="s">
        <v>1263</v>
      </c>
      <c r="P112" s="22" t="s">
        <v>1368</v>
      </c>
      <c r="Q112" s="33" t="s">
        <v>435</v>
      </c>
      <c r="R112" s="10" t="s">
        <v>1476</v>
      </c>
      <c r="S112" s="441"/>
      <c r="V112" s="280" t="s">
        <v>58</v>
      </c>
      <c r="W112" s="346"/>
      <c r="X112" s="10" t="s">
        <v>868</v>
      </c>
      <c r="Y112" s="33"/>
      <c r="AA112" s="48"/>
      <c r="AB112" s="48"/>
      <c r="AC112" s="16" t="s">
        <v>1723</v>
      </c>
      <c r="AD112" s="9" t="s">
        <v>435</v>
      </c>
      <c r="AE112" s="10" t="s">
        <v>1378</v>
      </c>
      <c r="AF112" s="28" t="s">
        <v>991</v>
      </c>
    </row>
    <row r="113" ht="16.5" customHeight="1">
      <c r="A113" s="319" t="s">
        <v>45</v>
      </c>
      <c r="B113" s="9" t="s">
        <v>435</v>
      </c>
      <c r="F113" s="48"/>
      <c r="G113" s="6" t="s">
        <v>45</v>
      </c>
      <c r="H113" s="10" t="s">
        <v>767</v>
      </c>
      <c r="I113" s="33" t="s">
        <v>435</v>
      </c>
      <c r="J113" s="10" t="s">
        <v>69</v>
      </c>
      <c r="K113" s="33" t="s">
        <v>435</v>
      </c>
      <c r="L113" s="47"/>
      <c r="M113" s="68"/>
      <c r="N113" s="6" t="s">
        <v>45</v>
      </c>
      <c r="O113" s="22" t="s">
        <v>1287</v>
      </c>
      <c r="P113" s="10" t="s">
        <v>1378</v>
      </c>
      <c r="Q113" s="33" t="s">
        <v>435</v>
      </c>
      <c r="R113" s="22" t="s">
        <v>991</v>
      </c>
      <c r="S113" s="441"/>
      <c r="V113" s="91" t="s">
        <v>1287</v>
      </c>
      <c r="W113" s="33"/>
      <c r="X113" s="280" t="s">
        <v>37</v>
      </c>
      <c r="Y113" s="9" t="s">
        <v>435</v>
      </c>
      <c r="AA113" s="48"/>
      <c r="AB113" s="48"/>
      <c r="AC113" s="16" t="s">
        <v>1263</v>
      </c>
      <c r="AD113" s="9" t="s">
        <v>435</v>
      </c>
      <c r="AE113" s="10" t="s">
        <v>20</v>
      </c>
      <c r="AF113" s="9" t="s">
        <v>435</v>
      </c>
    </row>
    <row r="114">
      <c r="A114" s="319" t="s">
        <v>54</v>
      </c>
      <c r="B114" s="9" t="s">
        <v>435</v>
      </c>
      <c r="F114" s="48"/>
      <c r="G114" s="6" t="s">
        <v>54</v>
      </c>
      <c r="H114" s="22" t="s">
        <v>791</v>
      </c>
      <c r="I114" s="33" t="s">
        <v>435</v>
      </c>
      <c r="J114" s="10" t="s">
        <v>1088</v>
      </c>
      <c r="K114" s="33" t="s">
        <v>435</v>
      </c>
      <c r="L114" s="47"/>
      <c r="M114" s="68"/>
      <c r="N114" s="6" t="s">
        <v>54</v>
      </c>
      <c r="O114" s="16" t="s">
        <v>791</v>
      </c>
      <c r="P114" s="16" t="s">
        <v>77</v>
      </c>
      <c r="Q114" s="33" t="s">
        <v>435</v>
      </c>
      <c r="R114" s="22" t="s">
        <v>1529</v>
      </c>
      <c r="S114" s="441"/>
      <c r="V114" s="10" t="s">
        <v>791</v>
      </c>
      <c r="W114" s="33"/>
      <c r="X114" s="280" t="s">
        <v>1088</v>
      </c>
      <c r="Y114" s="9" t="s">
        <v>435</v>
      </c>
      <c r="AA114" s="48"/>
      <c r="AB114" s="48"/>
      <c r="AC114" s="16" t="s">
        <v>77</v>
      </c>
      <c r="AD114" s="9" t="s">
        <v>435</v>
      </c>
      <c r="AE114" s="10" t="s">
        <v>1088</v>
      </c>
      <c r="AF114" s="9" t="s">
        <v>435</v>
      </c>
    </row>
    <row r="115">
      <c r="A115" s="321" t="s">
        <v>1789</v>
      </c>
      <c r="B115" s="9" t="s">
        <v>435</v>
      </c>
      <c r="F115" s="48"/>
      <c r="G115" s="32" t="s">
        <v>1794</v>
      </c>
      <c r="H115" s="59" t="s">
        <v>819</v>
      </c>
      <c r="I115" s="33" t="s">
        <v>435</v>
      </c>
      <c r="J115" s="10" t="s">
        <v>1105</v>
      </c>
      <c r="K115" s="33" t="s">
        <v>435</v>
      </c>
      <c r="L115" s="47"/>
      <c r="M115" s="68"/>
      <c r="N115" s="6" t="s">
        <v>64</v>
      </c>
      <c r="O115" s="10" t="s">
        <v>1010</v>
      </c>
      <c r="P115" s="10" t="s">
        <v>132</v>
      </c>
      <c r="Q115" s="33" t="s">
        <v>435</v>
      </c>
      <c r="R115" s="254" t="s">
        <v>1537</v>
      </c>
      <c r="S115" s="441"/>
      <c r="V115" s="10" t="s">
        <v>819</v>
      </c>
      <c r="W115" s="9" t="s">
        <v>435</v>
      </c>
      <c r="X115" s="10" t="s">
        <v>1010</v>
      </c>
      <c r="Y115" s="9" t="s">
        <v>435</v>
      </c>
      <c r="AA115" s="48"/>
      <c r="AB115" s="48"/>
      <c r="AC115" s="10" t="s">
        <v>1105</v>
      </c>
      <c r="AD115" s="9" t="s">
        <v>435</v>
      </c>
      <c r="AE115" s="10" t="s">
        <v>1739</v>
      </c>
      <c r="AF115" s="9" t="s">
        <v>435</v>
      </c>
    </row>
    <row r="116">
      <c r="A116" s="319" t="s">
        <v>71</v>
      </c>
      <c r="B116" s="9" t="s">
        <v>435</v>
      </c>
      <c r="C116" s="48"/>
      <c r="D116" s="48"/>
      <c r="E116" s="48"/>
      <c r="F116" s="48"/>
      <c r="G116" s="6" t="s">
        <v>71</v>
      </c>
      <c r="H116" s="22" t="s">
        <v>845</v>
      </c>
      <c r="I116" s="33" t="s">
        <v>435</v>
      </c>
      <c r="J116" s="10" t="s">
        <v>174</v>
      </c>
      <c r="K116" s="33" t="s">
        <v>435</v>
      </c>
      <c r="L116" s="47"/>
      <c r="M116" s="48"/>
      <c r="N116" s="6" t="s">
        <v>71</v>
      </c>
      <c r="O116" s="10" t="s">
        <v>1200</v>
      </c>
      <c r="P116" s="10" t="s">
        <v>1411</v>
      </c>
      <c r="Q116" s="33" t="s">
        <v>435</v>
      </c>
      <c r="R116" s="10" t="s">
        <v>1546</v>
      </c>
      <c r="S116" s="441"/>
      <c r="U116" s="48"/>
      <c r="V116" s="10" t="s">
        <v>217</v>
      </c>
      <c r="W116" s="9" t="s">
        <v>435</v>
      </c>
      <c r="X116" s="298" t="s">
        <v>1670</v>
      </c>
      <c r="Y116" s="33"/>
      <c r="AA116" s="48"/>
      <c r="AB116" s="48"/>
      <c r="AC116" s="16" t="s">
        <v>1730</v>
      </c>
      <c r="AD116" s="9" t="s">
        <v>435</v>
      </c>
      <c r="AE116" s="10" t="s">
        <v>1744</v>
      </c>
      <c r="AF116" s="9" t="s">
        <v>435</v>
      </c>
    </row>
    <row r="117">
      <c r="A117" s="319" t="s">
        <v>80</v>
      </c>
      <c r="B117" s="9" t="s">
        <v>435</v>
      </c>
      <c r="C117" s="48"/>
      <c r="D117" s="48"/>
      <c r="E117" s="48"/>
      <c r="F117" s="48"/>
      <c r="G117" s="6" t="s">
        <v>80</v>
      </c>
      <c r="H117" s="22" t="s">
        <v>20</v>
      </c>
      <c r="I117" s="33" t="s">
        <v>435</v>
      </c>
      <c r="J117" s="10" t="s">
        <v>973</v>
      </c>
      <c r="K117" s="33" t="s">
        <v>435</v>
      </c>
      <c r="L117" s="47"/>
      <c r="M117" s="48"/>
      <c r="N117" s="6" t="s">
        <v>80</v>
      </c>
      <c r="O117" s="10" t="s">
        <v>267</v>
      </c>
      <c r="P117" s="10" t="s">
        <v>20</v>
      </c>
      <c r="Q117" s="9" t="s">
        <v>435</v>
      </c>
      <c r="R117" s="22" t="s">
        <v>1552</v>
      </c>
      <c r="S117" s="441"/>
      <c r="U117" s="48"/>
      <c r="V117" s="10" t="s">
        <v>20</v>
      </c>
      <c r="W117" s="9" t="s">
        <v>435</v>
      </c>
      <c r="X117" s="10" t="s">
        <v>1675</v>
      </c>
      <c r="Y117" s="9" t="s">
        <v>435</v>
      </c>
      <c r="AA117" s="48"/>
      <c r="AB117" s="48"/>
      <c r="AC117" s="22" t="s">
        <v>1089</v>
      </c>
      <c r="AD117" s="9" t="s">
        <v>435</v>
      </c>
      <c r="AE117" s="10" t="s">
        <v>973</v>
      </c>
      <c r="AF117" s="9" t="s">
        <v>435</v>
      </c>
    </row>
    <row r="118">
      <c r="A118" s="319" t="s">
        <v>95</v>
      </c>
      <c r="B118" s="9"/>
      <c r="G118" s="6" t="s">
        <v>95</v>
      </c>
      <c r="H118" s="10" t="s">
        <v>891</v>
      </c>
      <c r="I118" s="33" t="s">
        <v>435</v>
      </c>
      <c r="J118" s="59" t="s">
        <v>866</v>
      </c>
      <c r="K118" s="33" t="s">
        <v>435</v>
      </c>
      <c r="L118" s="47"/>
      <c r="N118" s="6" t="s">
        <v>95</v>
      </c>
      <c r="O118" s="383" t="s">
        <v>435</v>
      </c>
      <c r="P118" s="59" t="s">
        <v>1437</v>
      </c>
      <c r="Q118" s="9" t="s">
        <v>435</v>
      </c>
      <c r="R118" s="384"/>
      <c r="S118" s="441"/>
      <c r="V118" s="36" t="s">
        <v>1368</v>
      </c>
      <c r="W118" s="9" t="s">
        <v>435</v>
      </c>
      <c r="X118" s="22" t="s">
        <v>1683</v>
      </c>
      <c r="Y118" s="9" t="s">
        <v>435</v>
      </c>
      <c r="AC118" s="228" t="s">
        <v>96</v>
      </c>
      <c r="AD118" s="9" t="s">
        <v>435</v>
      </c>
      <c r="AE118" s="303" t="s">
        <v>1010</v>
      </c>
      <c r="AF118" s="9" t="s">
        <v>435</v>
      </c>
    </row>
    <row r="119">
      <c r="AG119" s="48"/>
    </row>
    <row r="120">
      <c r="AG120" s="48"/>
    </row>
    <row r="121">
      <c r="AD121" s="48"/>
      <c r="AG121" s="48"/>
    </row>
    <row r="122">
      <c r="A122" s="48"/>
      <c r="B122" s="443">
        <v>45902.0</v>
      </c>
      <c r="C122" s="443">
        <v>45903.0</v>
      </c>
      <c r="D122" s="443">
        <v>45904.0</v>
      </c>
      <c r="E122" s="385">
        <v>45905.0</v>
      </c>
      <c r="F122" s="385">
        <v>45906.0</v>
      </c>
      <c r="G122" s="48"/>
      <c r="H122" s="443">
        <v>45909.0</v>
      </c>
      <c r="I122" s="443">
        <v>45910.0</v>
      </c>
      <c r="J122" s="443">
        <v>45911.0</v>
      </c>
      <c r="K122" s="385">
        <v>45912.0</v>
      </c>
      <c r="L122" s="439" t="s">
        <v>1842</v>
      </c>
      <c r="M122" s="48"/>
      <c r="N122" s="1"/>
      <c r="O122" s="385">
        <v>45916.0</v>
      </c>
      <c r="P122" s="386" t="s">
        <v>1843</v>
      </c>
      <c r="Q122" s="385">
        <v>45918.0</v>
      </c>
      <c r="R122" s="385">
        <v>45919.0</v>
      </c>
      <c r="S122" s="385"/>
      <c r="T122" s="1"/>
      <c r="U122" s="48"/>
      <c r="V122" s="385">
        <v>45923.0</v>
      </c>
      <c r="W122" s="386" t="s">
        <v>1844</v>
      </c>
      <c r="X122" s="385">
        <v>45925.0</v>
      </c>
      <c r="Y122" s="385">
        <v>45926.0</v>
      </c>
      <c r="Z122" s="1"/>
      <c r="AA122" s="1"/>
      <c r="AB122" s="48"/>
      <c r="AC122" s="385">
        <v>45930.0</v>
      </c>
      <c r="AD122" s="48"/>
      <c r="AE122" s="48"/>
      <c r="AF122" s="48"/>
      <c r="AG122" s="48"/>
    </row>
    <row r="123">
      <c r="A123" s="6" t="s">
        <v>0</v>
      </c>
      <c r="B123" s="9" t="s">
        <v>435</v>
      </c>
      <c r="C123" s="10" t="s">
        <v>920</v>
      </c>
      <c r="D123" s="9" t="s">
        <v>435</v>
      </c>
      <c r="E123" s="10"/>
      <c r="F123" s="22" t="s">
        <v>168</v>
      </c>
      <c r="G123" s="6" t="s">
        <v>0</v>
      </c>
      <c r="H123" s="9" t="s">
        <v>435</v>
      </c>
      <c r="I123" s="199"/>
      <c r="J123" s="262" t="s">
        <v>1334</v>
      </c>
      <c r="K123" s="10"/>
      <c r="L123" s="22"/>
      <c r="M123" s="68"/>
      <c r="N123" s="6" t="s">
        <v>0</v>
      </c>
      <c r="O123" s="33"/>
      <c r="P123" s="10"/>
      <c r="Q123" s="9" t="s">
        <v>435</v>
      </c>
      <c r="R123" s="10" t="s">
        <v>21</v>
      </c>
      <c r="S123" s="22"/>
      <c r="T123" s="68"/>
      <c r="U123" s="6" t="s">
        <v>0</v>
      </c>
      <c r="V123" s="9" t="s">
        <v>435</v>
      </c>
      <c r="W123" s="10" t="s">
        <v>168</v>
      </c>
      <c r="X123" s="9" t="s">
        <v>435</v>
      </c>
      <c r="Y123" s="10" t="s">
        <v>1290</v>
      </c>
      <c r="Z123" s="68"/>
      <c r="AA123" s="68"/>
      <c r="AB123" s="6" t="s">
        <v>0</v>
      </c>
      <c r="AC123" s="9" t="s">
        <v>435</v>
      </c>
      <c r="AD123" s="48"/>
      <c r="AE123" s="48"/>
      <c r="AF123" s="48"/>
      <c r="AG123" s="48"/>
    </row>
    <row r="124">
      <c r="A124" s="6" t="s">
        <v>5</v>
      </c>
      <c r="B124" s="9" t="s">
        <v>435</v>
      </c>
      <c r="C124" s="10" t="s">
        <v>763</v>
      </c>
      <c r="D124" s="9"/>
      <c r="E124" s="199"/>
      <c r="G124" s="6" t="s">
        <v>5</v>
      </c>
      <c r="H124" s="9" t="s">
        <v>435</v>
      </c>
      <c r="I124" s="199"/>
      <c r="J124" s="262" t="s">
        <v>96</v>
      </c>
      <c r="K124" s="10"/>
      <c r="L124" s="43"/>
      <c r="M124" s="68"/>
      <c r="N124" s="6" t="s">
        <v>5</v>
      </c>
      <c r="O124" s="33" t="s">
        <v>1210</v>
      </c>
      <c r="P124" s="10"/>
      <c r="Q124" s="9" t="s">
        <v>435</v>
      </c>
      <c r="R124" s="10" t="s">
        <v>1560</v>
      </c>
      <c r="T124" s="68"/>
      <c r="U124" s="6" t="s">
        <v>5</v>
      </c>
      <c r="V124" s="9" t="s">
        <v>435</v>
      </c>
      <c r="W124" s="10" t="s">
        <v>863</v>
      </c>
      <c r="X124" s="9" t="s">
        <v>435</v>
      </c>
      <c r="Y124" s="10" t="s">
        <v>1289</v>
      </c>
      <c r="Z124" s="68"/>
      <c r="AA124" s="68"/>
      <c r="AB124" s="6" t="s">
        <v>5</v>
      </c>
      <c r="AC124" s="9" t="s">
        <v>435</v>
      </c>
      <c r="AD124" s="48"/>
      <c r="AE124" s="48"/>
      <c r="AF124" s="48"/>
      <c r="AG124" s="48"/>
    </row>
    <row r="125" ht="19.5" customHeight="1">
      <c r="A125" s="6" t="s">
        <v>13</v>
      </c>
      <c r="B125" s="9" t="s">
        <v>435</v>
      </c>
      <c r="C125" s="22" t="s">
        <v>168</v>
      </c>
      <c r="D125" s="9" t="s">
        <v>435</v>
      </c>
      <c r="E125" s="10"/>
      <c r="G125" s="6" t="s">
        <v>13</v>
      </c>
      <c r="H125" s="9" t="s">
        <v>435</v>
      </c>
      <c r="I125" s="10" t="s">
        <v>1238</v>
      </c>
      <c r="J125" s="262" t="s">
        <v>1845</v>
      </c>
      <c r="K125" s="10"/>
      <c r="L125" s="22"/>
      <c r="M125" s="68"/>
      <c r="N125" s="6" t="s">
        <v>13</v>
      </c>
      <c r="O125" s="33" t="s">
        <v>98</v>
      </c>
      <c r="P125" s="10"/>
      <c r="Q125" s="9" t="s">
        <v>435</v>
      </c>
      <c r="R125" s="10" t="s">
        <v>591</v>
      </c>
      <c r="T125" s="68"/>
      <c r="U125" s="6" t="s">
        <v>13</v>
      </c>
      <c r="V125" s="9" t="s">
        <v>435</v>
      </c>
      <c r="W125" s="10" t="s">
        <v>1846</v>
      </c>
      <c r="X125" s="9" t="s">
        <v>435</v>
      </c>
      <c r="Y125" s="10" t="s">
        <v>975</v>
      </c>
      <c r="Z125" s="68"/>
      <c r="AA125" s="68"/>
      <c r="AB125" s="6" t="s">
        <v>13</v>
      </c>
      <c r="AC125" s="9" t="s">
        <v>435</v>
      </c>
      <c r="AD125" s="48"/>
      <c r="AE125" s="48"/>
      <c r="AF125" s="48"/>
      <c r="AG125" s="48"/>
    </row>
    <row r="126">
      <c r="A126" s="6" t="s">
        <v>19</v>
      </c>
      <c r="B126" s="9" t="s">
        <v>435</v>
      </c>
      <c r="C126" s="199"/>
      <c r="D126" s="33" t="s">
        <v>1089</v>
      </c>
      <c r="E126" s="199"/>
      <c r="G126" s="6" t="s">
        <v>19</v>
      </c>
      <c r="H126" s="9" t="s">
        <v>435</v>
      </c>
      <c r="I126" s="199"/>
      <c r="J126" s="387"/>
      <c r="K126" s="10" t="s">
        <v>118</v>
      </c>
      <c r="M126" s="68"/>
      <c r="N126" s="6" t="s">
        <v>19</v>
      </c>
      <c r="O126" s="9" t="s">
        <v>435</v>
      </c>
      <c r="P126" s="10"/>
      <c r="Q126" s="9" t="s">
        <v>435</v>
      </c>
      <c r="R126" s="10"/>
      <c r="T126" s="68"/>
      <c r="U126" s="6" t="s">
        <v>19</v>
      </c>
      <c r="V126" s="9" t="s">
        <v>435</v>
      </c>
      <c r="W126" s="388"/>
      <c r="X126" s="9" t="s">
        <v>435</v>
      </c>
      <c r="Y126" s="10" t="s">
        <v>1307</v>
      </c>
      <c r="Z126" s="68"/>
      <c r="AA126" s="68"/>
      <c r="AB126" s="6" t="s">
        <v>19</v>
      </c>
      <c r="AC126" s="9" t="s">
        <v>435</v>
      </c>
      <c r="AD126" s="48"/>
      <c r="AE126" s="48"/>
      <c r="AF126" s="48"/>
      <c r="AG126" s="48"/>
    </row>
    <row r="127">
      <c r="A127" s="6" t="s">
        <v>39</v>
      </c>
      <c r="B127" s="10" t="s">
        <v>743</v>
      </c>
      <c r="C127" s="346"/>
      <c r="D127" s="33" t="s">
        <v>58</v>
      </c>
      <c r="E127" s="10"/>
      <c r="G127" s="6" t="s">
        <v>39</v>
      </c>
      <c r="H127" s="9" t="s">
        <v>435</v>
      </c>
      <c r="I127" s="199"/>
      <c r="J127" s="387"/>
      <c r="K127" s="10" t="s">
        <v>1369</v>
      </c>
      <c r="M127" s="68"/>
      <c r="N127" s="32" t="s">
        <v>27</v>
      </c>
      <c r="O127" s="33" t="s">
        <v>118</v>
      </c>
      <c r="P127" s="199"/>
      <c r="Q127" s="9" t="s">
        <v>435</v>
      </c>
      <c r="R127" s="10"/>
      <c r="T127" s="68"/>
      <c r="U127" s="32" t="s">
        <v>27</v>
      </c>
      <c r="V127" s="9" t="s">
        <v>435</v>
      </c>
      <c r="W127" s="10" t="s">
        <v>118</v>
      </c>
      <c r="X127" s="9" t="s">
        <v>435</v>
      </c>
      <c r="Z127" s="68"/>
      <c r="AA127" s="68"/>
      <c r="AB127" s="32" t="s">
        <v>27</v>
      </c>
      <c r="AC127" s="9" t="s">
        <v>435</v>
      </c>
      <c r="AD127" s="48"/>
      <c r="AE127" s="48"/>
      <c r="AF127" s="48"/>
      <c r="AG127" s="48"/>
    </row>
    <row r="128">
      <c r="A128" s="6" t="s">
        <v>45</v>
      </c>
      <c r="B128" s="10" t="s">
        <v>68</v>
      </c>
      <c r="C128" s="33" t="s">
        <v>974</v>
      </c>
      <c r="D128" s="10" t="s">
        <v>1129</v>
      </c>
      <c r="E128" s="10"/>
      <c r="G128" s="6" t="s">
        <v>45</v>
      </c>
      <c r="H128" s="9" t="s">
        <v>435</v>
      </c>
      <c r="I128" s="28"/>
      <c r="J128" s="389"/>
      <c r="K128" s="10" t="s">
        <v>141</v>
      </c>
      <c r="M128" s="68"/>
      <c r="N128" s="32" t="s">
        <v>33</v>
      </c>
      <c r="O128" s="33" t="s">
        <v>1449</v>
      </c>
      <c r="P128" s="28"/>
      <c r="Q128" s="9" t="s">
        <v>435</v>
      </c>
      <c r="R128" s="59" t="s">
        <v>1568</v>
      </c>
      <c r="T128" s="68"/>
      <c r="U128" s="32" t="s">
        <v>33</v>
      </c>
      <c r="V128" s="9" t="s">
        <v>435</v>
      </c>
      <c r="W128" s="28" t="s">
        <v>1449</v>
      </c>
      <c r="X128" s="9" t="s">
        <v>435</v>
      </c>
      <c r="Z128" s="68"/>
      <c r="AA128" s="68"/>
      <c r="AB128" s="32" t="s">
        <v>33</v>
      </c>
      <c r="AC128" s="9" t="s">
        <v>435</v>
      </c>
      <c r="AD128" s="48"/>
      <c r="AE128" s="48"/>
      <c r="AF128" s="48"/>
      <c r="AG128" s="48"/>
    </row>
    <row r="129">
      <c r="A129" s="6" t="s">
        <v>54</v>
      </c>
      <c r="B129" s="10" t="s">
        <v>98</v>
      </c>
      <c r="C129" s="33" t="s">
        <v>992</v>
      </c>
      <c r="E129" s="9" t="s">
        <v>435</v>
      </c>
      <c r="G129" s="6" t="s">
        <v>54</v>
      </c>
      <c r="H129" s="10" t="s">
        <v>1167</v>
      </c>
      <c r="I129" s="33" t="s">
        <v>1255</v>
      </c>
      <c r="J129" s="55"/>
      <c r="K129" s="9" t="s">
        <v>435</v>
      </c>
      <c r="M129" s="68"/>
      <c r="N129" s="32" t="s">
        <v>39</v>
      </c>
      <c r="O129" s="10"/>
      <c r="P129" s="33"/>
      <c r="Q129" s="55"/>
      <c r="R129" s="9" t="s">
        <v>435</v>
      </c>
      <c r="T129" s="68"/>
      <c r="U129" s="32" t="s">
        <v>39</v>
      </c>
      <c r="V129" s="55"/>
      <c r="W129" s="9" t="s">
        <v>435</v>
      </c>
      <c r="X129" s="10" t="s">
        <v>1378</v>
      </c>
      <c r="Y129" s="33" t="s">
        <v>57</v>
      </c>
      <c r="Z129" s="68"/>
      <c r="AA129" s="68"/>
      <c r="AB129" s="32" t="s">
        <v>39</v>
      </c>
      <c r="AC129" s="10" t="s">
        <v>539</v>
      </c>
      <c r="AD129" s="48"/>
      <c r="AE129" s="48"/>
      <c r="AF129" s="48"/>
      <c r="AG129" s="48"/>
    </row>
    <row r="130">
      <c r="A130" s="6" t="s">
        <v>64</v>
      </c>
      <c r="B130" s="16" t="s">
        <v>132</v>
      </c>
      <c r="C130" s="33" t="s">
        <v>1010</v>
      </c>
      <c r="D130" s="10"/>
      <c r="E130" s="9" t="s">
        <v>435</v>
      </c>
      <c r="G130" s="6" t="s">
        <v>64</v>
      </c>
      <c r="H130" s="10" t="s">
        <v>181</v>
      </c>
      <c r="I130" s="33" t="s">
        <v>1264</v>
      </c>
      <c r="J130" s="22" t="s">
        <v>919</v>
      </c>
      <c r="K130" s="9" t="s">
        <v>435</v>
      </c>
      <c r="M130" s="68"/>
      <c r="N130" s="6" t="s">
        <v>45</v>
      </c>
      <c r="O130" s="199"/>
      <c r="P130" s="33" t="s">
        <v>20</v>
      </c>
      <c r="Q130" s="10" t="s">
        <v>1512</v>
      </c>
      <c r="R130" s="9" t="s">
        <v>435</v>
      </c>
      <c r="T130" s="68"/>
      <c r="U130" s="6" t="s">
        <v>45</v>
      </c>
      <c r="V130" s="10" t="s">
        <v>68</v>
      </c>
      <c r="W130" s="9" t="s">
        <v>435</v>
      </c>
      <c r="X130" s="10" t="s">
        <v>974</v>
      </c>
      <c r="Y130" s="9" t="s">
        <v>435</v>
      </c>
      <c r="Z130" s="68"/>
      <c r="AA130" s="68"/>
      <c r="AB130" s="6" t="s">
        <v>45</v>
      </c>
      <c r="AC130" s="59" t="s">
        <v>1583</v>
      </c>
      <c r="AD130" s="48"/>
      <c r="AE130" s="48"/>
      <c r="AF130" s="48"/>
      <c r="AG130" s="48"/>
    </row>
    <row r="131">
      <c r="A131" s="6" t="s">
        <v>71</v>
      </c>
      <c r="B131" s="10" t="s">
        <v>846</v>
      </c>
      <c r="C131" s="33" t="s">
        <v>1036</v>
      </c>
      <c r="D131" s="10"/>
      <c r="E131" s="9" t="s">
        <v>435</v>
      </c>
      <c r="G131" s="6" t="s">
        <v>71</v>
      </c>
      <c r="H131" s="10" t="s">
        <v>40</v>
      </c>
      <c r="I131" s="33" t="s">
        <v>1288</v>
      </c>
      <c r="J131" s="10" t="s">
        <v>1088</v>
      </c>
      <c r="K131" s="9" t="s">
        <v>435</v>
      </c>
      <c r="M131" s="68"/>
      <c r="N131" s="6" t="s">
        <v>54</v>
      </c>
      <c r="O131" s="10"/>
      <c r="P131" s="275" t="s">
        <v>1334</v>
      </c>
      <c r="Q131" s="10" t="s">
        <v>1088</v>
      </c>
      <c r="R131" s="9" t="s">
        <v>435</v>
      </c>
      <c r="T131" s="68"/>
      <c r="U131" s="6" t="s">
        <v>54</v>
      </c>
      <c r="V131" s="10" t="s">
        <v>1847</v>
      </c>
      <c r="W131" s="9" t="s">
        <v>435</v>
      </c>
      <c r="X131" s="10" t="s">
        <v>1088</v>
      </c>
      <c r="Y131" s="9" t="s">
        <v>435</v>
      </c>
      <c r="Z131" s="68"/>
      <c r="AA131" s="68"/>
      <c r="AB131" s="6" t="s">
        <v>54</v>
      </c>
      <c r="AC131" s="10" t="s">
        <v>1592</v>
      </c>
      <c r="AD131" s="48"/>
      <c r="AE131" s="48"/>
      <c r="AF131" s="48"/>
      <c r="AG131" s="48"/>
    </row>
    <row r="132">
      <c r="A132" s="6" t="s">
        <v>80</v>
      </c>
      <c r="B132" s="22" t="s">
        <v>870</v>
      </c>
      <c r="C132" s="33" t="s">
        <v>1054</v>
      </c>
      <c r="D132" s="10"/>
      <c r="E132" s="9" t="s">
        <v>435</v>
      </c>
      <c r="G132" s="6" t="s">
        <v>80</v>
      </c>
      <c r="H132" s="10" t="s">
        <v>891</v>
      </c>
      <c r="I132" s="33" t="s">
        <v>1303</v>
      </c>
      <c r="J132" s="372"/>
      <c r="K132" s="9" t="s">
        <v>435</v>
      </c>
      <c r="L132" s="52"/>
      <c r="M132" s="68"/>
      <c r="N132" s="6" t="s">
        <v>64</v>
      </c>
      <c r="O132" s="10"/>
      <c r="P132" s="33" t="s">
        <v>1477</v>
      </c>
      <c r="Q132" s="10" t="s">
        <v>1010</v>
      </c>
      <c r="R132" s="9" t="s">
        <v>435</v>
      </c>
      <c r="T132" s="68"/>
      <c r="U132" s="6" t="s">
        <v>64</v>
      </c>
      <c r="V132" s="10" t="s">
        <v>1848</v>
      </c>
      <c r="W132" s="9" t="s">
        <v>435</v>
      </c>
      <c r="X132" s="10" t="s">
        <v>1564</v>
      </c>
      <c r="Y132" s="9" t="s">
        <v>435</v>
      </c>
      <c r="Z132" s="68"/>
      <c r="AA132" s="68"/>
      <c r="AB132" s="6" t="s">
        <v>64</v>
      </c>
      <c r="AC132" s="47"/>
      <c r="AD132" s="48"/>
      <c r="AE132" s="48"/>
      <c r="AF132" s="48"/>
      <c r="AG132" s="48"/>
    </row>
    <row r="133">
      <c r="A133" s="6" t="s">
        <v>95</v>
      </c>
      <c r="B133" s="10" t="s">
        <v>894</v>
      </c>
      <c r="C133" s="33" t="s">
        <v>1073</v>
      </c>
      <c r="D133" s="22"/>
      <c r="E133" s="9" t="s">
        <v>435</v>
      </c>
      <c r="G133" s="6" t="s">
        <v>95</v>
      </c>
      <c r="H133" s="59"/>
      <c r="I133" s="33"/>
      <c r="J133" s="372"/>
      <c r="K133" s="9" t="s">
        <v>435</v>
      </c>
      <c r="L133" s="52"/>
      <c r="M133" s="68"/>
      <c r="N133" s="6" t="s">
        <v>71</v>
      </c>
      <c r="O133" s="10"/>
      <c r="P133" s="33" t="s">
        <v>1490</v>
      </c>
      <c r="Q133" s="10" t="s">
        <v>1481</v>
      </c>
      <c r="R133" s="9" t="s">
        <v>435</v>
      </c>
      <c r="T133" s="68"/>
      <c r="U133" s="6" t="s">
        <v>71</v>
      </c>
      <c r="V133" s="10" t="s">
        <v>1130</v>
      </c>
      <c r="W133" s="9" t="s">
        <v>435</v>
      </c>
      <c r="X133" s="10" t="s">
        <v>871</v>
      </c>
      <c r="Y133" s="9" t="s">
        <v>435</v>
      </c>
      <c r="Z133" s="68"/>
      <c r="AA133" s="68"/>
      <c r="AB133" s="6" t="s">
        <v>71</v>
      </c>
      <c r="AC133" s="10" t="s">
        <v>847</v>
      </c>
      <c r="AD133" s="48"/>
      <c r="AE133" s="48"/>
      <c r="AF133" s="48"/>
      <c r="AG133" s="48"/>
    </row>
    <row r="134">
      <c r="A134" s="48"/>
      <c r="D134" s="280"/>
      <c r="E134" s="9" t="s">
        <v>435</v>
      </c>
      <c r="G134" s="48"/>
      <c r="H134" s="10" t="s">
        <v>1010</v>
      </c>
      <c r="I134" s="33" t="s">
        <v>1319</v>
      </c>
      <c r="J134" s="383"/>
      <c r="K134" s="9" t="s">
        <v>435</v>
      </c>
      <c r="L134" s="52"/>
      <c r="M134" s="48"/>
      <c r="N134" s="6" t="s">
        <v>80</v>
      </c>
      <c r="O134" s="22"/>
      <c r="P134" s="33" t="s">
        <v>1500</v>
      </c>
      <c r="Q134" s="22" t="s">
        <v>1034</v>
      </c>
      <c r="R134" s="9" t="s">
        <v>435</v>
      </c>
      <c r="T134" s="48"/>
      <c r="U134" s="6" t="s">
        <v>80</v>
      </c>
      <c r="W134" s="9" t="s">
        <v>435</v>
      </c>
      <c r="X134" s="22" t="s">
        <v>1849</v>
      </c>
      <c r="Y134" s="9" t="s">
        <v>435</v>
      </c>
      <c r="Z134" s="48"/>
      <c r="AA134" s="48"/>
      <c r="AB134" s="6" t="s">
        <v>80</v>
      </c>
      <c r="AC134" s="95" t="s">
        <v>1305</v>
      </c>
      <c r="AD134" s="48"/>
      <c r="AE134" s="48"/>
      <c r="AF134" s="48"/>
      <c r="AG134" s="48"/>
    </row>
    <row r="135">
      <c r="A135" s="48"/>
      <c r="D135" s="10"/>
      <c r="E135" s="9" t="s">
        <v>435</v>
      </c>
      <c r="G135" s="48"/>
      <c r="I135" s="33"/>
      <c r="J135" s="444"/>
      <c r="K135" s="9" t="s">
        <v>435</v>
      </c>
      <c r="L135" s="4"/>
      <c r="M135" s="48"/>
      <c r="N135" s="6" t="s">
        <v>95</v>
      </c>
      <c r="O135" s="10"/>
      <c r="P135" s="33" t="s">
        <v>1507</v>
      </c>
      <c r="Q135" s="99"/>
      <c r="R135" s="9" t="s">
        <v>435</v>
      </c>
      <c r="T135" s="48"/>
      <c r="U135" s="6" t="s">
        <v>95</v>
      </c>
      <c r="V135" s="22" t="s">
        <v>1168</v>
      </c>
      <c r="W135" s="9" t="s">
        <v>435</v>
      </c>
      <c r="X135" s="22" t="s">
        <v>1850</v>
      </c>
      <c r="Y135" s="9" t="s">
        <v>435</v>
      </c>
      <c r="Z135" s="48"/>
      <c r="AA135" s="48"/>
      <c r="AB135" s="6" t="s">
        <v>95</v>
      </c>
      <c r="AC135" s="22" t="s">
        <v>128</v>
      </c>
      <c r="AD135" s="48"/>
      <c r="AE135" s="48"/>
      <c r="AF135" s="48"/>
      <c r="AG135" s="48"/>
    </row>
    <row r="136">
      <c r="A136" s="48"/>
      <c r="B136" s="445">
        <v>45931.0</v>
      </c>
      <c r="C136" s="445">
        <v>45932.0</v>
      </c>
      <c r="D136" s="390">
        <v>45933.0</v>
      </c>
      <c r="E136" s="48"/>
      <c r="F136" s="48"/>
      <c r="G136" s="172"/>
      <c r="H136" s="445">
        <v>45937.0</v>
      </c>
      <c r="I136" s="445">
        <v>45938.0</v>
      </c>
      <c r="J136" s="445">
        <v>45939.0</v>
      </c>
      <c r="K136" s="390">
        <v>45940.0</v>
      </c>
      <c r="L136" s="48"/>
      <c r="M136" s="48"/>
      <c r="N136" s="172"/>
      <c r="O136" s="390">
        <v>45944.0</v>
      </c>
      <c r="P136" s="391" t="s">
        <v>1851</v>
      </c>
      <c r="Q136" s="390">
        <v>45946.0</v>
      </c>
      <c r="R136" s="390">
        <v>45947.0</v>
      </c>
      <c r="S136" s="48"/>
      <c r="T136" s="1"/>
      <c r="U136" s="172"/>
      <c r="V136" s="390">
        <v>45951.0</v>
      </c>
      <c r="W136" s="391" t="s">
        <v>1852</v>
      </c>
      <c r="X136" s="390">
        <v>45953.0</v>
      </c>
      <c r="Y136" s="390">
        <v>45954.0</v>
      </c>
      <c r="Z136" s="391" t="s">
        <v>1800</v>
      </c>
      <c r="AA136" s="1"/>
      <c r="AB136" s="172"/>
      <c r="AC136" s="390">
        <v>45958.0</v>
      </c>
      <c r="AD136" s="391" t="s">
        <v>1853</v>
      </c>
      <c r="AE136" s="390">
        <v>45960.0</v>
      </c>
      <c r="AF136" s="390">
        <v>45961.0</v>
      </c>
      <c r="AG136" s="48"/>
    </row>
    <row r="137">
      <c r="A137" s="6" t="s">
        <v>0</v>
      </c>
      <c r="B137" s="59" t="s">
        <v>168</v>
      </c>
      <c r="C137" s="329" t="s">
        <v>435</v>
      </c>
      <c r="E137" s="48"/>
      <c r="F137" s="48"/>
      <c r="G137" s="32" t="s">
        <v>0</v>
      </c>
      <c r="H137" s="329"/>
      <c r="I137" s="10"/>
      <c r="J137" s="329"/>
      <c r="K137" s="10" t="s">
        <v>1289</v>
      </c>
      <c r="L137" s="48"/>
      <c r="M137" s="68"/>
      <c r="N137" s="32" t="s">
        <v>0</v>
      </c>
      <c r="O137" s="329" t="s">
        <v>435</v>
      </c>
      <c r="P137" s="10"/>
      <c r="Q137" s="329" t="s">
        <v>435</v>
      </c>
      <c r="R137" s="272" t="s">
        <v>1854</v>
      </c>
      <c r="S137" s="68"/>
      <c r="T137" s="68"/>
      <c r="U137" s="32" t="s">
        <v>0</v>
      </c>
      <c r="V137" s="33" t="s">
        <v>1467</v>
      </c>
      <c r="W137" s="59"/>
      <c r="X137" s="329" t="s">
        <v>435</v>
      </c>
      <c r="Y137" s="91" t="s">
        <v>893</v>
      </c>
      <c r="Z137" s="43" t="s">
        <v>1720</v>
      </c>
      <c r="AA137" s="68"/>
      <c r="AB137" s="32" t="s">
        <v>0</v>
      </c>
      <c r="AC137" s="329" t="s">
        <v>435</v>
      </c>
      <c r="AD137" s="392" t="s">
        <v>1855</v>
      </c>
      <c r="AE137" s="329" t="s">
        <v>435</v>
      </c>
      <c r="AF137" s="36" t="s">
        <v>893</v>
      </c>
      <c r="AG137" s="48"/>
    </row>
    <row r="138">
      <c r="A138" s="6" t="s">
        <v>5</v>
      </c>
      <c r="B138" s="10" t="s">
        <v>20</v>
      </c>
      <c r="C138" s="329" t="s">
        <v>435</v>
      </c>
      <c r="D138" s="10" t="s">
        <v>975</v>
      </c>
      <c r="E138" s="48"/>
      <c r="F138" s="48"/>
      <c r="G138" s="6" t="s">
        <v>5</v>
      </c>
      <c r="H138" s="230" t="s">
        <v>1037</v>
      </c>
      <c r="J138" s="329" t="s">
        <v>435</v>
      </c>
      <c r="K138" s="10" t="s">
        <v>1304</v>
      </c>
      <c r="L138" s="48"/>
      <c r="M138" s="68"/>
      <c r="N138" s="6" t="s">
        <v>5</v>
      </c>
      <c r="O138" s="329" t="s">
        <v>435</v>
      </c>
      <c r="P138" s="10" t="s">
        <v>1388</v>
      </c>
      <c r="Q138" s="329" t="s">
        <v>435</v>
      </c>
      <c r="R138" s="272" t="s">
        <v>1854</v>
      </c>
      <c r="S138" s="68"/>
      <c r="T138" s="68"/>
      <c r="U138" s="6" t="s">
        <v>5</v>
      </c>
      <c r="V138" s="329" t="s">
        <v>435</v>
      </c>
      <c r="W138" s="10" t="s">
        <v>896</v>
      </c>
      <c r="X138" s="329" t="s">
        <v>435</v>
      </c>
      <c r="Y138" s="393"/>
      <c r="AA138" s="68"/>
      <c r="AB138" s="6" t="s">
        <v>5</v>
      </c>
      <c r="AC138" s="329" t="s">
        <v>435</v>
      </c>
      <c r="AD138" s="394"/>
      <c r="AE138" s="329" t="s">
        <v>435</v>
      </c>
      <c r="AF138" s="10" t="s">
        <v>1304</v>
      </c>
      <c r="AG138" s="48"/>
    </row>
    <row r="139" ht="18.0" customHeight="1">
      <c r="A139" s="6" t="s">
        <v>13</v>
      </c>
      <c r="B139" s="22" t="s">
        <v>792</v>
      </c>
      <c r="C139" s="329" t="s">
        <v>435</v>
      </c>
      <c r="D139" s="10"/>
      <c r="E139" s="48"/>
      <c r="F139" s="48"/>
      <c r="G139" s="6" t="s">
        <v>13</v>
      </c>
      <c r="H139" s="329" t="s">
        <v>435</v>
      </c>
      <c r="I139" s="10"/>
      <c r="J139" s="329" t="s">
        <v>435</v>
      </c>
      <c r="K139" s="10" t="s">
        <v>975</v>
      </c>
      <c r="L139" s="48"/>
      <c r="M139" s="68"/>
      <c r="N139" s="6" t="s">
        <v>13</v>
      </c>
      <c r="O139" s="329" t="s">
        <v>435</v>
      </c>
      <c r="P139" s="22"/>
      <c r="Q139" s="329" t="s">
        <v>435</v>
      </c>
      <c r="R139" s="272" t="s">
        <v>1854</v>
      </c>
      <c r="S139" s="68"/>
      <c r="T139" s="68"/>
      <c r="U139" s="6" t="s">
        <v>13</v>
      </c>
      <c r="V139" s="329" t="s">
        <v>435</v>
      </c>
      <c r="W139" s="10" t="s">
        <v>16</v>
      </c>
      <c r="X139" s="329" t="s">
        <v>435</v>
      </c>
      <c r="Y139" s="56" t="s">
        <v>921</v>
      </c>
      <c r="AA139" s="68"/>
      <c r="AB139" s="6" t="s">
        <v>13</v>
      </c>
      <c r="AC139" s="329" t="s">
        <v>435</v>
      </c>
      <c r="AD139" s="59"/>
      <c r="AE139" s="329" t="s">
        <v>435</v>
      </c>
      <c r="AF139" s="15" t="s">
        <v>825</v>
      </c>
      <c r="AG139" s="48"/>
    </row>
    <row r="140">
      <c r="A140" s="6" t="s">
        <v>19</v>
      </c>
      <c r="B140" s="47"/>
      <c r="C140" s="329" t="s">
        <v>435</v>
      </c>
      <c r="D140" s="10" t="s">
        <v>16</v>
      </c>
      <c r="E140" s="48"/>
      <c r="F140" s="48"/>
      <c r="G140" s="6" t="s">
        <v>19</v>
      </c>
      <c r="H140" s="329" t="s">
        <v>435</v>
      </c>
      <c r="I140" s="254" t="s">
        <v>1183</v>
      </c>
      <c r="J140" s="329" t="s">
        <v>435</v>
      </c>
      <c r="K140" s="10" t="s">
        <v>118</v>
      </c>
      <c r="L140" s="48"/>
      <c r="M140" s="68"/>
      <c r="N140" s="6" t="s">
        <v>19</v>
      </c>
      <c r="O140" s="329" t="s">
        <v>435</v>
      </c>
      <c r="P140" s="22" t="s">
        <v>893</v>
      </c>
      <c r="Q140" s="329" t="s">
        <v>435</v>
      </c>
      <c r="R140" s="272" t="s">
        <v>1854</v>
      </c>
      <c r="S140" s="68"/>
      <c r="T140" s="68"/>
      <c r="U140" s="6" t="s">
        <v>19</v>
      </c>
      <c r="V140" s="329" t="s">
        <v>435</v>
      </c>
      <c r="X140" s="329" t="s">
        <v>435</v>
      </c>
      <c r="Y140" s="395"/>
      <c r="AA140" s="68"/>
      <c r="AB140" s="6" t="s">
        <v>19</v>
      </c>
      <c r="AC140" s="329" t="s">
        <v>435</v>
      </c>
      <c r="AD140" s="10"/>
      <c r="AE140" s="329" t="s">
        <v>435</v>
      </c>
      <c r="AF140" s="257" t="s">
        <v>1199</v>
      </c>
      <c r="AG140" s="48"/>
    </row>
    <row r="141">
      <c r="A141" s="32" t="s">
        <v>27</v>
      </c>
      <c r="B141" s="10" t="s">
        <v>118</v>
      </c>
      <c r="C141" s="329" t="s">
        <v>435</v>
      </c>
      <c r="D141" s="10"/>
      <c r="E141" s="48"/>
      <c r="F141" s="48"/>
      <c r="G141" s="32" t="s">
        <v>27</v>
      </c>
      <c r="H141" s="329" t="s">
        <v>435</v>
      </c>
      <c r="J141" s="329" t="s">
        <v>435</v>
      </c>
      <c r="K141" s="10" t="s">
        <v>40</v>
      </c>
      <c r="L141" s="48"/>
      <c r="M141" s="68"/>
      <c r="N141" s="32" t="s">
        <v>27</v>
      </c>
      <c r="O141" s="329" t="s">
        <v>435</v>
      </c>
      <c r="P141" s="10"/>
      <c r="Q141" s="329" t="s">
        <v>435</v>
      </c>
      <c r="R141" s="272" t="s">
        <v>1854</v>
      </c>
      <c r="S141" s="68"/>
      <c r="T141" s="68"/>
      <c r="U141" s="32" t="s">
        <v>27</v>
      </c>
      <c r="V141" s="329" t="s">
        <v>435</v>
      </c>
      <c r="W141" s="280"/>
      <c r="X141" s="329" t="s">
        <v>435</v>
      </c>
      <c r="Y141" s="396" t="s">
        <v>1856</v>
      </c>
      <c r="AA141" s="68"/>
      <c r="AB141" s="32" t="s">
        <v>27</v>
      </c>
      <c r="AC141" s="329" t="s">
        <v>435</v>
      </c>
      <c r="AD141" s="192"/>
      <c r="AE141" s="329" t="s">
        <v>435</v>
      </c>
      <c r="AF141" s="10" t="s">
        <v>1676</v>
      </c>
      <c r="AG141" s="48"/>
    </row>
    <row r="142">
      <c r="A142" s="32" t="s">
        <v>33</v>
      </c>
      <c r="B142" s="192"/>
      <c r="C142" s="329" t="s">
        <v>435</v>
      </c>
      <c r="D142" s="10" t="s">
        <v>1011</v>
      </c>
      <c r="E142" s="48"/>
      <c r="F142" s="48"/>
      <c r="G142" s="32" t="s">
        <v>33</v>
      </c>
      <c r="H142" s="329" t="s">
        <v>435</v>
      </c>
      <c r="J142" s="329" t="s">
        <v>435</v>
      </c>
      <c r="K142" s="10" t="s">
        <v>1352</v>
      </c>
      <c r="L142" s="48"/>
      <c r="M142" s="68"/>
      <c r="N142" s="32" t="s">
        <v>33</v>
      </c>
      <c r="O142" s="329" t="s">
        <v>435</v>
      </c>
      <c r="Q142" s="329" t="s">
        <v>435</v>
      </c>
      <c r="R142" s="272" t="s">
        <v>1854</v>
      </c>
      <c r="S142" s="68"/>
      <c r="T142" s="68"/>
      <c r="U142" s="32" t="s">
        <v>33</v>
      </c>
      <c r="V142" s="329" t="s">
        <v>435</v>
      </c>
      <c r="W142" s="10" t="s">
        <v>959</v>
      </c>
      <c r="X142" s="329" t="s">
        <v>435</v>
      </c>
      <c r="Y142" s="56" t="s">
        <v>1684</v>
      </c>
      <c r="AA142" s="68"/>
      <c r="AB142" s="32" t="s">
        <v>33</v>
      </c>
      <c r="AC142" s="329" t="s">
        <v>435</v>
      </c>
      <c r="AD142" s="12"/>
      <c r="AE142" s="329" t="s">
        <v>435</v>
      </c>
      <c r="AF142" s="56" t="s">
        <v>1684</v>
      </c>
      <c r="AG142" s="48"/>
    </row>
    <row r="143">
      <c r="A143" s="32" t="s">
        <v>39</v>
      </c>
      <c r="B143" s="10"/>
      <c r="C143" s="10" t="s">
        <v>57</v>
      </c>
      <c r="D143" s="9" t="s">
        <v>435</v>
      </c>
      <c r="E143" s="48"/>
      <c r="F143" s="48"/>
      <c r="G143" s="32" t="s">
        <v>39</v>
      </c>
      <c r="H143" s="10" t="s">
        <v>863</v>
      </c>
      <c r="I143" s="329" t="s">
        <v>435</v>
      </c>
      <c r="J143" s="10"/>
      <c r="K143" s="329" t="s">
        <v>435</v>
      </c>
      <c r="L143" s="48"/>
      <c r="M143" s="68"/>
      <c r="N143" s="32" t="s">
        <v>39</v>
      </c>
      <c r="O143" s="10" t="s">
        <v>744</v>
      </c>
      <c r="P143" s="33"/>
      <c r="Q143" s="22" t="s">
        <v>1412</v>
      </c>
      <c r="R143" s="329" t="s">
        <v>435</v>
      </c>
      <c r="S143" s="68"/>
      <c r="T143" s="68"/>
      <c r="U143" s="32" t="s">
        <v>39</v>
      </c>
      <c r="V143" s="22" t="s">
        <v>1478</v>
      </c>
      <c r="W143" s="329" t="s">
        <v>435</v>
      </c>
      <c r="X143" s="22"/>
      <c r="Y143" s="10" t="s">
        <v>1131</v>
      </c>
      <c r="AA143" s="68"/>
      <c r="AB143" s="32" t="s">
        <v>39</v>
      </c>
      <c r="AC143" s="16" t="s">
        <v>1569</v>
      </c>
      <c r="AD143" s="329" t="s">
        <v>435</v>
      </c>
      <c r="AE143" s="16" t="s">
        <v>58</v>
      </c>
      <c r="AF143" s="33"/>
      <c r="AG143" s="48"/>
    </row>
    <row r="144">
      <c r="A144" s="6" t="s">
        <v>45</v>
      </c>
      <c r="B144" s="9" t="s">
        <v>435</v>
      </c>
      <c r="C144" s="10" t="s">
        <v>871</v>
      </c>
      <c r="D144" s="9" t="s">
        <v>435</v>
      </c>
      <c r="E144" s="48"/>
      <c r="F144" s="48"/>
      <c r="G144" s="6" t="s">
        <v>45</v>
      </c>
      <c r="H144" s="10" t="s">
        <v>68</v>
      </c>
      <c r="I144" s="329" t="s">
        <v>435</v>
      </c>
      <c r="J144" s="10" t="s">
        <v>57</v>
      </c>
      <c r="K144" s="329" t="s">
        <v>435</v>
      </c>
      <c r="L144" s="48"/>
      <c r="M144" s="68"/>
      <c r="N144" s="6" t="s">
        <v>45</v>
      </c>
      <c r="P144" s="33" t="s">
        <v>1857</v>
      </c>
      <c r="Q144" s="10" t="s">
        <v>1304</v>
      </c>
      <c r="R144" s="329" t="s">
        <v>435</v>
      </c>
      <c r="S144" s="68"/>
      <c r="T144" s="68"/>
      <c r="U144" s="6" t="s">
        <v>45</v>
      </c>
      <c r="V144" s="22" t="s">
        <v>1491</v>
      </c>
      <c r="W144" s="329" t="s">
        <v>435</v>
      </c>
      <c r="X144" s="22" t="s">
        <v>991</v>
      </c>
      <c r="Y144" s="329" t="s">
        <v>435</v>
      </c>
      <c r="AA144" s="68"/>
      <c r="AB144" s="6" t="s">
        <v>45</v>
      </c>
      <c r="AC144" s="16" t="s">
        <v>1574</v>
      </c>
      <c r="AD144" s="329" t="s">
        <v>435</v>
      </c>
      <c r="AE144" s="16" t="s">
        <v>1629</v>
      </c>
      <c r="AF144" s="33"/>
      <c r="AG144" s="48"/>
    </row>
    <row r="145">
      <c r="A145" s="6" t="s">
        <v>54</v>
      </c>
      <c r="B145" s="9" t="s">
        <v>435</v>
      </c>
      <c r="C145" s="10" t="s">
        <v>895</v>
      </c>
      <c r="D145" s="9" t="s">
        <v>435</v>
      </c>
      <c r="E145" s="48"/>
      <c r="F145" s="48"/>
      <c r="G145" s="6" t="s">
        <v>54</v>
      </c>
      <c r="H145" s="10" t="s">
        <v>1090</v>
      </c>
      <c r="I145" s="329" t="s">
        <v>435</v>
      </c>
      <c r="J145" s="10" t="s">
        <v>161</v>
      </c>
      <c r="K145" s="329" t="s">
        <v>435</v>
      </c>
      <c r="L145" s="48"/>
      <c r="M145" s="68"/>
      <c r="N145" s="6" t="s">
        <v>54</v>
      </c>
      <c r="P145" s="329" t="s">
        <v>435</v>
      </c>
      <c r="Q145" s="10" t="s">
        <v>1438</v>
      </c>
      <c r="R145" s="329" t="s">
        <v>435</v>
      </c>
      <c r="S145" s="68"/>
      <c r="T145" s="68"/>
      <c r="U145" s="6" t="s">
        <v>54</v>
      </c>
      <c r="V145" s="10" t="s">
        <v>1257</v>
      </c>
      <c r="W145" s="329" t="s">
        <v>435</v>
      </c>
      <c r="X145" s="10" t="s">
        <v>1052</v>
      </c>
      <c r="Y145" s="329" t="s">
        <v>435</v>
      </c>
      <c r="AA145" s="68"/>
      <c r="AB145" s="6" t="s">
        <v>54</v>
      </c>
      <c r="AC145" s="12"/>
      <c r="AD145" s="329" t="s">
        <v>435</v>
      </c>
      <c r="AE145" s="22" t="s">
        <v>1344</v>
      </c>
      <c r="AF145" s="329" t="s">
        <v>435</v>
      </c>
      <c r="AG145" s="48"/>
    </row>
    <row r="146">
      <c r="A146" s="6" t="s">
        <v>64</v>
      </c>
      <c r="B146" s="9" t="s">
        <v>435</v>
      </c>
      <c r="D146" s="9" t="s">
        <v>435</v>
      </c>
      <c r="E146" s="48"/>
      <c r="F146" s="48"/>
      <c r="G146" s="6" t="s">
        <v>64</v>
      </c>
      <c r="H146" s="22" t="s">
        <v>1106</v>
      </c>
      <c r="I146" s="329" t="s">
        <v>435</v>
      </c>
      <c r="J146" s="10" t="s">
        <v>1225</v>
      </c>
      <c r="K146" s="329" t="s">
        <v>435</v>
      </c>
      <c r="L146" s="48"/>
      <c r="M146" s="68"/>
      <c r="N146" s="32" t="s">
        <v>1794</v>
      </c>
      <c r="O146" s="10" t="s">
        <v>1379</v>
      </c>
      <c r="P146" s="329" t="s">
        <v>435</v>
      </c>
      <c r="Q146" s="10"/>
      <c r="R146" s="329" t="s">
        <v>435</v>
      </c>
      <c r="S146" s="68"/>
      <c r="T146" s="68"/>
      <c r="U146" s="6" t="s">
        <v>64</v>
      </c>
      <c r="V146" s="22" t="s">
        <v>1091</v>
      </c>
      <c r="W146" s="329" t="s">
        <v>435</v>
      </c>
      <c r="X146" s="59"/>
      <c r="Y146" s="329" t="s">
        <v>435</v>
      </c>
      <c r="AA146" s="68"/>
      <c r="AB146" s="6" t="s">
        <v>64</v>
      </c>
      <c r="AC146" s="16" t="s">
        <v>171</v>
      </c>
      <c r="AD146" s="329" t="s">
        <v>435</v>
      </c>
      <c r="AF146" s="329" t="s">
        <v>435</v>
      </c>
      <c r="AG146" s="48"/>
    </row>
    <row r="147" ht="17.25" customHeight="1">
      <c r="A147" s="6" t="s">
        <v>71</v>
      </c>
      <c r="B147" s="9" t="s">
        <v>435</v>
      </c>
      <c r="C147" s="22" t="s">
        <v>171</v>
      </c>
      <c r="D147" s="9" t="s">
        <v>435</v>
      </c>
      <c r="E147" s="48"/>
      <c r="F147" s="48"/>
      <c r="G147" s="6" t="s">
        <v>71</v>
      </c>
      <c r="H147" s="243" t="s">
        <v>1130</v>
      </c>
      <c r="I147" s="329" t="s">
        <v>435</v>
      </c>
      <c r="J147" s="10" t="s">
        <v>1108</v>
      </c>
      <c r="K147" s="329" t="s">
        <v>435</v>
      </c>
      <c r="L147" s="48"/>
      <c r="M147" s="68"/>
      <c r="N147" s="6" t="s">
        <v>71</v>
      </c>
      <c r="P147" s="329" t="s">
        <v>435</v>
      </c>
      <c r="Q147" s="10" t="s">
        <v>824</v>
      </c>
      <c r="R147" s="329" t="s">
        <v>435</v>
      </c>
      <c r="S147" s="68"/>
      <c r="T147" s="68"/>
      <c r="U147" s="6" t="s">
        <v>71</v>
      </c>
      <c r="V147" s="10" t="s">
        <v>1500</v>
      </c>
      <c r="W147" s="33" t="s">
        <v>1858</v>
      </c>
      <c r="X147" s="22" t="s">
        <v>1563</v>
      </c>
      <c r="Y147" s="329" t="s">
        <v>435</v>
      </c>
      <c r="AA147" s="68"/>
      <c r="AB147" s="6" t="s">
        <v>71</v>
      </c>
      <c r="AC147" s="16" t="s">
        <v>1055</v>
      </c>
      <c r="AD147" s="329" t="s">
        <v>435</v>
      </c>
      <c r="AE147" s="10" t="s">
        <v>744</v>
      </c>
      <c r="AF147" s="329" t="s">
        <v>435</v>
      </c>
      <c r="AG147" s="48"/>
    </row>
    <row r="148">
      <c r="A148" s="6" t="s">
        <v>80</v>
      </c>
      <c r="B148" s="9" t="s">
        <v>435</v>
      </c>
      <c r="C148" s="22" t="s">
        <v>870</v>
      </c>
      <c r="D148" s="9" t="s">
        <v>435</v>
      </c>
      <c r="E148" s="48"/>
      <c r="F148" s="48"/>
      <c r="G148" s="6" t="s">
        <v>80</v>
      </c>
      <c r="H148" s="246" t="s">
        <v>174</v>
      </c>
      <c r="I148" s="329" t="s">
        <v>435</v>
      </c>
      <c r="J148" s="22" t="s">
        <v>1256</v>
      </c>
      <c r="K148" s="329" t="s">
        <v>435</v>
      </c>
      <c r="L148" s="48"/>
      <c r="M148" s="48"/>
      <c r="N148" s="6" t="s">
        <v>80</v>
      </c>
      <c r="P148" s="329" t="s">
        <v>435</v>
      </c>
      <c r="R148" s="329" t="s">
        <v>435</v>
      </c>
      <c r="S148" s="48"/>
      <c r="T148" s="48"/>
      <c r="U148" s="6" t="s">
        <v>80</v>
      </c>
      <c r="V148" s="22" t="s">
        <v>1518</v>
      </c>
      <c r="W148" s="329" t="s">
        <v>435</v>
      </c>
      <c r="X148" s="397"/>
      <c r="Y148" s="329" t="s">
        <v>435</v>
      </c>
      <c r="AA148" s="48"/>
      <c r="AB148" s="6" t="s">
        <v>80</v>
      </c>
      <c r="AC148" s="10" t="s">
        <v>117</v>
      </c>
      <c r="AD148" s="329" t="s">
        <v>435</v>
      </c>
      <c r="AE148" s="10" t="s">
        <v>1643</v>
      </c>
      <c r="AF148" s="329" t="s">
        <v>435</v>
      </c>
      <c r="AG148" s="48"/>
    </row>
    <row r="149">
      <c r="A149" s="6" t="s">
        <v>95</v>
      </c>
      <c r="B149" s="9" t="s">
        <v>435</v>
      </c>
      <c r="C149" s="10" t="s">
        <v>824</v>
      </c>
      <c r="D149" s="9" t="s">
        <v>435</v>
      </c>
      <c r="E149" s="48"/>
      <c r="F149" s="48"/>
      <c r="G149" s="6" t="s">
        <v>95</v>
      </c>
      <c r="H149" s="251" t="s">
        <v>1168</v>
      </c>
      <c r="I149" s="329" t="s">
        <v>435</v>
      </c>
      <c r="J149" s="10" t="s">
        <v>96</v>
      </c>
      <c r="K149" s="329" t="s">
        <v>435</v>
      </c>
      <c r="L149" s="48"/>
      <c r="M149" s="48"/>
      <c r="N149" s="6" t="s">
        <v>95</v>
      </c>
      <c r="O149" s="199"/>
      <c r="P149" s="329" t="s">
        <v>435</v>
      </c>
      <c r="Q149" s="10" t="s">
        <v>1460</v>
      </c>
      <c r="R149" s="329" t="s">
        <v>435</v>
      </c>
      <c r="S149" s="48"/>
      <c r="T149" s="48"/>
      <c r="U149" s="6" t="s">
        <v>95</v>
      </c>
      <c r="V149" s="99"/>
      <c r="W149" s="329" t="s">
        <v>435</v>
      </c>
      <c r="X149" s="398"/>
      <c r="Y149" s="329" t="s">
        <v>435</v>
      </c>
      <c r="AA149" s="48"/>
      <c r="AB149" s="6" t="s">
        <v>95</v>
      </c>
      <c r="AC149" s="16" t="s">
        <v>1611</v>
      </c>
      <c r="AD149" s="329" t="s">
        <v>435</v>
      </c>
      <c r="AE149" s="16" t="s">
        <v>1650</v>
      </c>
      <c r="AF149" s="329" t="s">
        <v>435</v>
      </c>
      <c r="AG149" s="48"/>
    </row>
    <row r="150">
      <c r="F150" s="48"/>
      <c r="G150" s="48"/>
      <c r="L150" s="48"/>
      <c r="M150" s="48"/>
      <c r="S150" s="48"/>
      <c r="T150" s="1"/>
      <c r="V150" s="446">
        <v>45986.0</v>
      </c>
      <c r="W150" s="446">
        <v>45987.0</v>
      </c>
      <c r="X150" s="446">
        <v>45988.0</v>
      </c>
      <c r="Y150" s="399">
        <v>45989.0</v>
      </c>
      <c r="Z150" s="48"/>
      <c r="AA150" s="48"/>
      <c r="AB150" s="48"/>
      <c r="AC150" s="48"/>
      <c r="AD150" s="48"/>
      <c r="AE150" s="48"/>
      <c r="AF150" s="48"/>
      <c r="AG150" s="48"/>
    </row>
    <row r="151">
      <c r="A151" s="172"/>
      <c r="B151" s="446">
        <v>45965.0</v>
      </c>
      <c r="C151" s="446">
        <v>45966.0</v>
      </c>
      <c r="D151" s="446">
        <v>45967.0</v>
      </c>
      <c r="E151" s="399">
        <v>45968.0</v>
      </c>
      <c r="F151" s="48"/>
      <c r="H151" s="446">
        <v>45972.0</v>
      </c>
      <c r="I151" s="446">
        <v>45973.0</v>
      </c>
      <c r="J151" s="446">
        <v>45974.0</v>
      </c>
      <c r="K151" s="399">
        <v>45975.0</v>
      </c>
      <c r="L151" s="48"/>
      <c r="M151" s="68"/>
      <c r="N151" s="1"/>
      <c r="O151" s="446">
        <v>45979.0</v>
      </c>
      <c r="P151" s="446">
        <v>45980.0</v>
      </c>
      <c r="Q151" s="446">
        <v>45981.0</v>
      </c>
      <c r="R151" s="399">
        <v>45982.0</v>
      </c>
      <c r="S151" s="447" t="s">
        <v>1859</v>
      </c>
      <c r="T151" s="68"/>
      <c r="U151" s="32" t="s">
        <v>0</v>
      </c>
      <c r="V151" s="329" t="s">
        <v>435</v>
      </c>
      <c r="W151" s="10" t="s">
        <v>1056</v>
      </c>
      <c r="X151" s="329" t="s">
        <v>435</v>
      </c>
      <c r="Y151" s="56" t="s">
        <v>1712</v>
      </c>
      <c r="Z151" s="48"/>
      <c r="AA151" s="48"/>
      <c r="AB151" s="48"/>
      <c r="AC151" s="48"/>
      <c r="AD151" s="48"/>
      <c r="AE151" s="48"/>
      <c r="AF151" s="48"/>
      <c r="AG151" s="48"/>
    </row>
    <row r="152">
      <c r="A152" s="32" t="s">
        <v>0</v>
      </c>
      <c r="B152" s="33"/>
      <c r="C152" s="10" t="s">
        <v>896</v>
      </c>
      <c r="D152" s="329" t="s">
        <v>435</v>
      </c>
      <c r="E152" s="10" t="s">
        <v>1107</v>
      </c>
      <c r="F152" s="48"/>
      <c r="G152" s="32" t="s">
        <v>0</v>
      </c>
      <c r="H152" s="329" t="s">
        <v>435</v>
      </c>
      <c r="I152" s="192"/>
      <c r="J152" s="329" t="s">
        <v>435</v>
      </c>
      <c r="L152" s="48"/>
      <c r="M152" s="68"/>
      <c r="N152" s="32" t="s">
        <v>0</v>
      </c>
      <c r="O152" s="329" t="s">
        <v>435</v>
      </c>
      <c r="P152" s="192" t="s">
        <v>896</v>
      </c>
      <c r="Q152" s="329" t="s">
        <v>435</v>
      </c>
      <c r="T152" s="68"/>
      <c r="U152" s="6" t="s">
        <v>5</v>
      </c>
      <c r="V152" s="329" t="s">
        <v>435</v>
      </c>
      <c r="W152" s="10" t="s">
        <v>1665</v>
      </c>
      <c r="X152" s="329" t="s">
        <v>435</v>
      </c>
      <c r="Y152" s="10" t="s">
        <v>1451</v>
      </c>
      <c r="Z152" s="48"/>
      <c r="AA152" s="48"/>
      <c r="AB152" s="48"/>
      <c r="AC152" s="48"/>
      <c r="AD152" s="48"/>
      <c r="AE152" s="48"/>
      <c r="AF152" s="48"/>
      <c r="AG152" s="48"/>
    </row>
    <row r="153" ht="17.25" customHeight="1">
      <c r="A153" s="6" t="s">
        <v>5</v>
      </c>
      <c r="B153" s="448"/>
      <c r="D153" s="329" t="s">
        <v>435</v>
      </c>
      <c r="E153" s="10" t="s">
        <v>1131</v>
      </c>
      <c r="F153" s="48"/>
      <c r="G153" s="6" t="s">
        <v>5</v>
      </c>
      <c r="H153" s="329" t="s">
        <v>435</v>
      </c>
      <c r="I153" s="10" t="s">
        <v>20</v>
      </c>
      <c r="J153" s="329" t="s">
        <v>435</v>
      </c>
      <c r="K153" s="191" t="s">
        <v>1107</v>
      </c>
      <c r="L153" s="48"/>
      <c r="M153" s="68"/>
      <c r="N153" s="6" t="s">
        <v>5</v>
      </c>
      <c r="O153" s="329" t="s">
        <v>435</v>
      </c>
      <c r="P153" s="16" t="s">
        <v>1513</v>
      </c>
      <c r="Q153" s="329" t="s">
        <v>435</v>
      </c>
      <c r="T153" s="68"/>
      <c r="U153" s="6" t="s">
        <v>13</v>
      </c>
      <c r="V153" s="329" t="s">
        <v>435</v>
      </c>
      <c r="W153" s="22" t="s">
        <v>1671</v>
      </c>
      <c r="X153" s="329" t="s">
        <v>435</v>
      </c>
      <c r="Y153" s="22" t="s">
        <v>921</v>
      </c>
      <c r="Z153" s="48"/>
      <c r="AA153" s="48"/>
      <c r="AB153" s="48"/>
      <c r="AC153" s="48"/>
      <c r="AD153" s="48"/>
      <c r="AE153" s="48"/>
      <c r="AF153" s="48"/>
      <c r="AG153" s="48"/>
    </row>
    <row r="154" ht="18.0" customHeight="1">
      <c r="A154" s="6" t="s">
        <v>13</v>
      </c>
      <c r="B154" s="329" t="s">
        <v>435</v>
      </c>
      <c r="C154" s="56" t="s">
        <v>921</v>
      </c>
      <c r="D154" s="329" t="s">
        <v>435</v>
      </c>
      <c r="E154" s="59" t="s">
        <v>1146</v>
      </c>
      <c r="F154" s="48"/>
      <c r="G154" s="6" t="s">
        <v>13</v>
      </c>
      <c r="H154" s="329" t="s">
        <v>435</v>
      </c>
      <c r="I154" s="10" t="s">
        <v>1146</v>
      </c>
      <c r="J154" s="329" t="s">
        <v>435</v>
      </c>
      <c r="K154" s="22" t="s">
        <v>1413</v>
      </c>
      <c r="L154" s="48"/>
      <c r="M154" s="68"/>
      <c r="N154" s="6" t="s">
        <v>13</v>
      </c>
      <c r="O154" s="329" t="s">
        <v>435</v>
      </c>
      <c r="P154" s="16" t="s">
        <v>20</v>
      </c>
      <c r="Q154" s="329" t="s">
        <v>435</v>
      </c>
      <c r="R154" s="56" t="s">
        <v>1564</v>
      </c>
      <c r="S154" s="22" t="s">
        <v>1612</v>
      </c>
      <c r="T154" s="68"/>
      <c r="U154" s="6" t="s">
        <v>19</v>
      </c>
      <c r="V154" s="28" t="s">
        <v>1860</v>
      </c>
      <c r="W154" s="22" t="s">
        <v>1344</v>
      </c>
      <c r="X154" s="329" t="s">
        <v>435</v>
      </c>
      <c r="Y154" s="10"/>
      <c r="Z154" s="48"/>
      <c r="AA154" s="48"/>
      <c r="AB154" s="48"/>
      <c r="AC154" s="48"/>
      <c r="AD154" s="48"/>
      <c r="AE154" s="48"/>
      <c r="AF154" s="48"/>
      <c r="AG154" s="48"/>
    </row>
    <row r="155">
      <c r="A155" s="6" t="s">
        <v>19</v>
      </c>
      <c r="B155" s="329" t="s">
        <v>435</v>
      </c>
      <c r="C155" s="15" t="s">
        <v>943</v>
      </c>
      <c r="D155" s="329" t="s">
        <v>435</v>
      </c>
      <c r="E155" s="15" t="s">
        <v>1091</v>
      </c>
      <c r="F155" s="48"/>
      <c r="G155" s="6" t="s">
        <v>19</v>
      </c>
      <c r="H155" s="329" t="s">
        <v>435</v>
      </c>
      <c r="I155" s="22" t="s">
        <v>1344</v>
      </c>
      <c r="J155" s="329" t="s">
        <v>435</v>
      </c>
      <c r="K155" s="10" t="s">
        <v>1426</v>
      </c>
      <c r="L155" s="48"/>
      <c r="M155" s="68"/>
      <c r="N155" s="6" t="s">
        <v>19</v>
      </c>
      <c r="O155" s="329" t="s">
        <v>435</v>
      </c>
      <c r="P155" s="10" t="s">
        <v>744</v>
      </c>
      <c r="Q155" s="329" t="s">
        <v>435</v>
      </c>
      <c r="R155" s="10"/>
      <c r="T155" s="68"/>
      <c r="U155" s="32" t="s">
        <v>27</v>
      </c>
      <c r="V155" s="329" t="s">
        <v>435</v>
      </c>
      <c r="W155" s="22" t="s">
        <v>1685</v>
      </c>
      <c r="X155" s="329" t="s">
        <v>435</v>
      </c>
      <c r="Y155" s="22"/>
      <c r="Z155" s="48"/>
      <c r="AA155" s="48"/>
      <c r="AB155" s="48"/>
      <c r="AC155" s="48"/>
      <c r="AD155" s="48"/>
      <c r="AE155" s="48"/>
      <c r="AF155" s="48"/>
      <c r="AG155" s="48"/>
    </row>
    <row r="156">
      <c r="A156" s="32" t="s">
        <v>27</v>
      </c>
      <c r="B156" s="329" t="s">
        <v>435</v>
      </c>
      <c r="C156" s="10" t="s">
        <v>958</v>
      </c>
      <c r="D156" s="329" t="s">
        <v>435</v>
      </c>
      <c r="E156" s="10" t="s">
        <v>1184</v>
      </c>
      <c r="F156" s="48"/>
      <c r="G156" s="32" t="s">
        <v>27</v>
      </c>
      <c r="H156" s="329" t="s">
        <v>435</v>
      </c>
      <c r="I156" s="22" t="s">
        <v>1091</v>
      </c>
      <c r="J156" s="329" t="s">
        <v>435</v>
      </c>
      <c r="K156" s="10" t="s">
        <v>1226</v>
      </c>
      <c r="L156" s="48"/>
      <c r="M156" s="68"/>
      <c r="N156" s="32" t="s">
        <v>27</v>
      </c>
      <c r="O156" s="329" t="s">
        <v>435</v>
      </c>
      <c r="P156" s="329" t="s">
        <v>435</v>
      </c>
      <c r="Q156" s="33" t="s">
        <v>435</v>
      </c>
      <c r="R156" s="16" t="s">
        <v>915</v>
      </c>
      <c r="T156" s="68"/>
      <c r="U156" s="32" t="s">
        <v>33</v>
      </c>
      <c r="V156" s="329" t="s">
        <v>435</v>
      </c>
      <c r="W156" s="22"/>
      <c r="X156" s="329" t="s">
        <v>435</v>
      </c>
      <c r="Y156" s="22" t="s">
        <v>1412</v>
      </c>
      <c r="Z156" s="48"/>
      <c r="AA156" s="48"/>
      <c r="AB156" s="48"/>
      <c r="AC156" s="48"/>
      <c r="AD156" s="48"/>
      <c r="AE156" s="48"/>
      <c r="AF156" s="48"/>
      <c r="AG156" s="48"/>
    </row>
    <row r="157">
      <c r="A157" s="32" t="s">
        <v>33</v>
      </c>
      <c r="B157" s="329" t="s">
        <v>435</v>
      </c>
      <c r="C157" s="10" t="s">
        <v>959</v>
      </c>
      <c r="D157" s="329" t="s">
        <v>435</v>
      </c>
      <c r="E157" s="257" t="s">
        <v>1199</v>
      </c>
      <c r="F157" s="48"/>
      <c r="G157" s="32" t="s">
        <v>33</v>
      </c>
      <c r="H157" s="329" t="s">
        <v>435</v>
      </c>
      <c r="I157" s="15" t="s">
        <v>1370</v>
      </c>
      <c r="J157" s="329" t="s">
        <v>435</v>
      </c>
      <c r="K157" s="10" t="s">
        <v>1450</v>
      </c>
      <c r="L157" s="48"/>
      <c r="M157" s="68"/>
      <c r="N157" s="32" t="s">
        <v>33</v>
      </c>
      <c r="O157" s="329" t="s">
        <v>435</v>
      </c>
      <c r="P157" s="329" t="s">
        <v>435</v>
      </c>
      <c r="Q157" s="33" t="s">
        <v>435</v>
      </c>
      <c r="R157" s="10" t="s">
        <v>1353</v>
      </c>
      <c r="T157" s="68"/>
      <c r="U157" s="32" t="s">
        <v>39</v>
      </c>
      <c r="V157" s="10" t="s">
        <v>68</v>
      </c>
      <c r="W157" s="33"/>
      <c r="X157" s="22" t="s">
        <v>20</v>
      </c>
      <c r="Y157" s="329" t="s">
        <v>435</v>
      </c>
      <c r="Z157" s="48"/>
      <c r="AA157" s="48"/>
      <c r="AB157" s="48"/>
      <c r="AC157" s="48"/>
      <c r="AD157" s="48"/>
      <c r="AE157" s="48"/>
      <c r="AF157" s="48"/>
      <c r="AG157" s="48"/>
    </row>
    <row r="158">
      <c r="A158" s="32" t="s">
        <v>39</v>
      </c>
      <c r="B158" s="16" t="s">
        <v>23</v>
      </c>
      <c r="C158" s="33" t="s">
        <v>435</v>
      </c>
      <c r="E158" s="329" t="s">
        <v>435</v>
      </c>
      <c r="F158" s="48"/>
      <c r="G158" s="32" t="s">
        <v>39</v>
      </c>
      <c r="H158" s="10" t="s">
        <v>68</v>
      </c>
      <c r="I158" s="33" t="s">
        <v>435</v>
      </c>
      <c r="J158" s="22" t="s">
        <v>744</v>
      </c>
      <c r="K158" s="329" t="s">
        <v>435</v>
      </c>
      <c r="L158" s="48"/>
      <c r="M158" s="68"/>
      <c r="N158" s="32" t="s">
        <v>39</v>
      </c>
      <c r="O158" s="10" t="s">
        <v>1056</v>
      </c>
      <c r="P158" s="329" t="s">
        <v>435</v>
      </c>
      <c r="Q158" s="10" t="s">
        <v>1547</v>
      </c>
      <c r="R158" s="449"/>
      <c r="T158" s="68"/>
      <c r="U158" s="6" t="s">
        <v>45</v>
      </c>
      <c r="V158" s="22" t="s">
        <v>1548</v>
      </c>
      <c r="W158" s="329" t="s">
        <v>435</v>
      </c>
      <c r="X158" s="56" t="s">
        <v>791</v>
      </c>
      <c r="Y158" s="329" t="s">
        <v>435</v>
      </c>
      <c r="Z158" s="48"/>
      <c r="AA158" s="48"/>
      <c r="AB158" s="48"/>
      <c r="AC158" s="48"/>
      <c r="AD158" s="48"/>
      <c r="AE158" s="48"/>
      <c r="AF158" s="48"/>
      <c r="AG158" s="48"/>
    </row>
    <row r="159">
      <c r="A159" s="6" t="s">
        <v>45</v>
      </c>
      <c r="B159" s="15" t="s">
        <v>57</v>
      </c>
      <c r="C159" s="329" t="s">
        <v>435</v>
      </c>
      <c r="D159" s="59" t="s">
        <v>68</v>
      </c>
      <c r="E159" s="33" t="s">
        <v>435</v>
      </c>
      <c r="F159" s="48"/>
      <c r="G159" s="6" t="s">
        <v>45</v>
      </c>
      <c r="H159" s="10" t="s">
        <v>23</v>
      </c>
      <c r="I159" s="33" t="s">
        <v>435</v>
      </c>
      <c r="J159" s="22" t="s">
        <v>991</v>
      </c>
      <c r="K159" s="329" t="s">
        <v>435</v>
      </c>
      <c r="L159" s="48"/>
      <c r="M159" s="68"/>
      <c r="N159" s="6" t="s">
        <v>45</v>
      </c>
      <c r="O159" s="10" t="s">
        <v>1106</v>
      </c>
      <c r="P159" s="329" t="s">
        <v>435</v>
      </c>
      <c r="R159" s="450" t="s">
        <v>435</v>
      </c>
      <c r="S159" s="451"/>
      <c r="T159" s="68"/>
      <c r="U159" s="6" t="s">
        <v>54</v>
      </c>
      <c r="V159" s="22" t="s">
        <v>793</v>
      </c>
      <c r="W159" s="329" t="s">
        <v>435</v>
      </c>
      <c r="X159" s="56" t="s">
        <v>1088</v>
      </c>
      <c r="Y159" s="329" t="s">
        <v>435</v>
      </c>
      <c r="Z159" s="48"/>
      <c r="AA159" s="48"/>
      <c r="AB159" s="48"/>
      <c r="AC159" s="48"/>
      <c r="AD159" s="48"/>
      <c r="AE159" s="48"/>
      <c r="AF159" s="48"/>
      <c r="AG159" s="48"/>
    </row>
    <row r="160">
      <c r="A160" s="6" t="s">
        <v>54</v>
      </c>
      <c r="B160" s="280"/>
      <c r="C160" s="329" t="s">
        <v>435</v>
      </c>
      <c r="D160" s="10" t="s">
        <v>161</v>
      </c>
      <c r="E160" s="33" t="s">
        <v>435</v>
      </c>
      <c r="F160" s="48"/>
      <c r="G160" s="6" t="s">
        <v>54</v>
      </c>
      <c r="H160" s="22" t="s">
        <v>1239</v>
      </c>
      <c r="I160" s="33" t="s">
        <v>435</v>
      </c>
      <c r="J160" s="22" t="s">
        <v>1861</v>
      </c>
      <c r="K160" s="329" t="s">
        <v>435</v>
      </c>
      <c r="L160" s="48"/>
      <c r="M160" s="68"/>
      <c r="N160" s="6" t="s">
        <v>54</v>
      </c>
      <c r="O160" s="10" t="s">
        <v>1479</v>
      </c>
      <c r="P160" s="16" t="s">
        <v>1091</v>
      </c>
      <c r="Q160" s="16" t="s">
        <v>1553</v>
      </c>
      <c r="R160" s="450" t="s">
        <v>435</v>
      </c>
      <c r="S160" s="451"/>
      <c r="T160" s="68"/>
      <c r="U160" s="6" t="s">
        <v>64</v>
      </c>
      <c r="V160" s="192" t="s">
        <v>1257</v>
      </c>
      <c r="W160" s="329" t="s">
        <v>435</v>
      </c>
      <c r="X160" s="10" t="s">
        <v>1561</v>
      </c>
      <c r="Y160" s="329" t="s">
        <v>435</v>
      </c>
      <c r="Z160" s="48"/>
      <c r="AA160" s="48"/>
      <c r="AB160" s="48"/>
      <c r="AC160" s="48"/>
      <c r="AD160" s="48"/>
      <c r="AE160" s="48"/>
      <c r="AF160" s="48"/>
      <c r="AG160" s="48"/>
    </row>
    <row r="161">
      <c r="A161" s="6" t="s">
        <v>64</v>
      </c>
      <c r="B161" s="22" t="s">
        <v>2</v>
      </c>
      <c r="C161" s="329" t="s">
        <v>435</v>
      </c>
      <c r="D161" s="10" t="s">
        <v>1038</v>
      </c>
      <c r="E161" s="329" t="s">
        <v>435</v>
      </c>
      <c r="F161" s="48"/>
      <c r="G161" s="428">
        <v>0.7083333333333334</v>
      </c>
      <c r="H161" s="10" t="s">
        <v>1257</v>
      </c>
      <c r="I161" s="329" t="s">
        <v>435</v>
      </c>
      <c r="J161" s="22" t="s">
        <v>1862</v>
      </c>
      <c r="K161" s="329" t="s">
        <v>435</v>
      </c>
      <c r="L161" s="48"/>
      <c r="M161" s="68"/>
      <c r="N161" s="32" t="s">
        <v>1794</v>
      </c>
      <c r="O161" s="10" t="s">
        <v>40</v>
      </c>
      <c r="P161" s="329" t="s">
        <v>435</v>
      </c>
      <c r="R161" s="450" t="s">
        <v>435</v>
      </c>
      <c r="T161" s="68"/>
      <c r="U161" s="6" t="s">
        <v>71</v>
      </c>
      <c r="V161" s="10" t="s">
        <v>1169</v>
      </c>
      <c r="W161" s="329" t="s">
        <v>435</v>
      </c>
      <c r="X161" s="10" t="s">
        <v>1701</v>
      </c>
      <c r="Y161" s="329" t="s">
        <v>435</v>
      </c>
      <c r="Z161" s="48"/>
      <c r="AA161" s="48"/>
      <c r="AB161" s="48"/>
      <c r="AC161" s="48"/>
      <c r="AD161" s="48"/>
      <c r="AE161" s="48"/>
      <c r="AF161" s="48"/>
      <c r="AG161" s="48"/>
    </row>
    <row r="162">
      <c r="A162" s="6" t="s">
        <v>71</v>
      </c>
      <c r="B162" s="16" t="s">
        <v>820</v>
      </c>
      <c r="C162" s="329" t="s">
        <v>435</v>
      </c>
      <c r="D162" s="16" t="s">
        <v>1055</v>
      </c>
      <c r="E162" s="329" t="s">
        <v>435</v>
      </c>
      <c r="F162" s="48"/>
      <c r="G162" s="428">
        <v>0.75</v>
      </c>
      <c r="H162" s="10" t="s">
        <v>1265</v>
      </c>
      <c r="I162" s="194" t="s">
        <v>1380</v>
      </c>
      <c r="J162" s="10" t="s">
        <v>1863</v>
      </c>
      <c r="K162" s="329" t="s">
        <v>435</v>
      </c>
      <c r="L162" s="48"/>
      <c r="M162" s="48"/>
      <c r="N162" s="32" t="s">
        <v>1791</v>
      </c>
      <c r="O162" s="16" t="s">
        <v>841</v>
      </c>
      <c r="P162" s="329" t="s">
        <v>435</v>
      </c>
      <c r="Q162" s="22" t="s">
        <v>1561</v>
      </c>
      <c r="R162" s="452" t="s">
        <v>1593</v>
      </c>
      <c r="T162" s="48"/>
      <c r="U162" s="6" t="s">
        <v>80</v>
      </c>
      <c r="V162" s="10" t="s">
        <v>140</v>
      </c>
      <c r="W162" s="76" t="s">
        <v>435</v>
      </c>
      <c r="X162" s="10" t="s">
        <v>1707</v>
      </c>
      <c r="Y162" s="329" t="s">
        <v>435</v>
      </c>
      <c r="Z162" s="48"/>
      <c r="AA162" s="48"/>
      <c r="AB162" s="48"/>
      <c r="AC162" s="48"/>
      <c r="AD162" s="48"/>
      <c r="AE162" s="48"/>
      <c r="AF162" s="48"/>
      <c r="AG162" s="48"/>
    </row>
    <row r="163">
      <c r="A163" s="6" t="s">
        <v>80</v>
      </c>
      <c r="B163" s="59" t="s">
        <v>847</v>
      </c>
      <c r="C163" s="329" t="s">
        <v>435</v>
      </c>
      <c r="D163" s="10" t="s">
        <v>1074</v>
      </c>
      <c r="E163" s="329" t="s">
        <v>435</v>
      </c>
      <c r="F163" s="48"/>
      <c r="G163" s="32" t="s">
        <v>1805</v>
      </c>
      <c r="H163" s="22" t="s">
        <v>1290</v>
      </c>
      <c r="I163" s="10" t="s">
        <v>1389</v>
      </c>
      <c r="J163" s="329" t="s">
        <v>435</v>
      </c>
      <c r="K163" s="329" t="s">
        <v>435</v>
      </c>
      <c r="L163" s="48"/>
      <c r="M163" s="48"/>
      <c r="N163" s="6" t="s">
        <v>80</v>
      </c>
      <c r="O163" s="329" t="s">
        <v>435</v>
      </c>
      <c r="P163" s="329" t="s">
        <v>435</v>
      </c>
      <c r="Q163" s="329" t="s">
        <v>435</v>
      </c>
      <c r="R163" s="16" t="s">
        <v>1319</v>
      </c>
      <c r="T163" s="48"/>
      <c r="U163" s="6" t="s">
        <v>95</v>
      </c>
      <c r="V163" s="22" t="s">
        <v>1656</v>
      </c>
      <c r="W163" s="76"/>
      <c r="Y163" s="329" t="s">
        <v>435</v>
      </c>
      <c r="Z163" s="48"/>
      <c r="AA163" s="48"/>
      <c r="AB163" s="48"/>
      <c r="AC163" s="48"/>
      <c r="AD163" s="48"/>
      <c r="AE163" s="48"/>
      <c r="AF163" s="48"/>
      <c r="AG163" s="48"/>
    </row>
    <row r="164">
      <c r="A164" s="453">
        <v>0.8541666666666666</v>
      </c>
      <c r="B164" s="16" t="s">
        <v>96</v>
      </c>
      <c r="C164" s="329" t="s">
        <v>435</v>
      </c>
      <c r="D164" s="10" t="s">
        <v>53</v>
      </c>
      <c r="E164" s="329" t="s">
        <v>435</v>
      </c>
      <c r="G164" s="6" t="s">
        <v>95</v>
      </c>
      <c r="H164" s="10" t="s">
        <v>1305</v>
      </c>
      <c r="I164" s="329" t="s">
        <v>435</v>
      </c>
      <c r="J164" s="329" t="s">
        <v>435</v>
      </c>
      <c r="K164" s="329" t="s">
        <v>435</v>
      </c>
      <c r="N164" s="6" t="s">
        <v>95</v>
      </c>
      <c r="O164" s="329" t="s">
        <v>435</v>
      </c>
      <c r="P164" s="329" t="s">
        <v>435</v>
      </c>
      <c r="Q164" s="329" t="s">
        <v>435</v>
      </c>
      <c r="R164" s="329" t="s">
        <v>435</v>
      </c>
      <c r="T164" s="1"/>
      <c r="Z164" s="1"/>
      <c r="AA164" s="1"/>
      <c r="AB164" s="1"/>
      <c r="AC164" s="454"/>
      <c r="AD164" s="454"/>
      <c r="AE164" s="454"/>
      <c r="AF164" s="48"/>
      <c r="AG164" s="48"/>
    </row>
    <row r="165">
      <c r="S165" s="68"/>
      <c r="T165" s="68"/>
      <c r="Z165" s="68"/>
      <c r="AA165" s="68"/>
      <c r="AB165" s="68"/>
      <c r="AC165" s="48"/>
      <c r="AD165" s="48"/>
      <c r="AE165" s="48"/>
      <c r="AF165" s="48"/>
      <c r="AG165" s="48"/>
    </row>
    <row r="166">
      <c r="S166" s="68"/>
      <c r="T166" s="68"/>
      <c r="Z166" s="68"/>
      <c r="AA166" s="68"/>
      <c r="AB166" s="68"/>
      <c r="AC166" s="48"/>
      <c r="AD166" s="48"/>
      <c r="AE166" s="48"/>
      <c r="AF166" s="48"/>
      <c r="AG166" s="48"/>
    </row>
    <row r="167">
      <c r="S167" s="68"/>
      <c r="T167" s="68"/>
      <c r="Z167" s="68"/>
      <c r="AA167" s="68"/>
      <c r="AB167" s="68"/>
      <c r="AC167" s="48"/>
      <c r="AD167" s="48"/>
      <c r="AE167" s="48"/>
      <c r="AF167" s="48"/>
      <c r="AG167" s="48"/>
    </row>
    <row r="168">
      <c r="S168" s="68"/>
      <c r="T168" s="68"/>
      <c r="Z168" s="68"/>
      <c r="AA168" s="68"/>
      <c r="AB168" s="68"/>
      <c r="AC168" s="48"/>
      <c r="AD168" s="48"/>
      <c r="AE168" s="48"/>
      <c r="AF168" s="48"/>
      <c r="AG168" s="48"/>
    </row>
    <row r="169">
      <c r="A169" s="48"/>
      <c r="B169" s="455">
        <v>45993.0</v>
      </c>
      <c r="C169" s="455">
        <v>45994.0</v>
      </c>
      <c r="D169" s="455">
        <v>45995.0</v>
      </c>
      <c r="E169" s="401">
        <v>45996.0</v>
      </c>
      <c r="H169" s="455">
        <v>46000.0</v>
      </c>
      <c r="I169" s="455">
        <v>46001.0</v>
      </c>
      <c r="J169" s="455">
        <v>46002.0</v>
      </c>
      <c r="K169" s="401">
        <v>46003.0</v>
      </c>
      <c r="L169" s="99" t="s">
        <v>1864</v>
      </c>
      <c r="N169" s="47"/>
      <c r="O169" s="455">
        <v>46007.0</v>
      </c>
      <c r="P169" s="455">
        <v>46008.0</v>
      </c>
      <c r="Q169" s="455">
        <v>46009.0</v>
      </c>
      <c r="R169" s="456">
        <v>46010.0</v>
      </c>
      <c r="S169" s="68"/>
      <c r="T169" s="68"/>
      <c r="U169" s="1"/>
      <c r="V169" s="401">
        <v>46013.0</v>
      </c>
      <c r="W169" s="455">
        <v>46014.0</v>
      </c>
      <c r="X169" s="455">
        <v>46015.0</v>
      </c>
      <c r="Y169" s="455">
        <v>46016.0</v>
      </c>
      <c r="Z169" s="401">
        <v>46017.0</v>
      </c>
      <c r="AA169" s="68"/>
      <c r="AB169" s="1"/>
      <c r="AC169" s="457">
        <v>46020.0</v>
      </c>
      <c r="AD169" s="457">
        <v>46021.0</v>
      </c>
      <c r="AE169" s="457">
        <v>46022.0</v>
      </c>
      <c r="AG169" s="48"/>
    </row>
    <row r="170">
      <c r="A170" s="428">
        <v>0.3333333333333333</v>
      </c>
      <c r="B170" s="329" t="s">
        <v>435</v>
      </c>
      <c r="C170" s="329" t="s">
        <v>435</v>
      </c>
      <c r="D170" s="329" t="s">
        <v>435</v>
      </c>
      <c r="E170" s="329" t="s">
        <v>435</v>
      </c>
      <c r="G170" s="32" t="s">
        <v>0</v>
      </c>
      <c r="H170" s="329" t="s">
        <v>435</v>
      </c>
      <c r="I170" s="458" t="s">
        <v>1865</v>
      </c>
      <c r="J170" s="329" t="s">
        <v>435</v>
      </c>
      <c r="K170" s="375"/>
      <c r="L170" s="459" t="s">
        <v>1866</v>
      </c>
      <c r="N170" s="321" t="s">
        <v>0</v>
      </c>
      <c r="O170" s="329" t="s">
        <v>435</v>
      </c>
      <c r="P170" s="10"/>
      <c r="Q170" s="329" t="s">
        <v>435</v>
      </c>
      <c r="S170" s="68"/>
      <c r="T170" s="68"/>
      <c r="U170" s="32" t="s">
        <v>0</v>
      </c>
      <c r="V170" s="329" t="s">
        <v>435</v>
      </c>
      <c r="W170" s="329" t="s">
        <v>435</v>
      </c>
      <c r="X170" s="329" t="s">
        <v>435</v>
      </c>
      <c r="Y170" s="329" t="s">
        <v>435</v>
      </c>
      <c r="Z170" s="329" t="s">
        <v>435</v>
      </c>
      <c r="AA170" s="68"/>
      <c r="AB170" s="32" t="s">
        <v>0</v>
      </c>
      <c r="AC170" s="329" t="s">
        <v>435</v>
      </c>
      <c r="AD170" s="329" t="s">
        <v>435</v>
      </c>
      <c r="AE170" s="329" t="s">
        <v>435</v>
      </c>
      <c r="AG170" s="48"/>
    </row>
    <row r="171">
      <c r="A171" s="428">
        <v>0.375</v>
      </c>
      <c r="B171" s="329" t="s">
        <v>435</v>
      </c>
      <c r="C171" s="329" t="s">
        <v>435</v>
      </c>
      <c r="D171" s="329" t="s">
        <v>435</v>
      </c>
      <c r="E171" s="329" t="s">
        <v>435</v>
      </c>
      <c r="G171" s="6" t="s">
        <v>5</v>
      </c>
      <c r="H171" s="329" t="s">
        <v>435</v>
      </c>
      <c r="I171" s="329" t="s">
        <v>435</v>
      </c>
      <c r="J171" s="329" t="s">
        <v>435</v>
      </c>
      <c r="K171" s="22" t="s">
        <v>1185</v>
      </c>
      <c r="N171" s="319" t="s">
        <v>5</v>
      </c>
      <c r="O171" s="329" t="s">
        <v>435</v>
      </c>
      <c r="Q171" s="329" t="s">
        <v>435</v>
      </c>
      <c r="R171" s="56" t="s">
        <v>1451</v>
      </c>
      <c r="S171" s="68"/>
      <c r="T171" s="68"/>
      <c r="U171" s="6" t="s">
        <v>5</v>
      </c>
      <c r="V171" s="329" t="s">
        <v>435</v>
      </c>
      <c r="W171" s="329" t="s">
        <v>435</v>
      </c>
      <c r="X171" s="329" t="s">
        <v>435</v>
      </c>
      <c r="Y171" s="329" t="s">
        <v>435</v>
      </c>
      <c r="Z171" s="329" t="s">
        <v>435</v>
      </c>
      <c r="AA171" s="68"/>
      <c r="AB171" s="6" t="s">
        <v>5</v>
      </c>
      <c r="AC171" s="329" t="s">
        <v>435</v>
      </c>
      <c r="AD171" s="329" t="s">
        <v>435</v>
      </c>
      <c r="AE171" s="33"/>
      <c r="AG171" s="48"/>
    </row>
    <row r="172">
      <c r="A172" s="428">
        <v>0.4166666666666667</v>
      </c>
      <c r="B172" s="329" t="s">
        <v>435</v>
      </c>
      <c r="C172" s="329" t="s">
        <v>435</v>
      </c>
      <c r="D172" s="329" t="s">
        <v>435</v>
      </c>
      <c r="E172" s="329" t="s">
        <v>435</v>
      </c>
      <c r="G172" s="6" t="s">
        <v>13</v>
      </c>
      <c r="H172" s="329" t="s">
        <v>435</v>
      </c>
      <c r="I172" s="22" t="s">
        <v>896</v>
      </c>
      <c r="J172" s="329" t="s">
        <v>435</v>
      </c>
      <c r="K172" s="22" t="s">
        <v>1200</v>
      </c>
      <c r="N172" s="319" t="s">
        <v>13</v>
      </c>
      <c r="O172" s="329" t="s">
        <v>435</v>
      </c>
      <c r="P172" s="22" t="s">
        <v>1091</v>
      </c>
      <c r="Q172" s="329" t="s">
        <v>435</v>
      </c>
      <c r="R172" s="22" t="s">
        <v>921</v>
      </c>
      <c r="S172" s="68"/>
      <c r="T172" s="68"/>
      <c r="U172" s="6" t="s">
        <v>13</v>
      </c>
      <c r="V172" s="329" t="s">
        <v>435</v>
      </c>
      <c r="W172" s="329" t="s">
        <v>435</v>
      </c>
      <c r="X172" s="329" t="s">
        <v>435</v>
      </c>
      <c r="Y172" s="329" t="s">
        <v>435</v>
      </c>
      <c r="Z172" s="28" t="s">
        <v>1575</v>
      </c>
      <c r="AA172" s="68"/>
      <c r="AB172" s="6" t="s">
        <v>13</v>
      </c>
      <c r="AC172" s="329" t="s">
        <v>435</v>
      </c>
      <c r="AD172" s="329" t="s">
        <v>435</v>
      </c>
      <c r="AE172" s="33"/>
      <c r="AF172" s="33"/>
      <c r="AG172" s="48"/>
    </row>
    <row r="173">
      <c r="A173" s="428">
        <v>0.4583333333333333</v>
      </c>
      <c r="B173" s="329" t="s">
        <v>435</v>
      </c>
      <c r="C173" s="329" t="s">
        <v>435</v>
      </c>
      <c r="D173" s="329" t="s">
        <v>435</v>
      </c>
      <c r="E173" s="329" t="s">
        <v>435</v>
      </c>
      <c r="F173" s="48"/>
      <c r="G173" s="6" t="s">
        <v>19</v>
      </c>
      <c r="H173" s="329" t="s">
        <v>435</v>
      </c>
      <c r="I173" s="22" t="s">
        <v>20</v>
      </c>
      <c r="J173" s="329" t="s">
        <v>435</v>
      </c>
      <c r="K173" s="16" t="s">
        <v>1211</v>
      </c>
      <c r="M173" s="48"/>
      <c r="N173" s="319" t="s">
        <v>19</v>
      </c>
      <c r="O173" s="329" t="s">
        <v>435</v>
      </c>
      <c r="P173" s="199"/>
      <c r="Q173" s="329" t="s">
        <v>435</v>
      </c>
      <c r="R173" s="10" t="s">
        <v>1468</v>
      </c>
      <c r="S173" s="68"/>
      <c r="T173" s="68"/>
      <c r="U173" s="6" t="s">
        <v>19</v>
      </c>
      <c r="V173" s="329" t="s">
        <v>435</v>
      </c>
      <c r="W173" s="329" t="s">
        <v>435</v>
      </c>
      <c r="X173" s="329" t="s">
        <v>435</v>
      </c>
      <c r="Y173" s="329" t="s">
        <v>435</v>
      </c>
      <c r="Z173" s="329" t="s">
        <v>435</v>
      </c>
      <c r="AA173" s="68"/>
      <c r="AB173" s="6" t="s">
        <v>19</v>
      </c>
      <c r="AC173" s="329" t="s">
        <v>435</v>
      </c>
      <c r="AD173" s="329" t="s">
        <v>435</v>
      </c>
      <c r="AE173" s="33"/>
      <c r="AF173" s="33"/>
      <c r="AG173" s="48"/>
    </row>
    <row r="174">
      <c r="A174" s="428">
        <v>0.5</v>
      </c>
      <c r="B174" s="329" t="s">
        <v>435</v>
      </c>
      <c r="C174" s="329" t="s">
        <v>435</v>
      </c>
      <c r="D174" s="329" t="s">
        <v>435</v>
      </c>
      <c r="E174" s="329" t="s">
        <v>435</v>
      </c>
      <c r="F174" s="48"/>
      <c r="G174" s="32" t="s">
        <v>27</v>
      </c>
      <c r="H174" s="329" t="s">
        <v>435</v>
      </c>
      <c r="I174" s="192" t="s">
        <v>959</v>
      </c>
      <c r="J174" s="329" t="s">
        <v>435</v>
      </c>
      <c r="K174" s="10" t="s">
        <v>1226</v>
      </c>
      <c r="M174" s="68"/>
      <c r="N174" s="321" t="s">
        <v>27</v>
      </c>
      <c r="O174" s="329" t="s">
        <v>435</v>
      </c>
      <c r="P174" s="199"/>
      <c r="Q174" s="329" t="s">
        <v>435</v>
      </c>
      <c r="R174" s="400"/>
      <c r="S174" s="68"/>
      <c r="T174" s="68"/>
      <c r="U174" s="32" t="s">
        <v>27</v>
      </c>
      <c r="V174" s="329" t="s">
        <v>435</v>
      </c>
      <c r="W174" s="33"/>
      <c r="X174" s="329" t="s">
        <v>435</v>
      </c>
      <c r="Y174" s="329" t="s">
        <v>435</v>
      </c>
      <c r="Z174" s="329" t="s">
        <v>435</v>
      </c>
      <c r="AA174" s="68"/>
      <c r="AB174" s="32" t="s">
        <v>27</v>
      </c>
      <c r="AC174" s="329" t="s">
        <v>435</v>
      </c>
      <c r="AD174" s="329" t="s">
        <v>435</v>
      </c>
      <c r="AE174" s="33"/>
      <c r="AG174" s="48"/>
    </row>
    <row r="175">
      <c r="A175" s="428">
        <v>0.5416666666666666</v>
      </c>
      <c r="B175" s="329" t="s">
        <v>435</v>
      </c>
      <c r="C175" s="329" t="s">
        <v>435</v>
      </c>
      <c r="D175" s="329" t="s">
        <v>435</v>
      </c>
      <c r="E175" s="329" t="s">
        <v>435</v>
      </c>
      <c r="F175" s="48"/>
      <c r="G175" s="32" t="s">
        <v>33</v>
      </c>
      <c r="H175" s="329" t="s">
        <v>435</v>
      </c>
      <c r="I175" s="10" t="s">
        <v>749</v>
      </c>
      <c r="J175" s="329" t="s">
        <v>435</v>
      </c>
      <c r="K175" s="22" t="s">
        <v>1240</v>
      </c>
      <c r="M175" s="68"/>
      <c r="N175" s="321" t="s">
        <v>33</v>
      </c>
      <c r="O175" s="329" t="s">
        <v>435</v>
      </c>
      <c r="P175" s="22" t="s">
        <v>1353</v>
      </c>
      <c r="Q175" s="329" t="s">
        <v>435</v>
      </c>
      <c r="R175" s="22" t="s">
        <v>1480</v>
      </c>
      <c r="S175" s="68"/>
      <c r="T175" s="68"/>
      <c r="U175" s="32" t="s">
        <v>33</v>
      </c>
      <c r="V175" s="329" t="s">
        <v>435</v>
      </c>
      <c r="W175" s="329" t="s">
        <v>435</v>
      </c>
      <c r="X175" s="329" t="s">
        <v>435</v>
      </c>
      <c r="Y175" s="329" t="s">
        <v>435</v>
      </c>
      <c r="Z175" s="329" t="s">
        <v>435</v>
      </c>
      <c r="AA175" s="68"/>
      <c r="AB175" s="32" t="s">
        <v>33</v>
      </c>
      <c r="AC175" s="329" t="s">
        <v>435</v>
      </c>
      <c r="AD175" s="329" t="s">
        <v>435</v>
      </c>
      <c r="AE175" s="329" t="s">
        <v>435</v>
      </c>
      <c r="AG175" s="48"/>
    </row>
    <row r="176">
      <c r="A176" s="428">
        <v>0.5833333333333334</v>
      </c>
      <c r="B176" s="329" t="s">
        <v>435</v>
      </c>
      <c r="C176" s="329" t="s">
        <v>435</v>
      </c>
      <c r="D176" s="329" t="s">
        <v>435</v>
      </c>
      <c r="E176" s="329" t="s">
        <v>435</v>
      </c>
      <c r="F176" s="48"/>
      <c r="G176" s="32" t="s">
        <v>39</v>
      </c>
      <c r="H176" s="22" t="s">
        <v>744</v>
      </c>
      <c r="I176" s="33" t="s">
        <v>435</v>
      </c>
      <c r="J176" s="22" t="s">
        <v>1056</v>
      </c>
      <c r="K176" s="33"/>
      <c r="M176" s="68"/>
      <c r="N176" s="321" t="s">
        <v>39</v>
      </c>
      <c r="O176" s="22" t="s">
        <v>991</v>
      </c>
      <c r="P176" s="329" t="s">
        <v>435</v>
      </c>
      <c r="Q176" s="22" t="s">
        <v>58</v>
      </c>
      <c r="R176" s="329" t="s">
        <v>435</v>
      </c>
      <c r="S176" s="48"/>
      <c r="T176" s="48"/>
      <c r="U176" s="32" t="s">
        <v>39</v>
      </c>
      <c r="V176" s="56" t="s">
        <v>1492</v>
      </c>
      <c r="W176" s="10" t="s">
        <v>1530</v>
      </c>
      <c r="X176" s="329" t="s">
        <v>435</v>
      </c>
      <c r="Y176" s="329" t="s">
        <v>435</v>
      </c>
      <c r="Z176" s="329" t="s">
        <v>435</v>
      </c>
      <c r="AA176" s="48"/>
      <c r="AB176" s="32" t="s">
        <v>39</v>
      </c>
      <c r="AC176" s="15" t="s">
        <v>1585</v>
      </c>
      <c r="AD176" s="10" t="s">
        <v>1621</v>
      </c>
      <c r="AE176" s="329" t="s">
        <v>435</v>
      </c>
      <c r="AG176" s="48"/>
    </row>
    <row r="177">
      <c r="A177" s="428">
        <v>0.625</v>
      </c>
      <c r="B177" s="329" t="s">
        <v>435</v>
      </c>
      <c r="C177" s="329" t="s">
        <v>435</v>
      </c>
      <c r="D177" s="329" t="s">
        <v>435</v>
      </c>
      <c r="E177" s="329" t="s">
        <v>435</v>
      </c>
      <c r="F177" s="48"/>
      <c r="G177" s="6" t="s">
        <v>45</v>
      </c>
      <c r="H177" s="56" t="s">
        <v>768</v>
      </c>
      <c r="I177" s="33" t="s">
        <v>435</v>
      </c>
      <c r="J177" s="10" t="s">
        <v>1075</v>
      </c>
      <c r="K177" s="329" t="s">
        <v>435</v>
      </c>
      <c r="L177" s="43" t="s">
        <v>1867</v>
      </c>
      <c r="M177" s="68"/>
      <c r="N177" s="319" t="s">
        <v>45</v>
      </c>
      <c r="O177" s="28" t="s">
        <v>1266</v>
      </c>
      <c r="P177" s="329" t="s">
        <v>435</v>
      </c>
      <c r="Q177" s="10" t="s">
        <v>1381</v>
      </c>
      <c r="R177" s="329" t="s">
        <v>435</v>
      </c>
      <c r="S177" s="48"/>
      <c r="T177" s="48"/>
      <c r="U177" s="6" t="s">
        <v>45</v>
      </c>
      <c r="V177" s="16" t="s">
        <v>1501</v>
      </c>
      <c r="W177" s="10" t="s">
        <v>1538</v>
      </c>
      <c r="X177" s="329" t="s">
        <v>435</v>
      </c>
      <c r="Y177" s="329" t="s">
        <v>435</v>
      </c>
      <c r="Z177" s="329" t="s">
        <v>435</v>
      </c>
      <c r="AA177" s="48"/>
      <c r="AB177" s="6" t="s">
        <v>45</v>
      </c>
      <c r="AC177" s="286" t="s">
        <v>791</v>
      </c>
      <c r="AD177" s="56" t="s">
        <v>791</v>
      </c>
      <c r="AE177" s="329" t="s">
        <v>435</v>
      </c>
      <c r="AG177" s="48"/>
    </row>
    <row r="178">
      <c r="A178" s="428">
        <v>0.6666666666666666</v>
      </c>
      <c r="B178" s="329" t="s">
        <v>435</v>
      </c>
      <c r="C178" s="329" t="s">
        <v>435</v>
      </c>
      <c r="D178" s="329" t="s">
        <v>435</v>
      </c>
      <c r="E178" s="329" t="s">
        <v>435</v>
      </c>
      <c r="F178" s="48"/>
      <c r="G178" s="6" t="s">
        <v>54</v>
      </c>
      <c r="H178" s="22" t="s">
        <v>793</v>
      </c>
      <c r="I178" s="28" t="s">
        <v>993</v>
      </c>
      <c r="J178" s="236" t="s">
        <v>1091</v>
      </c>
      <c r="K178" s="329" t="s">
        <v>435</v>
      </c>
      <c r="L178" s="43" t="s">
        <v>1868</v>
      </c>
      <c r="M178" s="68"/>
      <c r="N178" s="319" t="s">
        <v>54</v>
      </c>
      <c r="O178" s="56" t="s">
        <v>69</v>
      </c>
      <c r="P178" s="329" t="s">
        <v>435</v>
      </c>
      <c r="Q178" s="56" t="s">
        <v>1390</v>
      </c>
      <c r="R178" s="329" t="s">
        <v>435</v>
      </c>
      <c r="S178" s="48"/>
      <c r="T178" s="48"/>
      <c r="U178" s="6" t="s">
        <v>54</v>
      </c>
      <c r="V178" s="16" t="s">
        <v>1508</v>
      </c>
      <c r="W178" s="16" t="s">
        <v>1548</v>
      </c>
      <c r="X178" s="329" t="s">
        <v>435</v>
      </c>
      <c r="Y178" s="329" t="s">
        <v>435</v>
      </c>
      <c r="Z178" s="329" t="s">
        <v>435</v>
      </c>
      <c r="AA178" s="48"/>
      <c r="AB178" s="6" t="s">
        <v>54</v>
      </c>
      <c r="AC178" s="56" t="s">
        <v>69</v>
      </c>
      <c r="AD178" s="10" t="s">
        <v>1633</v>
      </c>
      <c r="AE178" s="329" t="s">
        <v>435</v>
      </c>
      <c r="AG178" s="48"/>
    </row>
    <row r="179">
      <c r="A179" s="428">
        <v>0.7291666666666666</v>
      </c>
      <c r="B179" s="329" t="s">
        <v>435</v>
      </c>
      <c r="C179" s="329" t="s">
        <v>435</v>
      </c>
      <c r="D179" s="329" t="s">
        <v>435</v>
      </c>
      <c r="E179" s="329" t="s">
        <v>435</v>
      </c>
      <c r="F179" s="48"/>
      <c r="G179" s="6" t="s">
        <v>64</v>
      </c>
      <c r="H179" s="210" t="s">
        <v>821</v>
      </c>
      <c r="I179" s="28" t="s">
        <v>1012</v>
      </c>
      <c r="J179" s="10" t="s">
        <v>1108</v>
      </c>
      <c r="K179" s="329" t="s">
        <v>435</v>
      </c>
      <c r="M179" s="68"/>
      <c r="N179" s="319" t="s">
        <v>64</v>
      </c>
      <c r="O179" s="22" t="s">
        <v>1306</v>
      </c>
      <c r="P179" s="329" t="s">
        <v>435</v>
      </c>
      <c r="Q179" s="22" t="s">
        <v>1075</v>
      </c>
      <c r="R179" s="329" t="s">
        <v>435</v>
      </c>
      <c r="S179" s="48"/>
      <c r="T179" s="48"/>
      <c r="U179" s="6" t="s">
        <v>64</v>
      </c>
      <c r="V179" s="279" t="s">
        <v>1514</v>
      </c>
      <c r="X179" s="329" t="s">
        <v>435</v>
      </c>
      <c r="Y179" s="329" t="s">
        <v>435</v>
      </c>
      <c r="Z179" s="329" t="s">
        <v>435</v>
      </c>
      <c r="AA179" s="48"/>
      <c r="AB179" s="6" t="s">
        <v>64</v>
      </c>
      <c r="AC179" s="10" t="s">
        <v>1613</v>
      </c>
      <c r="AE179" s="329" t="s">
        <v>435</v>
      </c>
      <c r="AG179" s="48"/>
    </row>
    <row r="180">
      <c r="A180" s="428">
        <v>0.7708333333333334</v>
      </c>
      <c r="B180" s="329" t="s">
        <v>435</v>
      </c>
      <c r="C180" s="329" t="s">
        <v>435</v>
      </c>
      <c r="D180" s="329" t="s">
        <v>435</v>
      </c>
      <c r="E180" s="329" t="s">
        <v>435</v>
      </c>
      <c r="F180" s="48"/>
      <c r="G180" s="6" t="s">
        <v>71</v>
      </c>
      <c r="H180" s="22" t="s">
        <v>848</v>
      </c>
      <c r="I180" s="329" t="s">
        <v>435</v>
      </c>
      <c r="J180" s="16" t="s">
        <v>1132</v>
      </c>
      <c r="K180" s="329" t="s">
        <v>435</v>
      </c>
      <c r="M180" s="68"/>
      <c r="N180" s="319" t="s">
        <v>71</v>
      </c>
      <c r="O180" s="10" t="s">
        <v>1320</v>
      </c>
      <c r="P180" s="33"/>
      <c r="Q180" s="10" t="s">
        <v>1414</v>
      </c>
      <c r="R180" s="329" t="s">
        <v>435</v>
      </c>
      <c r="S180" s="48"/>
      <c r="T180" s="48"/>
      <c r="U180" s="6" t="s">
        <v>71</v>
      </c>
      <c r="V180" s="56"/>
      <c r="W180" s="10" t="s">
        <v>137</v>
      </c>
      <c r="X180" s="329" t="s">
        <v>435</v>
      </c>
      <c r="Y180" s="329" t="s">
        <v>435</v>
      </c>
      <c r="Z180" s="329" t="s">
        <v>435</v>
      </c>
      <c r="AA180" s="48"/>
      <c r="AB180" s="6" t="s">
        <v>71</v>
      </c>
      <c r="AC180" s="329" t="s">
        <v>435</v>
      </c>
      <c r="AD180" s="56" t="s">
        <v>1492</v>
      </c>
      <c r="AE180" s="329" t="s">
        <v>435</v>
      </c>
      <c r="AG180" s="48"/>
    </row>
    <row r="181">
      <c r="A181" s="428">
        <v>0.8125</v>
      </c>
      <c r="B181" s="329" t="s">
        <v>435</v>
      </c>
      <c r="C181" s="329" t="s">
        <v>435</v>
      </c>
      <c r="D181" s="329" t="s">
        <v>435</v>
      </c>
      <c r="E181" s="329" t="s">
        <v>435</v>
      </c>
      <c r="F181" s="48"/>
      <c r="G181" s="6" t="s">
        <v>80</v>
      </c>
      <c r="H181" s="10" t="s">
        <v>872</v>
      </c>
      <c r="I181" s="28" t="s">
        <v>1039</v>
      </c>
      <c r="J181" s="22" t="s">
        <v>1147</v>
      </c>
      <c r="K181" s="329" t="s">
        <v>435</v>
      </c>
      <c r="M181" s="68"/>
      <c r="N181" s="319" t="s">
        <v>80</v>
      </c>
      <c r="O181" s="10" t="s">
        <v>1335</v>
      </c>
      <c r="P181" s="33"/>
      <c r="Q181" s="22" t="s">
        <v>1131</v>
      </c>
      <c r="R181" s="329" t="s">
        <v>435</v>
      </c>
      <c r="S181" s="48"/>
      <c r="T181" s="48"/>
      <c r="U181" s="6" t="s">
        <v>80</v>
      </c>
      <c r="V181" s="28" t="s">
        <v>1519</v>
      </c>
      <c r="W181" s="10" t="s">
        <v>1565</v>
      </c>
      <c r="X181" s="329" t="s">
        <v>435</v>
      </c>
      <c r="Y181" s="329" t="s">
        <v>435</v>
      </c>
      <c r="Z181" s="329" t="s">
        <v>435</v>
      </c>
      <c r="AA181" s="48"/>
      <c r="AB181" s="6" t="s">
        <v>80</v>
      </c>
      <c r="AC181" s="329" t="s">
        <v>435</v>
      </c>
      <c r="AD181" s="22" t="s">
        <v>1480</v>
      </c>
      <c r="AE181" s="329" t="s">
        <v>435</v>
      </c>
      <c r="AG181" s="48"/>
    </row>
    <row r="182">
      <c r="A182" s="428">
        <v>0.8541666666666666</v>
      </c>
      <c r="B182" s="329" t="s">
        <v>435</v>
      </c>
      <c r="C182" s="329" t="s">
        <v>435</v>
      </c>
      <c r="D182" s="329" t="s">
        <v>435</v>
      </c>
      <c r="E182" s="329" t="s">
        <v>435</v>
      </c>
      <c r="F182" s="48"/>
      <c r="G182" s="6" t="s">
        <v>95</v>
      </c>
      <c r="H182" s="16" t="s">
        <v>897</v>
      </c>
      <c r="I182" s="329" t="s">
        <v>435</v>
      </c>
      <c r="J182" s="10" t="s">
        <v>1169</v>
      </c>
      <c r="K182" s="329" t="s">
        <v>435</v>
      </c>
      <c r="M182" s="68"/>
      <c r="N182" s="319" t="s">
        <v>95</v>
      </c>
      <c r="O182" s="22"/>
      <c r="P182" s="33"/>
      <c r="Q182" s="10" t="s">
        <v>1169</v>
      </c>
      <c r="R182" s="329" t="s">
        <v>435</v>
      </c>
      <c r="S182" s="48"/>
      <c r="T182" s="48"/>
      <c r="U182" s="6" t="s">
        <v>95</v>
      </c>
      <c r="W182" s="56" t="s">
        <v>1570</v>
      </c>
      <c r="X182" s="329" t="s">
        <v>435</v>
      </c>
      <c r="Y182" s="329" t="s">
        <v>435</v>
      </c>
      <c r="Z182" s="329" t="s">
        <v>435</v>
      </c>
      <c r="AA182" s="48"/>
      <c r="AB182" s="6" t="s">
        <v>95</v>
      </c>
      <c r="AC182" s="329" t="s">
        <v>435</v>
      </c>
      <c r="AD182" s="22" t="s">
        <v>1651</v>
      </c>
      <c r="AE182" s="329" t="s">
        <v>435</v>
      </c>
      <c r="AG182" s="48"/>
    </row>
    <row r="183">
      <c r="F183" s="48"/>
      <c r="G183" s="6"/>
      <c r="L183" s="48"/>
      <c r="M183" s="68"/>
      <c r="N183" s="6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>
      <c r="F184" s="48"/>
      <c r="G184" s="6"/>
      <c r="L184" s="48"/>
      <c r="M184" s="68"/>
      <c r="N184" s="6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</row>
    <row r="100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  <c r="AF1001" s="48"/>
      <c r="AG1001" s="48"/>
    </row>
    <row r="1002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  <c r="AF1002" s="48"/>
      <c r="AG1002" s="48"/>
    </row>
    <row r="1003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  <c r="AF1003" s="48"/>
      <c r="AG1003" s="48"/>
    </row>
    <row r="1004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  <c r="AF1004" s="48"/>
      <c r="AG1004" s="48"/>
    </row>
    <row r="1005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  <c r="AD1005" s="48"/>
      <c r="AE1005" s="48"/>
      <c r="AF1005" s="48"/>
      <c r="AG1005" s="48"/>
    </row>
  </sheetData>
  <mergeCells count="7">
    <mergeCell ref="B1:E1"/>
    <mergeCell ref="G1:K1"/>
    <mergeCell ref="N1:R1"/>
    <mergeCell ref="U1:Y1"/>
    <mergeCell ref="AB1:AF1"/>
    <mergeCell ref="P43:R43"/>
    <mergeCell ref="L170:L17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3" width="14.5"/>
    <col customWidth="1" min="4" max="4" width="13.13"/>
    <col customWidth="1" min="5" max="5" width="16.63"/>
    <col customWidth="1" min="6" max="6" width="3.75"/>
    <col customWidth="1" min="7" max="7" width="6.63"/>
    <col customWidth="1" min="8" max="8" width="15.63"/>
    <col customWidth="1" min="9" max="9" width="16.88"/>
    <col customWidth="1" min="10" max="10" width="12.13"/>
    <col customWidth="1" min="11" max="11" width="15.38"/>
    <col customWidth="1" min="12" max="12" width="3.75"/>
    <col customWidth="1" min="13" max="13" width="7.13"/>
    <col customWidth="1" min="14" max="14" width="14.0"/>
    <col customWidth="1" min="15" max="15" width="16.13"/>
    <col customWidth="1" min="16" max="16" width="16.63"/>
    <col customWidth="1" min="17" max="17" width="14.88"/>
    <col customWidth="1" min="18" max="18" width="3.75"/>
    <col customWidth="1" min="19" max="19" width="7.13"/>
    <col customWidth="1" min="20" max="20" width="14.25"/>
    <col customWidth="1" min="21" max="21" width="13.75"/>
    <col customWidth="1" min="22" max="22" width="14.75"/>
    <col customWidth="1" min="23" max="23" width="16.13"/>
    <col customWidth="1" min="24" max="24" width="3.75"/>
    <col customWidth="1" min="25" max="25" width="7.38"/>
    <col customWidth="1" min="26" max="26" width="14.63"/>
    <col customWidth="1" min="27" max="27" width="15.13"/>
    <col customWidth="1" min="28" max="28" width="14.88"/>
    <col customWidth="1" min="29" max="29" width="13.88"/>
  </cols>
  <sheetData>
    <row r="1">
      <c r="A1" s="61"/>
      <c r="B1" s="460" t="s">
        <v>1765</v>
      </c>
      <c r="F1" s="461"/>
      <c r="G1" s="460" t="s">
        <v>1766</v>
      </c>
      <c r="L1" s="461"/>
      <c r="M1" s="460" t="s">
        <v>1767</v>
      </c>
      <c r="R1" s="461"/>
      <c r="S1" s="460" t="s">
        <v>1768</v>
      </c>
      <c r="X1" s="461"/>
      <c r="Y1" s="460" t="s">
        <v>1769</v>
      </c>
      <c r="AD1" s="461"/>
    </row>
    <row r="2">
      <c r="A2" s="4"/>
      <c r="B2" s="462">
        <v>45292.0</v>
      </c>
      <c r="C2" s="462">
        <v>45293.0</v>
      </c>
      <c r="D2" s="462">
        <v>45294.0</v>
      </c>
      <c r="E2" s="462">
        <v>45295.0</v>
      </c>
      <c r="F2" s="4"/>
      <c r="G2" s="4"/>
      <c r="H2" s="462">
        <v>45299.0</v>
      </c>
      <c r="I2" s="462">
        <v>45300.0</v>
      </c>
      <c r="J2" s="462">
        <v>45301.0</v>
      </c>
      <c r="K2" s="462">
        <v>45302.0</v>
      </c>
      <c r="L2" s="4"/>
      <c r="M2" s="4"/>
      <c r="N2" s="462">
        <v>45306.0</v>
      </c>
      <c r="O2" s="462">
        <v>45307.0</v>
      </c>
      <c r="P2" s="462">
        <v>45308.0</v>
      </c>
      <c r="Q2" s="462">
        <v>45309.0</v>
      </c>
      <c r="R2" s="4"/>
      <c r="S2" s="6"/>
      <c r="T2" s="462">
        <v>45313.0</v>
      </c>
      <c r="U2" s="462">
        <v>45314.0</v>
      </c>
      <c r="V2" s="462">
        <v>45315.0</v>
      </c>
      <c r="W2" s="462">
        <v>45316.0</v>
      </c>
      <c r="X2" s="4"/>
      <c r="Y2" s="4"/>
      <c r="Z2" s="462">
        <v>45320.0</v>
      </c>
      <c r="AA2" s="462">
        <v>45321.0</v>
      </c>
      <c r="AB2" s="462">
        <v>45322.0</v>
      </c>
      <c r="AC2" s="4"/>
      <c r="AD2" s="4"/>
    </row>
    <row r="3">
      <c r="A3" s="4" t="s">
        <v>0</v>
      </c>
      <c r="B3" s="189" t="s">
        <v>435</v>
      </c>
      <c r="C3" s="189" t="s">
        <v>435</v>
      </c>
      <c r="D3" s="189" t="s">
        <v>435</v>
      </c>
      <c r="E3" s="189" t="s">
        <v>435</v>
      </c>
      <c r="F3" s="4"/>
      <c r="G3" s="4" t="s">
        <v>0</v>
      </c>
      <c r="H3" s="189" t="s">
        <v>435</v>
      </c>
      <c r="I3" s="135" t="s">
        <v>199</v>
      </c>
      <c r="J3" s="189" t="s">
        <v>435</v>
      </c>
      <c r="K3" s="206" t="s">
        <v>1339</v>
      </c>
      <c r="L3" s="4"/>
      <c r="M3" s="6" t="s">
        <v>0</v>
      </c>
      <c r="N3" s="189" t="s">
        <v>435</v>
      </c>
      <c r="O3" s="189" t="s">
        <v>435</v>
      </c>
      <c r="P3" s="189" t="s">
        <v>435</v>
      </c>
      <c r="Q3" s="189" t="s">
        <v>435</v>
      </c>
      <c r="R3" s="4"/>
      <c r="S3" s="6" t="s">
        <v>0</v>
      </c>
      <c r="T3" s="189" t="s">
        <v>435</v>
      </c>
      <c r="U3" s="189" t="s">
        <v>435</v>
      </c>
      <c r="V3" s="189" t="s">
        <v>435</v>
      </c>
      <c r="W3" s="189" t="s">
        <v>435</v>
      </c>
      <c r="X3" s="4"/>
      <c r="Y3" s="6" t="s">
        <v>0</v>
      </c>
      <c r="Z3" s="189" t="s">
        <v>435</v>
      </c>
      <c r="AA3" s="135"/>
      <c r="AB3" s="189" t="s">
        <v>435</v>
      </c>
      <c r="AC3" s="4"/>
      <c r="AD3" s="4"/>
    </row>
    <row r="4">
      <c r="A4" s="97" t="s">
        <v>5</v>
      </c>
      <c r="B4" s="189" t="s">
        <v>435</v>
      </c>
      <c r="C4" s="189" t="s">
        <v>435</v>
      </c>
      <c r="D4" s="189" t="s">
        <v>435</v>
      </c>
      <c r="E4" s="189" t="s">
        <v>435</v>
      </c>
      <c r="F4" s="4"/>
      <c r="G4" s="97" t="s">
        <v>5</v>
      </c>
      <c r="H4" s="189" t="s">
        <v>435</v>
      </c>
      <c r="I4" s="135" t="s">
        <v>495</v>
      </c>
      <c r="J4" s="189" t="s">
        <v>435</v>
      </c>
      <c r="K4" s="463" t="s">
        <v>656</v>
      </c>
      <c r="L4" s="4"/>
      <c r="M4" s="6" t="s">
        <v>5</v>
      </c>
      <c r="N4" s="189" t="s">
        <v>435</v>
      </c>
      <c r="O4" s="135" t="s">
        <v>495</v>
      </c>
      <c r="P4" s="189" t="s">
        <v>435</v>
      </c>
      <c r="Q4" s="189" t="s">
        <v>163</v>
      </c>
      <c r="R4" s="4"/>
      <c r="S4" s="6" t="s">
        <v>5</v>
      </c>
      <c r="T4" s="189" t="s">
        <v>435</v>
      </c>
      <c r="U4" s="189" t="s">
        <v>435</v>
      </c>
      <c r="V4" s="189" t="s">
        <v>435</v>
      </c>
      <c r="W4" s="135" t="s">
        <v>933</v>
      </c>
      <c r="X4" s="4"/>
      <c r="Y4" s="6" t="s">
        <v>5</v>
      </c>
      <c r="Z4" s="189" t="s">
        <v>435</v>
      </c>
      <c r="AA4" s="135" t="s">
        <v>199</v>
      </c>
      <c r="AB4" s="189" t="s">
        <v>435</v>
      </c>
      <c r="AC4" s="4"/>
      <c r="AD4" s="4"/>
    </row>
    <row r="5">
      <c r="A5" s="97" t="s">
        <v>13</v>
      </c>
      <c r="B5" s="189" t="s">
        <v>435</v>
      </c>
      <c r="C5" s="188" t="s">
        <v>656</v>
      </c>
      <c r="D5" s="189" t="s">
        <v>435</v>
      </c>
      <c r="E5" s="135" t="s">
        <v>495</v>
      </c>
      <c r="F5" s="4"/>
      <c r="G5" s="97" t="s">
        <v>13</v>
      </c>
      <c r="H5" s="189" t="s">
        <v>435</v>
      </c>
      <c r="I5" s="135" t="s">
        <v>933</v>
      </c>
      <c r="J5" s="189" t="s">
        <v>435</v>
      </c>
      <c r="K5" s="189" t="s">
        <v>134</v>
      </c>
      <c r="L5" s="4"/>
      <c r="M5" s="6" t="s">
        <v>13</v>
      </c>
      <c r="N5" s="189" t="s">
        <v>435</v>
      </c>
      <c r="O5" s="135" t="s">
        <v>933</v>
      </c>
      <c r="P5" s="189" t="s">
        <v>435</v>
      </c>
      <c r="Q5" s="189" t="s">
        <v>134</v>
      </c>
      <c r="R5" s="4"/>
      <c r="S5" s="6" t="s">
        <v>13</v>
      </c>
      <c r="T5" s="189" t="s">
        <v>435</v>
      </c>
      <c r="U5" s="189" t="s">
        <v>435</v>
      </c>
      <c r="V5" s="189" t="s">
        <v>435</v>
      </c>
      <c r="W5" s="189" t="s">
        <v>134</v>
      </c>
      <c r="X5" s="4"/>
      <c r="Y5" s="6" t="s">
        <v>13</v>
      </c>
      <c r="Z5" s="189" t="s">
        <v>435</v>
      </c>
      <c r="AA5" s="135" t="s">
        <v>933</v>
      </c>
      <c r="AB5" s="189" t="s">
        <v>435</v>
      </c>
      <c r="AC5" s="4"/>
      <c r="AD5" s="4"/>
    </row>
    <row r="6">
      <c r="A6" s="97" t="s">
        <v>19</v>
      </c>
      <c r="B6" s="189" t="s">
        <v>435</v>
      </c>
      <c r="C6" s="189" t="s">
        <v>783</v>
      </c>
      <c r="D6" s="189" t="s">
        <v>435</v>
      </c>
      <c r="E6" s="135" t="s">
        <v>738</v>
      </c>
      <c r="F6" s="4"/>
      <c r="G6" s="97" t="s">
        <v>19</v>
      </c>
      <c r="H6" s="189" t="s">
        <v>435</v>
      </c>
      <c r="I6" s="189" t="s">
        <v>738</v>
      </c>
      <c r="J6" s="189" t="s">
        <v>435</v>
      </c>
      <c r="K6" s="189" t="s">
        <v>163</v>
      </c>
      <c r="L6" s="4"/>
      <c r="M6" s="6" t="s">
        <v>19</v>
      </c>
      <c r="N6" s="189" t="s">
        <v>435</v>
      </c>
      <c r="O6" s="189"/>
      <c r="P6" s="189" t="s">
        <v>435</v>
      </c>
      <c r="Q6" s="206" t="s">
        <v>1340</v>
      </c>
      <c r="R6" s="4"/>
      <c r="S6" s="6" t="s">
        <v>19</v>
      </c>
      <c r="T6" s="189" t="s">
        <v>435</v>
      </c>
      <c r="U6" s="189" t="s">
        <v>435</v>
      </c>
      <c r="V6" s="189" t="s">
        <v>435</v>
      </c>
      <c r="W6" s="206" t="s">
        <v>738</v>
      </c>
      <c r="X6" s="4"/>
      <c r="Y6" s="6" t="s">
        <v>19</v>
      </c>
      <c r="Z6" s="189" t="s">
        <v>435</v>
      </c>
      <c r="AA6" s="189" t="s">
        <v>435</v>
      </c>
      <c r="AB6" s="189" t="s">
        <v>435</v>
      </c>
      <c r="AC6" s="4"/>
      <c r="AD6" s="4"/>
    </row>
    <row r="7">
      <c r="A7" s="97" t="s">
        <v>39</v>
      </c>
      <c r="B7" s="189" t="s">
        <v>435</v>
      </c>
      <c r="C7" s="189" t="s">
        <v>435</v>
      </c>
      <c r="D7" s="189" t="s">
        <v>303</v>
      </c>
      <c r="E7" s="189" t="s">
        <v>435</v>
      </c>
      <c r="F7" s="4"/>
      <c r="G7" s="97" t="s">
        <v>39</v>
      </c>
      <c r="H7" s="189" t="s">
        <v>435</v>
      </c>
      <c r="I7" s="189" t="s">
        <v>435</v>
      </c>
      <c r="J7" s="189" t="s">
        <v>435</v>
      </c>
      <c r="K7" s="189" t="s">
        <v>435</v>
      </c>
      <c r="L7" s="4"/>
      <c r="M7" s="6" t="s">
        <v>39</v>
      </c>
      <c r="N7" s="189" t="s">
        <v>435</v>
      </c>
      <c r="O7" s="189" t="s">
        <v>435</v>
      </c>
      <c r="P7" s="189" t="s">
        <v>435</v>
      </c>
      <c r="Q7" s="189" t="s">
        <v>435</v>
      </c>
      <c r="R7" s="4"/>
      <c r="S7" s="6" t="s">
        <v>39</v>
      </c>
      <c r="T7" s="189" t="s">
        <v>435</v>
      </c>
      <c r="U7" s="189" t="s">
        <v>435</v>
      </c>
      <c r="V7" s="189" t="s">
        <v>435</v>
      </c>
      <c r="W7" s="189" t="s">
        <v>435</v>
      </c>
      <c r="X7" s="4"/>
      <c r="Y7" s="6" t="s">
        <v>39</v>
      </c>
      <c r="Z7" s="189" t="s">
        <v>435</v>
      </c>
      <c r="AA7" s="189" t="s">
        <v>435</v>
      </c>
      <c r="AB7" s="189" t="s">
        <v>435</v>
      </c>
      <c r="AC7" s="4"/>
      <c r="AD7" s="4"/>
    </row>
    <row r="8">
      <c r="A8" s="97" t="s">
        <v>45</v>
      </c>
      <c r="B8" s="189" t="s">
        <v>435</v>
      </c>
      <c r="C8" s="143" t="s">
        <v>268</v>
      </c>
      <c r="D8" s="135" t="s">
        <v>933</v>
      </c>
      <c r="E8" s="189" t="s">
        <v>130</v>
      </c>
      <c r="F8" s="4"/>
      <c r="G8" s="97" t="s">
        <v>45</v>
      </c>
      <c r="H8" s="208" t="s">
        <v>524</v>
      </c>
      <c r="I8" s="143" t="s">
        <v>268</v>
      </c>
      <c r="J8" s="189" t="s">
        <v>435</v>
      </c>
      <c r="K8" s="189" t="s">
        <v>164</v>
      </c>
      <c r="L8" s="4"/>
      <c r="M8" s="6" t="s">
        <v>45</v>
      </c>
      <c r="N8" s="189" t="s">
        <v>435</v>
      </c>
      <c r="O8" s="189" t="s">
        <v>435</v>
      </c>
      <c r="P8" s="189" t="s">
        <v>435</v>
      </c>
      <c r="Q8" s="189" t="s">
        <v>435</v>
      </c>
      <c r="R8" s="4"/>
      <c r="S8" s="6" t="s">
        <v>45</v>
      </c>
      <c r="T8" s="189" t="s">
        <v>435</v>
      </c>
      <c r="U8" s="189" t="s">
        <v>435</v>
      </c>
      <c r="V8" s="189" t="s">
        <v>435</v>
      </c>
      <c r="W8" s="208" t="s">
        <v>164</v>
      </c>
      <c r="X8" s="4"/>
      <c r="Y8" s="6" t="s">
        <v>45</v>
      </c>
      <c r="Z8" s="189" t="s">
        <v>435</v>
      </c>
      <c r="AA8" s="143" t="s">
        <v>268</v>
      </c>
      <c r="AB8" s="189" t="s">
        <v>435</v>
      </c>
      <c r="AC8" s="4"/>
      <c r="AD8" s="4"/>
    </row>
    <row r="9">
      <c r="A9" s="97" t="s">
        <v>54</v>
      </c>
      <c r="B9" s="189" t="s">
        <v>435</v>
      </c>
      <c r="C9" s="206" t="s">
        <v>165</v>
      </c>
      <c r="D9" s="206" t="s">
        <v>951</v>
      </c>
      <c r="E9" s="189" t="s">
        <v>1066</v>
      </c>
      <c r="F9" s="4"/>
      <c r="G9" s="97" t="s">
        <v>54</v>
      </c>
      <c r="H9" s="208" t="s">
        <v>182</v>
      </c>
      <c r="I9" s="135" t="s">
        <v>912</v>
      </c>
      <c r="J9" s="189" t="s">
        <v>435</v>
      </c>
      <c r="K9" s="135" t="s">
        <v>525</v>
      </c>
      <c r="L9" s="4"/>
      <c r="M9" s="6" t="s">
        <v>54</v>
      </c>
      <c r="N9" s="135" t="s">
        <v>58</v>
      </c>
      <c r="O9" s="143" t="s">
        <v>268</v>
      </c>
      <c r="P9" s="189" t="s">
        <v>435</v>
      </c>
      <c r="Q9" s="189" t="s">
        <v>435</v>
      </c>
      <c r="R9" s="4"/>
      <c r="S9" s="6" t="s">
        <v>54</v>
      </c>
      <c r="T9" s="189" t="s">
        <v>435</v>
      </c>
      <c r="U9" s="189" t="s">
        <v>435</v>
      </c>
      <c r="V9" s="189" t="s">
        <v>435</v>
      </c>
      <c r="W9" s="208" t="s">
        <v>1555</v>
      </c>
      <c r="X9" s="4"/>
      <c r="Y9" s="6" t="s">
        <v>54</v>
      </c>
      <c r="Z9" s="206" t="s">
        <v>70</v>
      </c>
      <c r="AA9" s="189" t="s">
        <v>754</v>
      </c>
      <c r="AB9" s="189" t="s">
        <v>435</v>
      </c>
      <c r="AC9" s="4"/>
      <c r="AD9" s="4"/>
    </row>
    <row r="10">
      <c r="A10" s="97" t="s">
        <v>64</v>
      </c>
      <c r="B10" s="189" t="s">
        <v>435</v>
      </c>
      <c r="C10" s="135" t="s">
        <v>782</v>
      </c>
      <c r="D10" s="208" t="s">
        <v>167</v>
      </c>
      <c r="E10" s="189" t="s">
        <v>525</v>
      </c>
      <c r="F10" s="4"/>
      <c r="G10" s="97" t="s">
        <v>64</v>
      </c>
      <c r="H10" s="208" t="s">
        <v>1160</v>
      </c>
      <c r="I10" s="189" t="s">
        <v>435</v>
      </c>
      <c r="J10" s="189" t="s">
        <v>435</v>
      </c>
      <c r="K10" s="206" t="s">
        <v>951</v>
      </c>
      <c r="L10" s="4"/>
      <c r="M10" s="6" t="s">
        <v>64</v>
      </c>
      <c r="N10" s="189" t="s">
        <v>435</v>
      </c>
      <c r="O10" s="165" t="s">
        <v>912</v>
      </c>
      <c r="P10" s="189" t="s">
        <v>435</v>
      </c>
      <c r="Q10" s="189" t="s">
        <v>435</v>
      </c>
      <c r="R10" s="4"/>
      <c r="S10" s="6" t="s">
        <v>64</v>
      </c>
      <c r="T10" s="208" t="s">
        <v>1160</v>
      </c>
      <c r="U10" s="189" t="s">
        <v>435</v>
      </c>
      <c r="V10" s="189" t="s">
        <v>435</v>
      </c>
      <c r="W10" s="135" t="s">
        <v>349</v>
      </c>
      <c r="X10" s="4"/>
      <c r="Y10" s="6" t="s">
        <v>64</v>
      </c>
      <c r="Z10" s="165" t="s">
        <v>345</v>
      </c>
      <c r="AA10" s="165" t="s">
        <v>912</v>
      </c>
      <c r="AB10" s="189" t="s">
        <v>435</v>
      </c>
      <c r="AC10" s="4"/>
      <c r="AD10" s="4"/>
    </row>
    <row r="11">
      <c r="A11" s="97" t="s">
        <v>71</v>
      </c>
      <c r="B11" s="189" t="s">
        <v>435</v>
      </c>
      <c r="C11" s="189" t="s">
        <v>349</v>
      </c>
      <c r="D11" s="206" t="s">
        <v>840</v>
      </c>
      <c r="E11" s="189" t="s">
        <v>912</v>
      </c>
      <c r="F11" s="4"/>
      <c r="G11" s="97" t="s">
        <v>71</v>
      </c>
      <c r="H11" s="208" t="s">
        <v>633</v>
      </c>
      <c r="I11" s="206" t="s">
        <v>1869</v>
      </c>
      <c r="J11" s="189" t="s">
        <v>435</v>
      </c>
      <c r="K11" s="135" t="s">
        <v>1408</v>
      </c>
      <c r="L11" s="4"/>
      <c r="M11" s="6" t="s">
        <v>71</v>
      </c>
      <c r="N11" s="165" t="s">
        <v>1446</v>
      </c>
      <c r="O11" s="464" t="s">
        <v>524</v>
      </c>
      <c r="P11" s="189" t="s">
        <v>435</v>
      </c>
      <c r="Q11" s="189" t="s">
        <v>435</v>
      </c>
      <c r="R11" s="4"/>
      <c r="S11" s="6" t="s">
        <v>71</v>
      </c>
      <c r="T11" s="208" t="s">
        <v>454</v>
      </c>
      <c r="U11" s="189" t="s">
        <v>435</v>
      </c>
      <c r="V11" s="189" t="s">
        <v>435</v>
      </c>
      <c r="W11" s="135" t="s">
        <v>1313</v>
      </c>
      <c r="X11" s="4"/>
      <c r="Y11" s="6" t="s">
        <v>71</v>
      </c>
      <c r="Z11" s="465" t="s">
        <v>1870</v>
      </c>
      <c r="AA11" s="189" t="s">
        <v>469</v>
      </c>
      <c r="AB11" s="189" t="s">
        <v>435</v>
      </c>
      <c r="AC11" s="4"/>
      <c r="AD11" s="4"/>
    </row>
    <row r="12">
      <c r="A12" s="97" t="s">
        <v>80</v>
      </c>
      <c r="B12" s="189" t="s">
        <v>435</v>
      </c>
      <c r="C12" s="206" t="s">
        <v>1871</v>
      </c>
      <c r="D12" s="189" t="s">
        <v>435</v>
      </c>
      <c r="E12" s="189" t="s">
        <v>435</v>
      </c>
      <c r="F12" s="4"/>
      <c r="G12" s="97" t="s">
        <v>80</v>
      </c>
      <c r="H12" s="135" t="s">
        <v>201</v>
      </c>
      <c r="I12" s="206" t="s">
        <v>840</v>
      </c>
      <c r="J12" s="189" t="s">
        <v>435</v>
      </c>
      <c r="K12" s="189" t="s">
        <v>1420</v>
      </c>
      <c r="L12" s="4"/>
      <c r="M12" s="6" t="s">
        <v>80</v>
      </c>
      <c r="N12" s="189" t="s">
        <v>164</v>
      </c>
      <c r="O12" s="206" t="s">
        <v>982</v>
      </c>
      <c r="P12" s="189" t="s">
        <v>435</v>
      </c>
      <c r="Q12" s="189" t="s">
        <v>435</v>
      </c>
      <c r="R12" s="4"/>
      <c r="S12" s="6" t="s">
        <v>80</v>
      </c>
      <c r="T12" s="135" t="s">
        <v>201</v>
      </c>
      <c r="U12" s="189" t="s">
        <v>435</v>
      </c>
      <c r="V12" s="189" t="s">
        <v>435</v>
      </c>
      <c r="W12" s="206" t="s">
        <v>840</v>
      </c>
      <c r="X12" s="4"/>
      <c r="Y12" s="6" t="s">
        <v>80</v>
      </c>
      <c r="Z12" s="189" t="s">
        <v>982</v>
      </c>
      <c r="AA12" s="135" t="s">
        <v>1222</v>
      </c>
      <c r="AB12" s="189" t="s">
        <v>435</v>
      </c>
      <c r="AC12" s="4"/>
      <c r="AD12" s="4"/>
    </row>
    <row r="13">
      <c r="A13" s="97" t="s">
        <v>95</v>
      </c>
      <c r="B13" s="189" t="s">
        <v>435</v>
      </c>
      <c r="C13" s="189"/>
      <c r="D13" s="189" t="s">
        <v>435</v>
      </c>
      <c r="E13" s="189" t="s">
        <v>435</v>
      </c>
      <c r="F13" s="4"/>
      <c r="G13" s="97" t="s">
        <v>95</v>
      </c>
      <c r="H13" s="135" t="s">
        <v>167</v>
      </c>
      <c r="I13" s="189" t="s">
        <v>435</v>
      </c>
      <c r="J13" s="189" t="s">
        <v>435</v>
      </c>
      <c r="K13" s="189" t="s">
        <v>435</v>
      </c>
      <c r="L13" s="4"/>
      <c r="M13" s="6" t="s">
        <v>95</v>
      </c>
      <c r="N13" s="135" t="s">
        <v>167</v>
      </c>
      <c r="O13" s="189" t="s">
        <v>435</v>
      </c>
      <c r="P13" s="189" t="s">
        <v>435</v>
      </c>
      <c r="Q13" s="189" t="s">
        <v>435</v>
      </c>
      <c r="R13" s="4"/>
      <c r="S13" s="172" t="s">
        <v>95</v>
      </c>
      <c r="T13" s="189" t="s">
        <v>435</v>
      </c>
      <c r="U13" s="189" t="s">
        <v>435</v>
      </c>
      <c r="V13" s="189" t="s">
        <v>435</v>
      </c>
      <c r="W13" s="189" t="s">
        <v>96</v>
      </c>
      <c r="X13" s="4"/>
      <c r="Y13" s="6" t="s">
        <v>95</v>
      </c>
      <c r="Z13" s="189" t="s">
        <v>435</v>
      </c>
      <c r="AA13" s="189" t="s">
        <v>435</v>
      </c>
      <c r="AB13" s="189" t="s">
        <v>435</v>
      </c>
      <c r="AC13" s="4"/>
      <c r="AD13" s="4"/>
    </row>
    <row r="14">
      <c r="A14" s="4"/>
      <c r="B14" s="52"/>
      <c r="C14" s="52"/>
      <c r="D14" s="52"/>
      <c r="E14" s="52"/>
      <c r="F14" s="4"/>
      <c r="G14" s="4"/>
      <c r="H14" s="52"/>
      <c r="I14" s="52"/>
      <c r="J14" s="5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4"/>
      <c r="B15" s="52"/>
      <c r="C15" s="52"/>
      <c r="D15" s="52"/>
      <c r="E15" s="52"/>
      <c r="F15" s="4"/>
      <c r="G15" s="4"/>
      <c r="H15" s="52"/>
      <c r="I15" s="52"/>
      <c r="J15" s="5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61"/>
      <c r="B16" s="466">
        <v>45323.0</v>
      </c>
      <c r="C16" s="52"/>
      <c r="D16" s="52"/>
      <c r="E16" s="52"/>
      <c r="F16" s="461"/>
      <c r="G16" s="461"/>
      <c r="H16" s="467">
        <v>45327.0</v>
      </c>
      <c r="I16" s="466">
        <v>45328.0</v>
      </c>
      <c r="J16" s="466">
        <v>45329.0</v>
      </c>
      <c r="K16" s="466">
        <v>45330.0</v>
      </c>
      <c r="L16" s="461"/>
      <c r="M16" s="461"/>
      <c r="N16" s="466">
        <v>45334.0</v>
      </c>
      <c r="O16" s="466">
        <v>45335.0</v>
      </c>
      <c r="P16" s="466">
        <v>45336.0</v>
      </c>
      <c r="Q16" s="466">
        <v>45337.0</v>
      </c>
      <c r="R16" s="461"/>
      <c r="S16" s="461"/>
      <c r="T16" s="466">
        <v>45341.0</v>
      </c>
      <c r="U16" s="466">
        <v>45342.0</v>
      </c>
      <c r="V16" s="466">
        <v>45343.0</v>
      </c>
      <c r="W16" s="466">
        <v>45344.0</v>
      </c>
      <c r="X16" s="461"/>
      <c r="Y16" s="461"/>
      <c r="Z16" s="466">
        <v>45348.0</v>
      </c>
      <c r="AA16" s="466">
        <v>45349.0</v>
      </c>
      <c r="AB16" s="466">
        <v>45350.0</v>
      </c>
      <c r="AC16" s="466">
        <v>45351.0</v>
      </c>
      <c r="AD16" s="4"/>
    </row>
    <row r="17">
      <c r="A17" s="4" t="s">
        <v>0</v>
      </c>
      <c r="B17" s="189" t="s">
        <v>435</v>
      </c>
      <c r="C17" s="52"/>
      <c r="D17" s="52"/>
      <c r="E17" s="52"/>
      <c r="F17" s="4"/>
      <c r="G17" s="4" t="s">
        <v>0</v>
      </c>
      <c r="H17" s="189" t="s">
        <v>435</v>
      </c>
      <c r="I17" s="189" t="s">
        <v>435</v>
      </c>
      <c r="J17" s="189" t="s">
        <v>435</v>
      </c>
      <c r="K17" s="189" t="s">
        <v>435</v>
      </c>
      <c r="L17" s="4"/>
      <c r="M17" s="4" t="s">
        <v>0</v>
      </c>
      <c r="N17" s="189" t="s">
        <v>435</v>
      </c>
      <c r="O17" s="189" t="s">
        <v>435</v>
      </c>
      <c r="P17" s="189" t="s">
        <v>435</v>
      </c>
      <c r="Q17" s="189" t="s">
        <v>435</v>
      </c>
      <c r="R17" s="4"/>
      <c r="S17" s="4" t="s">
        <v>0</v>
      </c>
      <c r="T17" s="189" t="s">
        <v>435</v>
      </c>
      <c r="U17" s="189" t="s">
        <v>435</v>
      </c>
      <c r="V17" s="189" t="s">
        <v>435</v>
      </c>
      <c r="W17" s="189" t="s">
        <v>435</v>
      </c>
      <c r="X17" s="4"/>
      <c r="Y17" s="4" t="s">
        <v>0</v>
      </c>
      <c r="Z17" s="189" t="s">
        <v>435</v>
      </c>
      <c r="AA17" s="468"/>
      <c r="AB17" s="189" t="s">
        <v>435</v>
      </c>
      <c r="AC17" s="189" t="s">
        <v>435</v>
      </c>
      <c r="AD17" s="4"/>
    </row>
    <row r="18">
      <c r="A18" s="97" t="s">
        <v>5</v>
      </c>
      <c r="B18" s="189" t="s">
        <v>435</v>
      </c>
      <c r="C18" s="52"/>
      <c r="D18" s="52"/>
      <c r="E18" s="52"/>
      <c r="F18" s="4"/>
      <c r="G18" s="97" t="s">
        <v>5</v>
      </c>
      <c r="H18" s="189" t="s">
        <v>435</v>
      </c>
      <c r="I18" s="189" t="s">
        <v>435</v>
      </c>
      <c r="J18" s="189" t="s">
        <v>435</v>
      </c>
      <c r="K18" s="189" t="s">
        <v>435</v>
      </c>
      <c r="L18" s="4"/>
      <c r="M18" s="97" t="s">
        <v>5</v>
      </c>
      <c r="N18" s="189" t="s">
        <v>435</v>
      </c>
      <c r="O18" s="189" t="s">
        <v>435</v>
      </c>
      <c r="P18" s="189" t="s">
        <v>435</v>
      </c>
      <c r="Q18" s="189" t="s">
        <v>495</v>
      </c>
      <c r="R18" s="4"/>
      <c r="S18" s="97" t="s">
        <v>5</v>
      </c>
      <c r="T18" s="189" t="s">
        <v>435</v>
      </c>
      <c r="U18" s="189" t="s">
        <v>435</v>
      </c>
      <c r="V18" s="189" t="s">
        <v>435</v>
      </c>
      <c r="W18" s="135" t="s">
        <v>1600</v>
      </c>
      <c r="X18" s="4"/>
      <c r="Y18" s="97" t="s">
        <v>5</v>
      </c>
      <c r="Z18" s="189" t="s">
        <v>435</v>
      </c>
      <c r="AA18" s="469" t="s">
        <v>495</v>
      </c>
      <c r="AB18" s="189" t="s">
        <v>435</v>
      </c>
      <c r="AC18" s="189" t="s">
        <v>435</v>
      </c>
      <c r="AD18" s="4"/>
    </row>
    <row r="19">
      <c r="A19" s="97" t="s">
        <v>13</v>
      </c>
      <c r="B19" s="189" t="s">
        <v>163</v>
      </c>
      <c r="C19" s="52"/>
      <c r="D19" s="52"/>
      <c r="E19" s="52"/>
      <c r="F19" s="4"/>
      <c r="G19" s="97" t="s">
        <v>13</v>
      </c>
      <c r="H19" s="189" t="s">
        <v>435</v>
      </c>
      <c r="I19" s="135" t="s">
        <v>933</v>
      </c>
      <c r="J19" s="189" t="s">
        <v>435</v>
      </c>
      <c r="K19" s="189" t="s">
        <v>738</v>
      </c>
      <c r="L19" s="4"/>
      <c r="M19" s="97" t="s">
        <v>13</v>
      </c>
      <c r="N19" s="189" t="s">
        <v>435</v>
      </c>
      <c r="O19" s="135" t="s">
        <v>933</v>
      </c>
      <c r="P19" s="189" t="s">
        <v>435</v>
      </c>
      <c r="Q19" s="189" t="s">
        <v>134</v>
      </c>
      <c r="R19" s="4"/>
      <c r="S19" s="97" t="s">
        <v>13</v>
      </c>
      <c r="T19" s="189" t="s">
        <v>435</v>
      </c>
      <c r="U19" s="189" t="s">
        <v>435</v>
      </c>
      <c r="V19" s="189" t="s">
        <v>435</v>
      </c>
      <c r="W19" s="135" t="s">
        <v>134</v>
      </c>
      <c r="X19" s="4"/>
      <c r="Y19" s="97" t="s">
        <v>13</v>
      </c>
      <c r="Z19" s="189" t="s">
        <v>435</v>
      </c>
      <c r="AA19" s="189" t="s">
        <v>199</v>
      </c>
      <c r="AB19" s="189" t="s">
        <v>435</v>
      </c>
      <c r="AC19" s="189"/>
      <c r="AD19" s="4"/>
    </row>
    <row r="20">
      <c r="A20" s="97" t="s">
        <v>19</v>
      </c>
      <c r="B20" s="189" t="s">
        <v>435</v>
      </c>
      <c r="C20" s="52"/>
      <c r="D20" s="52"/>
      <c r="E20" s="52"/>
      <c r="F20" s="4"/>
      <c r="G20" s="97" t="s">
        <v>19</v>
      </c>
      <c r="H20" s="189" t="s">
        <v>435</v>
      </c>
      <c r="I20" s="208" t="s">
        <v>761</v>
      </c>
      <c r="J20" s="189" t="s">
        <v>435</v>
      </c>
      <c r="K20" s="189" t="s">
        <v>435</v>
      </c>
      <c r="L20" s="4"/>
      <c r="M20" s="97" t="s">
        <v>19</v>
      </c>
      <c r="N20" s="189" t="s">
        <v>435</v>
      </c>
      <c r="O20" s="206" t="s">
        <v>738</v>
      </c>
      <c r="P20" s="189" t="s">
        <v>435</v>
      </c>
      <c r="Q20" s="189" t="s">
        <v>435</v>
      </c>
      <c r="R20" s="4"/>
      <c r="S20" s="97" t="s">
        <v>19</v>
      </c>
      <c r="T20" s="189" t="s">
        <v>435</v>
      </c>
      <c r="U20" s="189" t="s">
        <v>435</v>
      </c>
      <c r="V20" s="189" t="s">
        <v>435</v>
      </c>
      <c r="W20" s="135" t="s">
        <v>454</v>
      </c>
      <c r="X20" s="4"/>
      <c r="Y20" s="97" t="s">
        <v>19</v>
      </c>
      <c r="Z20" s="189" t="s">
        <v>435</v>
      </c>
      <c r="AA20" s="189" t="s">
        <v>435</v>
      </c>
      <c r="AB20" s="189" t="s">
        <v>435</v>
      </c>
      <c r="AC20" s="189" t="s">
        <v>163</v>
      </c>
      <c r="AD20" s="4"/>
    </row>
    <row r="21">
      <c r="A21" s="97" t="s">
        <v>39</v>
      </c>
      <c r="B21" s="189" t="s">
        <v>435</v>
      </c>
      <c r="C21" s="52"/>
      <c r="D21" s="52"/>
      <c r="E21" s="52"/>
      <c r="F21" s="4"/>
      <c r="G21" s="97" t="s">
        <v>39</v>
      </c>
      <c r="H21" s="208" t="s">
        <v>911</v>
      </c>
      <c r="I21" s="189" t="s">
        <v>435</v>
      </c>
      <c r="J21" s="189" t="s">
        <v>435</v>
      </c>
      <c r="K21" s="189" t="s">
        <v>435</v>
      </c>
      <c r="L21" s="4"/>
      <c r="M21" s="97" t="s">
        <v>39</v>
      </c>
      <c r="N21" s="189" t="s">
        <v>435</v>
      </c>
      <c r="O21" s="189" t="s">
        <v>435</v>
      </c>
      <c r="P21" s="189" t="s">
        <v>435</v>
      </c>
      <c r="Q21" s="189" t="s">
        <v>435</v>
      </c>
      <c r="R21" s="4"/>
      <c r="S21" s="97" t="s">
        <v>39</v>
      </c>
      <c r="T21" s="189" t="s">
        <v>435</v>
      </c>
      <c r="U21" s="189" t="s">
        <v>435</v>
      </c>
      <c r="V21" s="189" t="s">
        <v>435</v>
      </c>
      <c r="W21" s="189" t="s">
        <v>435</v>
      </c>
      <c r="X21" s="4"/>
      <c r="Y21" s="97" t="s">
        <v>39</v>
      </c>
      <c r="Z21" s="189" t="s">
        <v>738</v>
      </c>
      <c r="AA21" s="189" t="s">
        <v>435</v>
      </c>
      <c r="AB21" s="189" t="s">
        <v>435</v>
      </c>
      <c r="AC21" s="189" t="s">
        <v>435</v>
      </c>
      <c r="AD21" s="4"/>
    </row>
    <row r="22">
      <c r="A22" s="97" t="s">
        <v>45</v>
      </c>
      <c r="B22" s="208" t="s">
        <v>164</v>
      </c>
      <c r="C22" s="52"/>
      <c r="D22" s="52"/>
      <c r="E22" s="52"/>
      <c r="F22" s="4"/>
      <c r="G22" s="97" t="s">
        <v>45</v>
      </c>
      <c r="H22" s="208" t="s">
        <v>454</v>
      </c>
      <c r="I22" s="189" t="s">
        <v>435</v>
      </c>
      <c r="J22" s="189" t="s">
        <v>435</v>
      </c>
      <c r="K22" s="208" t="s">
        <v>164</v>
      </c>
      <c r="L22" s="4"/>
      <c r="M22" s="97" t="s">
        <v>45</v>
      </c>
      <c r="N22" s="189" t="s">
        <v>813</v>
      </c>
      <c r="O22" s="189" t="s">
        <v>435</v>
      </c>
      <c r="P22" s="189" t="s">
        <v>435</v>
      </c>
      <c r="Q22" s="208" t="s">
        <v>164</v>
      </c>
      <c r="R22" s="4"/>
      <c r="S22" s="97" t="s">
        <v>45</v>
      </c>
      <c r="T22" s="208" t="s">
        <v>761</v>
      </c>
      <c r="U22" s="188" t="s">
        <v>268</v>
      </c>
      <c r="V22" s="189" t="s">
        <v>435</v>
      </c>
      <c r="W22" s="208" t="s">
        <v>164</v>
      </c>
      <c r="X22" s="4"/>
      <c r="Y22" s="97" t="s">
        <v>45</v>
      </c>
      <c r="Z22" s="189" t="s">
        <v>813</v>
      </c>
      <c r="AA22" s="189" t="s">
        <v>435</v>
      </c>
      <c r="AB22" s="189" t="s">
        <v>435</v>
      </c>
      <c r="AC22" s="208" t="s">
        <v>164</v>
      </c>
      <c r="AD22" s="4"/>
    </row>
    <row r="23">
      <c r="A23" s="97" t="s">
        <v>54</v>
      </c>
      <c r="B23" s="208" t="s">
        <v>130</v>
      </c>
      <c r="C23" s="52"/>
      <c r="D23" s="52"/>
      <c r="E23" s="52"/>
      <c r="F23" s="4"/>
      <c r="G23" s="97" t="s">
        <v>54</v>
      </c>
      <c r="H23" s="165" t="s">
        <v>345</v>
      </c>
      <c r="I23" s="188" t="s">
        <v>1048</v>
      </c>
      <c r="J23" s="189" t="s">
        <v>435</v>
      </c>
      <c r="K23" s="208" t="s">
        <v>525</v>
      </c>
      <c r="L23" s="4"/>
      <c r="M23" s="97" t="s">
        <v>54</v>
      </c>
      <c r="N23" s="188" t="s">
        <v>268</v>
      </c>
      <c r="O23" s="189" t="s">
        <v>199</v>
      </c>
      <c r="P23" s="189" t="s">
        <v>435</v>
      </c>
      <c r="Q23" s="208" t="s">
        <v>525</v>
      </c>
      <c r="R23" s="4"/>
      <c r="S23" s="97" t="s">
        <v>54</v>
      </c>
      <c r="T23" s="208" t="s">
        <v>70</v>
      </c>
      <c r="U23" s="188" t="s">
        <v>303</v>
      </c>
      <c r="V23" s="189" t="s">
        <v>435</v>
      </c>
      <c r="W23" s="197" t="s">
        <v>525</v>
      </c>
      <c r="X23" s="4"/>
      <c r="Y23" s="97" t="s">
        <v>54</v>
      </c>
      <c r="Z23" s="188" t="s">
        <v>268</v>
      </c>
      <c r="AA23" s="201" t="s">
        <v>664</v>
      </c>
      <c r="AB23" s="201" t="s">
        <v>435</v>
      </c>
      <c r="AC23" s="213" t="s">
        <v>1361</v>
      </c>
      <c r="AD23" s="4"/>
    </row>
    <row r="24">
      <c r="A24" s="97" t="s">
        <v>64</v>
      </c>
      <c r="B24" s="208" t="s">
        <v>761</v>
      </c>
      <c r="C24" s="52"/>
      <c r="D24" s="52"/>
      <c r="E24" s="52"/>
      <c r="F24" s="4"/>
      <c r="G24" s="97" t="s">
        <v>64</v>
      </c>
      <c r="H24" s="189" t="s">
        <v>167</v>
      </c>
      <c r="I24" s="165" t="s">
        <v>912</v>
      </c>
      <c r="J24" s="189" t="s">
        <v>435</v>
      </c>
      <c r="K24" s="135" t="s">
        <v>1065</v>
      </c>
      <c r="L24" s="4"/>
      <c r="M24" s="97" t="s">
        <v>64</v>
      </c>
      <c r="N24" s="189" t="s">
        <v>167</v>
      </c>
      <c r="O24" s="188" t="s">
        <v>1361</v>
      </c>
      <c r="P24" s="189" t="s">
        <v>435</v>
      </c>
      <c r="Q24" s="135" t="s">
        <v>454</v>
      </c>
      <c r="R24" s="4"/>
      <c r="S24" s="97" t="s">
        <v>64</v>
      </c>
      <c r="T24" s="208" t="s">
        <v>810</v>
      </c>
      <c r="U24" s="165" t="s">
        <v>912</v>
      </c>
      <c r="V24" s="189" t="s">
        <v>435</v>
      </c>
      <c r="W24" s="295" t="s">
        <v>1636</v>
      </c>
      <c r="X24" s="4"/>
      <c r="Y24" s="97" t="s">
        <v>64</v>
      </c>
      <c r="Z24" s="201" t="s">
        <v>435</v>
      </c>
      <c r="AA24" s="197" t="s">
        <v>525</v>
      </c>
      <c r="AB24" s="201" t="s">
        <v>435</v>
      </c>
      <c r="AC24" s="295" t="s">
        <v>1636</v>
      </c>
      <c r="AD24" s="4"/>
    </row>
    <row r="25">
      <c r="A25" s="97" t="s">
        <v>71</v>
      </c>
      <c r="B25" s="208" t="s">
        <v>598</v>
      </c>
      <c r="C25" s="52"/>
      <c r="D25" s="52"/>
      <c r="E25" s="52"/>
      <c r="F25" s="4"/>
      <c r="G25" s="97" t="s">
        <v>71</v>
      </c>
      <c r="H25" s="135" t="s">
        <v>201</v>
      </c>
      <c r="I25" s="189" t="s">
        <v>469</v>
      </c>
      <c r="J25" s="189" t="s">
        <v>435</v>
      </c>
      <c r="K25" s="135" t="s">
        <v>1207</v>
      </c>
      <c r="L25" s="4"/>
      <c r="M25" s="97" t="s">
        <v>71</v>
      </c>
      <c r="N25" s="208" t="s">
        <v>633</v>
      </c>
      <c r="O25" s="208" t="s">
        <v>761</v>
      </c>
      <c r="P25" s="189" t="s">
        <v>435</v>
      </c>
      <c r="Q25" s="208" t="s">
        <v>598</v>
      </c>
      <c r="R25" s="4"/>
      <c r="S25" s="97" t="s">
        <v>71</v>
      </c>
      <c r="T25" s="189" t="s">
        <v>167</v>
      </c>
      <c r="U25" s="189" t="s">
        <v>469</v>
      </c>
      <c r="V25" s="189" t="s">
        <v>435</v>
      </c>
      <c r="W25" s="135" t="s">
        <v>1313</v>
      </c>
      <c r="X25" s="4"/>
      <c r="Y25" s="97" t="s">
        <v>71</v>
      </c>
      <c r="Z25" s="135" t="s">
        <v>231</v>
      </c>
      <c r="AA25" s="165" t="s">
        <v>912</v>
      </c>
      <c r="AB25" s="470"/>
      <c r="AC25" s="201" t="s">
        <v>435</v>
      </c>
      <c r="AD25" s="4"/>
    </row>
    <row r="26">
      <c r="A26" s="97" t="s">
        <v>80</v>
      </c>
      <c r="B26" s="135" t="s">
        <v>789</v>
      </c>
      <c r="C26" s="52"/>
      <c r="D26" s="52"/>
      <c r="E26" s="52"/>
      <c r="F26" s="4"/>
      <c r="G26" s="97" t="s">
        <v>80</v>
      </c>
      <c r="H26" s="469" t="s">
        <v>1872</v>
      </c>
      <c r="I26" s="206" t="s">
        <v>1873</v>
      </c>
      <c r="J26" s="189" t="s">
        <v>435</v>
      </c>
      <c r="K26" s="135" t="s">
        <v>1222</v>
      </c>
      <c r="L26" s="4"/>
      <c r="M26" s="97" t="s">
        <v>80</v>
      </c>
      <c r="N26" s="189" t="s">
        <v>982</v>
      </c>
      <c r="O26" s="135" t="s">
        <v>840</v>
      </c>
      <c r="P26" s="189" t="s">
        <v>435</v>
      </c>
      <c r="Q26" s="189" t="s">
        <v>435</v>
      </c>
      <c r="R26" s="4"/>
      <c r="S26" s="97" t="s">
        <v>80</v>
      </c>
      <c r="T26" s="189" t="s">
        <v>435</v>
      </c>
      <c r="U26" s="206" t="s">
        <v>789</v>
      </c>
      <c r="V26" s="189" t="s">
        <v>435</v>
      </c>
      <c r="W26" s="135" t="s">
        <v>1207</v>
      </c>
      <c r="X26" s="4"/>
      <c r="Y26" s="97" t="s">
        <v>80</v>
      </c>
      <c r="Z26" s="189" t="s">
        <v>982</v>
      </c>
      <c r="AA26" s="189" t="s">
        <v>469</v>
      </c>
      <c r="AB26" s="189" t="s">
        <v>435</v>
      </c>
      <c r="AC26" s="201" t="s">
        <v>435</v>
      </c>
      <c r="AD26" s="4"/>
    </row>
    <row r="27">
      <c r="A27" s="97" t="s">
        <v>95</v>
      </c>
      <c r="B27" s="189" t="s">
        <v>889</v>
      </c>
      <c r="C27" s="52"/>
      <c r="D27" s="52"/>
      <c r="E27" s="52"/>
      <c r="F27" s="4"/>
      <c r="G27" s="97" t="s">
        <v>95</v>
      </c>
      <c r="H27" s="464" t="s">
        <v>633</v>
      </c>
      <c r="I27" s="471" t="s">
        <v>1122</v>
      </c>
      <c r="J27" s="189" t="s">
        <v>435</v>
      </c>
      <c r="K27" s="189" t="s">
        <v>96</v>
      </c>
      <c r="L27" s="4"/>
      <c r="M27" s="97" t="s">
        <v>95</v>
      </c>
      <c r="N27" s="189" t="s">
        <v>435</v>
      </c>
      <c r="O27" s="135" t="s">
        <v>782</v>
      </c>
      <c r="P27" s="189" t="s">
        <v>435</v>
      </c>
      <c r="Q27" s="189" t="s">
        <v>435</v>
      </c>
      <c r="R27" s="4"/>
      <c r="S27" s="97" t="s">
        <v>95</v>
      </c>
      <c r="T27" s="189" t="s">
        <v>435</v>
      </c>
      <c r="U27" s="189" t="s">
        <v>1589</v>
      </c>
      <c r="V27" s="189" t="s">
        <v>435</v>
      </c>
      <c r="W27" s="189" t="s">
        <v>435</v>
      </c>
      <c r="X27" s="4"/>
      <c r="Y27" s="97" t="s">
        <v>95</v>
      </c>
      <c r="Z27" s="189"/>
      <c r="AA27" s="189" t="s">
        <v>435</v>
      </c>
      <c r="AB27" s="189" t="s">
        <v>435</v>
      </c>
      <c r="AC27" s="189" t="s">
        <v>435</v>
      </c>
      <c r="AD27" s="4"/>
    </row>
    <row r="28">
      <c r="A28" s="4"/>
      <c r="B28" s="52"/>
      <c r="C28" s="52"/>
      <c r="D28" s="52"/>
      <c r="E28" s="52"/>
      <c r="F28" s="4"/>
      <c r="G28" s="4"/>
      <c r="H28" s="52"/>
      <c r="I28" s="52"/>
      <c r="J28" s="5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52"/>
      <c r="C29" s="52"/>
      <c r="D29" s="52"/>
      <c r="E29" s="52"/>
      <c r="F29" s="4"/>
      <c r="G29" s="4"/>
      <c r="H29" s="52"/>
      <c r="I29" s="52"/>
      <c r="J29" s="5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61"/>
      <c r="B30" s="472">
        <v>45355.0</v>
      </c>
      <c r="C30" s="472">
        <v>45356.0</v>
      </c>
      <c r="D30" s="472">
        <v>45357.0</v>
      </c>
      <c r="E30" s="472">
        <v>45358.0</v>
      </c>
      <c r="F30" s="4"/>
      <c r="G30" s="461"/>
      <c r="H30" s="472">
        <v>45362.0</v>
      </c>
      <c r="I30" s="472">
        <v>45363.0</v>
      </c>
      <c r="J30" s="472">
        <v>45364.0</v>
      </c>
      <c r="K30" s="472">
        <v>45365.0</v>
      </c>
      <c r="L30" s="4"/>
      <c r="M30" s="461"/>
      <c r="N30" s="472">
        <v>45369.0</v>
      </c>
      <c r="O30" s="472">
        <v>45370.0</v>
      </c>
      <c r="P30" s="472">
        <v>45371.0</v>
      </c>
      <c r="Q30" s="472">
        <v>45372.0</v>
      </c>
      <c r="R30" s="4"/>
      <c r="S30" s="461"/>
      <c r="T30" s="472">
        <v>45376.0</v>
      </c>
      <c r="U30" s="472">
        <v>45377.0</v>
      </c>
      <c r="V30" s="472">
        <v>45378.0</v>
      </c>
      <c r="W30" s="472">
        <v>45379.0</v>
      </c>
      <c r="X30" s="4"/>
      <c r="Y30" s="4"/>
      <c r="Z30" s="4"/>
      <c r="AA30" s="4"/>
      <c r="AB30" s="4"/>
      <c r="AC30" s="4"/>
      <c r="AD30" s="4"/>
    </row>
    <row r="31">
      <c r="A31" s="6" t="s">
        <v>0</v>
      </c>
      <c r="B31" s="189" t="s">
        <v>435</v>
      </c>
      <c r="C31" s="189" t="s">
        <v>435</v>
      </c>
      <c r="D31" s="189" t="s">
        <v>435</v>
      </c>
      <c r="E31" s="189" t="s">
        <v>435</v>
      </c>
      <c r="F31" s="4"/>
      <c r="G31" s="6" t="s">
        <v>0</v>
      </c>
      <c r="H31" s="189" t="s">
        <v>435</v>
      </c>
      <c r="I31" s="189" t="s">
        <v>435</v>
      </c>
      <c r="J31" s="189" t="s">
        <v>435</v>
      </c>
      <c r="K31" s="189" t="s">
        <v>435</v>
      </c>
      <c r="L31" s="4"/>
      <c r="M31" s="6" t="s">
        <v>0</v>
      </c>
      <c r="N31" s="189" t="s">
        <v>435</v>
      </c>
      <c r="O31" s="189" t="s">
        <v>435</v>
      </c>
      <c r="P31" s="189" t="s">
        <v>435</v>
      </c>
      <c r="Q31" s="189" t="s">
        <v>435</v>
      </c>
      <c r="R31" s="4"/>
      <c r="S31" s="6" t="s">
        <v>0</v>
      </c>
      <c r="T31" s="189" t="s">
        <v>435</v>
      </c>
      <c r="U31" s="189" t="s">
        <v>435</v>
      </c>
      <c r="V31" s="189" t="s">
        <v>435</v>
      </c>
      <c r="W31" s="189" t="s">
        <v>435</v>
      </c>
      <c r="X31" s="4"/>
      <c r="Y31" s="4"/>
      <c r="Z31" s="4"/>
      <c r="AA31" s="4"/>
      <c r="AB31" s="4"/>
      <c r="AC31" s="4"/>
      <c r="AD31" s="4"/>
    </row>
    <row r="32">
      <c r="A32" s="6" t="s">
        <v>5</v>
      </c>
      <c r="B32" s="189" t="s">
        <v>435</v>
      </c>
      <c r="C32" s="189" t="s">
        <v>435</v>
      </c>
      <c r="D32" s="189" t="s">
        <v>435</v>
      </c>
      <c r="E32" s="207" t="s">
        <v>495</v>
      </c>
      <c r="F32" s="4"/>
      <c r="G32" s="6" t="s">
        <v>5</v>
      </c>
      <c r="H32" s="189" t="s">
        <v>435</v>
      </c>
      <c r="I32" s="189" t="s">
        <v>435</v>
      </c>
      <c r="J32" s="189" t="s">
        <v>435</v>
      </c>
      <c r="K32" s="189" t="s">
        <v>435</v>
      </c>
      <c r="L32" s="4"/>
      <c r="M32" s="6" t="s">
        <v>5</v>
      </c>
      <c r="N32" s="189" t="s">
        <v>435</v>
      </c>
      <c r="O32" s="189" t="s">
        <v>435</v>
      </c>
      <c r="P32" s="189" t="s">
        <v>435</v>
      </c>
      <c r="Q32" s="189" t="s">
        <v>435</v>
      </c>
      <c r="R32" s="4"/>
      <c r="S32" s="6" t="s">
        <v>5</v>
      </c>
      <c r="T32" s="189" t="s">
        <v>435</v>
      </c>
      <c r="U32" s="213" t="s">
        <v>495</v>
      </c>
      <c r="V32" s="189" t="s">
        <v>435</v>
      </c>
      <c r="W32" s="189" t="s">
        <v>435</v>
      </c>
      <c r="X32" s="4"/>
      <c r="Y32" s="4"/>
      <c r="Z32" s="4"/>
      <c r="AA32" s="4"/>
      <c r="AB32" s="4"/>
      <c r="AC32" s="4"/>
      <c r="AD32" s="4"/>
    </row>
    <row r="33">
      <c r="A33" s="6" t="s">
        <v>13</v>
      </c>
      <c r="B33" s="189" t="s">
        <v>435</v>
      </c>
      <c r="C33" s="189" t="s">
        <v>435</v>
      </c>
      <c r="D33" s="189" t="s">
        <v>435</v>
      </c>
      <c r="E33" s="207" t="s">
        <v>134</v>
      </c>
      <c r="F33" s="4"/>
      <c r="G33" s="6" t="s">
        <v>13</v>
      </c>
      <c r="H33" s="189" t="s">
        <v>435</v>
      </c>
      <c r="I33" s="189" t="s">
        <v>435</v>
      </c>
      <c r="J33" s="189" t="s">
        <v>435</v>
      </c>
      <c r="K33" s="189" t="s">
        <v>435</v>
      </c>
      <c r="L33" s="4"/>
      <c r="M33" s="6" t="s">
        <v>13</v>
      </c>
      <c r="N33" s="189" t="s">
        <v>435</v>
      </c>
      <c r="O33" s="189" t="s">
        <v>1250</v>
      </c>
      <c r="P33" s="189" t="s">
        <v>435</v>
      </c>
      <c r="Q33" s="189" t="s">
        <v>435</v>
      </c>
      <c r="R33" s="4"/>
      <c r="S33" s="6" t="s">
        <v>13</v>
      </c>
      <c r="T33" s="189" t="s">
        <v>435</v>
      </c>
      <c r="U33" s="207" t="s">
        <v>134</v>
      </c>
      <c r="V33" s="189" t="s">
        <v>435</v>
      </c>
      <c r="W33" s="189" t="s">
        <v>435</v>
      </c>
      <c r="X33" s="4"/>
      <c r="Y33" s="4"/>
      <c r="Z33" s="4"/>
      <c r="AA33" s="4"/>
      <c r="AB33" s="4"/>
      <c r="AC33" s="4"/>
      <c r="AD33" s="4"/>
    </row>
    <row r="34">
      <c r="A34" s="6" t="s">
        <v>19</v>
      </c>
      <c r="B34" s="189" t="s">
        <v>435</v>
      </c>
      <c r="C34" s="189" t="s">
        <v>435</v>
      </c>
      <c r="D34" s="189" t="s">
        <v>435</v>
      </c>
      <c r="E34" s="189" t="s">
        <v>435</v>
      </c>
      <c r="F34" s="4"/>
      <c r="G34" s="6" t="s">
        <v>19</v>
      </c>
      <c r="H34" s="189" t="s">
        <v>435</v>
      </c>
      <c r="I34" s="189" t="s">
        <v>435</v>
      </c>
      <c r="J34" s="189" t="s">
        <v>435</v>
      </c>
      <c r="K34" s="189" t="s">
        <v>435</v>
      </c>
      <c r="L34" s="4"/>
      <c r="M34" s="6" t="s">
        <v>19</v>
      </c>
      <c r="N34" s="189" t="s">
        <v>435</v>
      </c>
      <c r="O34" s="189" t="s">
        <v>435</v>
      </c>
      <c r="P34" s="189" t="s">
        <v>435</v>
      </c>
      <c r="Q34" s="189" t="s">
        <v>435</v>
      </c>
      <c r="R34" s="4"/>
      <c r="S34" s="6" t="s">
        <v>19</v>
      </c>
      <c r="T34" s="189" t="s">
        <v>435</v>
      </c>
      <c r="U34" s="189" t="s">
        <v>435</v>
      </c>
      <c r="V34" s="189" t="s">
        <v>435</v>
      </c>
      <c r="W34" s="189" t="s">
        <v>435</v>
      </c>
      <c r="X34" s="4"/>
      <c r="Y34" s="4"/>
      <c r="Z34" s="4"/>
      <c r="AA34" s="4"/>
      <c r="AB34" s="4"/>
      <c r="AC34" s="4"/>
      <c r="AD34" s="4"/>
    </row>
    <row r="35">
      <c r="A35" s="6" t="s">
        <v>39</v>
      </c>
      <c r="B35" s="189" t="s">
        <v>738</v>
      </c>
      <c r="C35" s="189" t="s">
        <v>435</v>
      </c>
      <c r="D35" s="189" t="s">
        <v>435</v>
      </c>
      <c r="E35" s="189" t="s">
        <v>435</v>
      </c>
      <c r="F35" s="4"/>
      <c r="G35" s="6" t="s">
        <v>39</v>
      </c>
      <c r="H35" s="189" t="s">
        <v>435</v>
      </c>
      <c r="I35" s="189" t="s">
        <v>813</v>
      </c>
      <c r="J35" s="189" t="s">
        <v>435</v>
      </c>
      <c r="K35" s="189" t="s">
        <v>435</v>
      </c>
      <c r="L35" s="4"/>
      <c r="M35" s="6" t="s">
        <v>39</v>
      </c>
      <c r="N35" s="189" t="s">
        <v>738</v>
      </c>
      <c r="O35" s="189" t="s">
        <v>435</v>
      </c>
      <c r="P35" s="189" t="s">
        <v>435</v>
      </c>
      <c r="Q35" s="189" t="s">
        <v>435</v>
      </c>
      <c r="R35" s="4"/>
      <c r="S35" s="6" t="s">
        <v>39</v>
      </c>
      <c r="T35" s="189" t="s">
        <v>435</v>
      </c>
      <c r="U35" s="189" t="s">
        <v>435</v>
      </c>
      <c r="V35" s="189" t="s">
        <v>435</v>
      </c>
      <c r="W35" s="189" t="s">
        <v>435</v>
      </c>
      <c r="X35" s="4"/>
      <c r="Y35" s="4"/>
      <c r="Z35" s="4"/>
      <c r="AA35" s="4"/>
      <c r="AB35" s="4"/>
      <c r="AC35" s="4"/>
      <c r="AD35" s="4"/>
    </row>
    <row r="36">
      <c r="A36" s="6" t="s">
        <v>45</v>
      </c>
      <c r="B36" s="189" t="s">
        <v>182</v>
      </c>
      <c r="C36" s="207" t="s">
        <v>859</v>
      </c>
      <c r="D36" s="189" t="s">
        <v>435</v>
      </c>
      <c r="E36" s="207" t="s">
        <v>164</v>
      </c>
      <c r="F36" s="4"/>
      <c r="G36" s="6" t="s">
        <v>45</v>
      </c>
      <c r="H36" s="189" t="s">
        <v>435</v>
      </c>
      <c r="I36" s="190" t="s">
        <v>761</v>
      </c>
      <c r="J36" s="207" t="s">
        <v>967</v>
      </c>
      <c r="K36" s="189" t="s">
        <v>435</v>
      </c>
      <c r="L36" s="4"/>
      <c r="M36" s="6" t="s">
        <v>45</v>
      </c>
      <c r="N36" s="189" t="s">
        <v>493</v>
      </c>
      <c r="O36" s="208" t="s">
        <v>164</v>
      </c>
      <c r="P36" s="189" t="s">
        <v>435</v>
      </c>
      <c r="Q36" s="189" t="s">
        <v>435</v>
      </c>
      <c r="R36" s="4"/>
      <c r="S36" s="6" t="s">
        <v>45</v>
      </c>
      <c r="T36" s="197" t="s">
        <v>761</v>
      </c>
      <c r="U36" s="208" t="s">
        <v>813</v>
      </c>
      <c r="V36" s="189" t="s">
        <v>435</v>
      </c>
      <c r="W36" s="189" t="s">
        <v>435</v>
      </c>
      <c r="X36" s="4"/>
      <c r="Y36" s="4"/>
      <c r="Z36" s="4"/>
      <c r="AA36" s="4"/>
      <c r="AB36" s="4"/>
      <c r="AC36" s="4"/>
      <c r="AD36" s="4"/>
    </row>
    <row r="37">
      <c r="A37" s="6" t="s">
        <v>54</v>
      </c>
      <c r="B37" s="190" t="s">
        <v>784</v>
      </c>
      <c r="C37" s="190" t="s">
        <v>785</v>
      </c>
      <c r="D37" s="189" t="s">
        <v>435</v>
      </c>
      <c r="E37" s="207" t="s">
        <v>525</v>
      </c>
      <c r="F37" s="4"/>
      <c r="G37" s="6" t="s">
        <v>54</v>
      </c>
      <c r="H37" s="189" t="s">
        <v>435</v>
      </c>
      <c r="I37" s="135" t="s">
        <v>454</v>
      </c>
      <c r="J37" s="189" t="s">
        <v>435</v>
      </c>
      <c r="K37" s="189" t="s">
        <v>435</v>
      </c>
      <c r="L37" s="4"/>
      <c r="M37" s="6" t="s">
        <v>54</v>
      </c>
      <c r="N37" s="189" t="s">
        <v>1178</v>
      </c>
      <c r="O37" s="208" t="s">
        <v>525</v>
      </c>
      <c r="P37" s="189" t="s">
        <v>435</v>
      </c>
      <c r="Q37" s="189" t="s">
        <v>435</v>
      </c>
      <c r="R37" s="4"/>
      <c r="S37" s="6" t="s">
        <v>54</v>
      </c>
      <c r="T37" s="190" t="s">
        <v>1571</v>
      </c>
      <c r="U37" s="190" t="s">
        <v>268</v>
      </c>
      <c r="V37" s="189" t="s">
        <v>435</v>
      </c>
      <c r="W37" s="189" t="s">
        <v>435</v>
      </c>
      <c r="X37" s="4"/>
      <c r="Y37" s="4"/>
      <c r="Z37" s="4"/>
      <c r="AA37" s="4"/>
      <c r="AB37" s="4"/>
      <c r="AC37" s="4"/>
      <c r="AD37" s="4"/>
    </row>
    <row r="38">
      <c r="A38" s="6" t="s">
        <v>64</v>
      </c>
      <c r="B38" s="207" t="s">
        <v>810</v>
      </c>
      <c r="C38" s="207" t="s">
        <v>912</v>
      </c>
      <c r="D38" s="189" t="s">
        <v>435</v>
      </c>
      <c r="E38" s="207" t="s">
        <v>349</v>
      </c>
      <c r="F38" s="4"/>
      <c r="G38" s="6" t="s">
        <v>64</v>
      </c>
      <c r="H38" s="189" t="s">
        <v>435</v>
      </c>
      <c r="I38" s="135" t="s">
        <v>1123</v>
      </c>
      <c r="J38" s="189" t="s">
        <v>1874</v>
      </c>
      <c r="K38" s="189" t="s">
        <v>435</v>
      </c>
      <c r="L38" s="4"/>
      <c r="M38" s="6" t="s">
        <v>64</v>
      </c>
      <c r="N38" s="189" t="s">
        <v>1195</v>
      </c>
      <c r="O38" s="189" t="s">
        <v>435</v>
      </c>
      <c r="P38" s="189" t="s">
        <v>435</v>
      </c>
      <c r="Q38" s="189" t="s">
        <v>435</v>
      </c>
      <c r="R38" s="4"/>
      <c r="S38" s="6" t="s">
        <v>64</v>
      </c>
      <c r="T38" s="207" t="s">
        <v>349</v>
      </c>
      <c r="U38" s="190" t="s">
        <v>1123</v>
      </c>
      <c r="V38" s="189" t="s">
        <v>435</v>
      </c>
      <c r="W38" s="189" t="s">
        <v>435</v>
      </c>
      <c r="X38" s="4"/>
      <c r="Y38" s="4"/>
      <c r="Z38" s="4"/>
      <c r="AA38" s="4"/>
      <c r="AB38" s="4"/>
      <c r="AC38" s="4"/>
      <c r="AD38" s="4"/>
    </row>
    <row r="39">
      <c r="A39" s="6" t="s">
        <v>71</v>
      </c>
      <c r="B39" s="189" t="s">
        <v>165</v>
      </c>
      <c r="C39" s="189" t="s">
        <v>435</v>
      </c>
      <c r="D39" s="189" t="s">
        <v>435</v>
      </c>
      <c r="E39" s="207" t="s">
        <v>913</v>
      </c>
      <c r="F39" s="4"/>
      <c r="G39" s="6" t="s">
        <v>71</v>
      </c>
      <c r="H39" s="189" t="s">
        <v>435</v>
      </c>
      <c r="I39" s="189" t="s">
        <v>435</v>
      </c>
      <c r="J39" s="189" t="s">
        <v>435</v>
      </c>
      <c r="K39" s="189" t="s">
        <v>435</v>
      </c>
      <c r="L39" s="4"/>
      <c r="M39" s="6" t="s">
        <v>71</v>
      </c>
      <c r="N39" s="189" t="s">
        <v>1208</v>
      </c>
      <c r="O39" s="189" t="s">
        <v>435</v>
      </c>
      <c r="P39" s="189" t="s">
        <v>435</v>
      </c>
      <c r="Q39" s="189" t="s">
        <v>435</v>
      </c>
      <c r="R39" s="4"/>
      <c r="S39" s="6" t="s">
        <v>71</v>
      </c>
      <c r="T39" s="190" t="s">
        <v>789</v>
      </c>
      <c r="U39" s="207" t="s">
        <v>96</v>
      </c>
      <c r="V39" s="189" t="s">
        <v>435</v>
      </c>
      <c r="W39" s="189" t="s">
        <v>435</v>
      </c>
      <c r="X39" s="4"/>
      <c r="Y39" s="4"/>
      <c r="Z39" s="4"/>
      <c r="AA39" s="4"/>
      <c r="AB39" s="4"/>
      <c r="AC39" s="4"/>
      <c r="AD39" s="4"/>
    </row>
    <row r="40">
      <c r="A40" s="6" t="s">
        <v>80</v>
      </c>
      <c r="B40" s="189" t="s">
        <v>435</v>
      </c>
      <c r="C40" s="189" t="s">
        <v>435</v>
      </c>
      <c r="D40" s="189" t="s">
        <v>435</v>
      </c>
      <c r="E40" s="207" t="s">
        <v>120</v>
      </c>
      <c r="F40" s="4"/>
      <c r="G40" s="6" t="s">
        <v>80</v>
      </c>
      <c r="H40" s="189" t="s">
        <v>435</v>
      </c>
      <c r="I40" s="189" t="s">
        <v>435</v>
      </c>
      <c r="J40" s="189" t="s">
        <v>435</v>
      </c>
      <c r="K40" s="189" t="s">
        <v>435</v>
      </c>
      <c r="L40" s="4"/>
      <c r="M40" s="6" t="s">
        <v>80</v>
      </c>
      <c r="N40" s="207" t="s">
        <v>120</v>
      </c>
      <c r="O40" s="189" t="s">
        <v>435</v>
      </c>
      <c r="P40" s="207" t="s">
        <v>913</v>
      </c>
      <c r="Q40" s="189" t="s">
        <v>435</v>
      </c>
      <c r="R40" s="4"/>
      <c r="S40" s="6" t="s">
        <v>80</v>
      </c>
      <c r="T40" s="189" t="s">
        <v>1208</v>
      </c>
      <c r="U40" s="189" t="s">
        <v>435</v>
      </c>
      <c r="V40" s="189" t="s">
        <v>435</v>
      </c>
      <c r="W40" s="189" t="s">
        <v>435</v>
      </c>
      <c r="X40" s="4"/>
      <c r="Y40" s="4"/>
      <c r="Z40" s="4"/>
      <c r="AA40" s="4"/>
      <c r="AB40" s="4"/>
      <c r="AC40" s="4"/>
      <c r="AD40" s="4"/>
    </row>
    <row r="41">
      <c r="A41" s="6" t="s">
        <v>95</v>
      </c>
      <c r="B41" s="189" t="s">
        <v>435</v>
      </c>
      <c r="C41" s="189" t="s">
        <v>435</v>
      </c>
      <c r="D41" s="189" t="s">
        <v>435</v>
      </c>
      <c r="E41" s="189" t="s">
        <v>435</v>
      </c>
      <c r="F41" s="4"/>
      <c r="G41" s="6" t="s">
        <v>95</v>
      </c>
      <c r="H41" s="189" t="s">
        <v>435</v>
      </c>
      <c r="I41" s="189" t="s">
        <v>435</v>
      </c>
      <c r="J41" s="189" t="s">
        <v>435</v>
      </c>
      <c r="K41" s="189" t="s">
        <v>435</v>
      </c>
      <c r="L41" s="4"/>
      <c r="M41" s="6" t="s">
        <v>95</v>
      </c>
      <c r="N41" s="189" t="s">
        <v>435</v>
      </c>
      <c r="O41" s="189" t="s">
        <v>435</v>
      </c>
      <c r="P41" s="189" t="s">
        <v>435</v>
      </c>
      <c r="Q41" s="189" t="s">
        <v>435</v>
      </c>
      <c r="R41" s="4"/>
      <c r="S41" s="6" t="s">
        <v>95</v>
      </c>
      <c r="T41" s="189" t="s">
        <v>435</v>
      </c>
      <c r="U41" s="189" t="s">
        <v>435</v>
      </c>
      <c r="V41" s="189" t="s">
        <v>435</v>
      </c>
      <c r="W41" s="189" t="s">
        <v>435</v>
      </c>
      <c r="X41" s="4"/>
      <c r="Y41" s="4"/>
      <c r="Z41" s="4"/>
      <c r="AA41" s="4"/>
      <c r="AB41" s="4"/>
      <c r="AC41" s="4"/>
      <c r="AD41" s="4"/>
    </row>
    <row r="42">
      <c r="A42" s="4"/>
      <c r="B42" s="52"/>
      <c r="C42" s="52"/>
      <c r="D42" s="52"/>
      <c r="E42" s="52"/>
      <c r="F42" s="4"/>
      <c r="G42" s="4"/>
      <c r="H42" s="52"/>
      <c r="I42" s="52"/>
      <c r="J42" s="52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52"/>
      <c r="C43" s="52"/>
      <c r="D43" s="52"/>
      <c r="E43" s="52"/>
      <c r="F43" s="4"/>
      <c r="G43" s="4"/>
      <c r="H43" s="52"/>
      <c r="I43" s="52"/>
      <c r="J43" s="5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61"/>
      <c r="B44" s="473">
        <v>45383.0</v>
      </c>
      <c r="C44" s="473">
        <v>45384.0</v>
      </c>
      <c r="D44" s="473">
        <v>45385.0</v>
      </c>
      <c r="E44" s="473">
        <v>45386.0</v>
      </c>
      <c r="F44" s="4"/>
      <c r="G44" s="461"/>
      <c r="H44" s="473">
        <v>45390.0</v>
      </c>
      <c r="I44" s="473">
        <v>45391.0</v>
      </c>
      <c r="J44" s="473">
        <v>45392.0</v>
      </c>
      <c r="K44" s="473">
        <v>45393.0</v>
      </c>
      <c r="L44" s="4"/>
      <c r="M44" s="461"/>
      <c r="N44" s="473">
        <v>45397.0</v>
      </c>
      <c r="O44" s="473">
        <v>45398.0</v>
      </c>
      <c r="P44" s="473">
        <v>45399.0</v>
      </c>
      <c r="Q44" s="473">
        <v>45400.0</v>
      </c>
      <c r="R44" s="4"/>
      <c r="S44" s="461"/>
      <c r="T44" s="473">
        <v>45404.0</v>
      </c>
      <c r="U44" s="473">
        <v>45405.0</v>
      </c>
      <c r="V44" s="473">
        <v>45406.0</v>
      </c>
      <c r="W44" s="473">
        <v>45407.0</v>
      </c>
      <c r="X44" s="4"/>
      <c r="Y44" s="4"/>
      <c r="Z44" s="473">
        <v>45411.0</v>
      </c>
      <c r="AA44" s="473">
        <v>45412.0</v>
      </c>
      <c r="AB44" s="4"/>
      <c r="AC44" s="4"/>
      <c r="AD44" s="4"/>
    </row>
    <row r="45">
      <c r="A45" s="97"/>
      <c r="B45" s="201" t="s">
        <v>435</v>
      </c>
      <c r="C45" s="201" t="s">
        <v>435</v>
      </c>
      <c r="D45" s="201" t="s">
        <v>435</v>
      </c>
      <c r="E45" s="201" t="s">
        <v>435</v>
      </c>
      <c r="F45" s="4"/>
      <c r="G45" s="97"/>
      <c r="H45" s="201" t="s">
        <v>435</v>
      </c>
      <c r="I45" s="201" t="s">
        <v>435</v>
      </c>
      <c r="J45" s="201" t="s">
        <v>435</v>
      </c>
      <c r="K45" s="207" t="s">
        <v>134</v>
      </c>
      <c r="L45" s="4"/>
      <c r="M45" s="97"/>
      <c r="N45" s="201" t="s">
        <v>435</v>
      </c>
      <c r="O45" s="201" t="s">
        <v>435</v>
      </c>
      <c r="P45" s="201" t="s">
        <v>435</v>
      </c>
      <c r="Q45" s="201" t="s">
        <v>435</v>
      </c>
      <c r="R45" s="4"/>
      <c r="S45" s="97"/>
      <c r="T45" s="201" t="s">
        <v>435</v>
      </c>
      <c r="U45" s="201" t="s">
        <v>435</v>
      </c>
      <c r="V45" s="201" t="s">
        <v>435</v>
      </c>
      <c r="W45" s="201" t="s">
        <v>435</v>
      </c>
      <c r="X45" s="4"/>
      <c r="Y45" s="4"/>
      <c r="Z45" s="201" t="s">
        <v>435</v>
      </c>
      <c r="AA45" s="201" t="s">
        <v>435</v>
      </c>
      <c r="AB45" s="4"/>
      <c r="AC45" s="4"/>
      <c r="AD45" s="4"/>
    </row>
    <row r="46">
      <c r="A46" s="97"/>
      <c r="B46" s="201" t="s">
        <v>435</v>
      </c>
      <c r="C46" s="201" t="s">
        <v>435</v>
      </c>
      <c r="D46" s="201" t="s">
        <v>435</v>
      </c>
      <c r="E46" s="201" t="s">
        <v>435</v>
      </c>
      <c r="F46" s="4"/>
      <c r="G46" s="97"/>
      <c r="H46" s="201" t="s">
        <v>435</v>
      </c>
      <c r="I46" s="201" t="s">
        <v>435</v>
      </c>
      <c r="J46" s="69" t="s">
        <v>495</v>
      </c>
      <c r="K46" s="189" t="s">
        <v>734</v>
      </c>
      <c r="L46" s="4"/>
      <c r="M46" s="97"/>
      <c r="N46" s="201" t="s">
        <v>435</v>
      </c>
      <c r="O46" s="201" t="s">
        <v>435</v>
      </c>
      <c r="P46" s="201" t="s">
        <v>435</v>
      </c>
      <c r="Q46" s="189" t="s">
        <v>1102</v>
      </c>
      <c r="R46" s="4"/>
      <c r="S46" s="97"/>
      <c r="T46" s="201" t="s">
        <v>435</v>
      </c>
      <c r="U46" s="201" t="s">
        <v>435</v>
      </c>
      <c r="V46" s="201" t="s">
        <v>435</v>
      </c>
      <c r="W46" s="213" t="s">
        <v>495</v>
      </c>
      <c r="X46" s="4"/>
      <c r="Y46" s="4"/>
      <c r="Z46" s="201" t="s">
        <v>435</v>
      </c>
      <c r="AA46" s="201" t="s">
        <v>435</v>
      </c>
      <c r="AB46" s="4"/>
      <c r="AC46" s="4"/>
      <c r="AD46" s="4"/>
    </row>
    <row r="47">
      <c r="A47" s="97"/>
      <c r="B47" s="201" t="s">
        <v>435</v>
      </c>
      <c r="C47" s="201" t="s">
        <v>435</v>
      </c>
      <c r="D47" s="201" t="s">
        <v>435</v>
      </c>
      <c r="E47" s="201" t="s">
        <v>435</v>
      </c>
      <c r="F47" s="4"/>
      <c r="G47" s="97"/>
      <c r="H47" s="201" t="s">
        <v>435</v>
      </c>
      <c r="I47" s="201" t="s">
        <v>435</v>
      </c>
      <c r="J47" s="201" t="s">
        <v>435</v>
      </c>
      <c r="K47" s="201" t="s">
        <v>435</v>
      </c>
      <c r="L47" s="4"/>
      <c r="M47" s="97"/>
      <c r="N47" s="201" t="s">
        <v>435</v>
      </c>
      <c r="O47" s="201" t="s">
        <v>435</v>
      </c>
      <c r="P47" s="201" t="s">
        <v>435</v>
      </c>
      <c r="Q47" s="189" t="s">
        <v>1340</v>
      </c>
      <c r="R47" s="4"/>
      <c r="S47" s="97"/>
      <c r="T47" s="201" t="s">
        <v>435</v>
      </c>
      <c r="U47" s="201" t="s">
        <v>435</v>
      </c>
      <c r="V47" s="201" t="s">
        <v>435</v>
      </c>
      <c r="W47" s="189" t="s">
        <v>1102</v>
      </c>
      <c r="X47" s="4"/>
      <c r="Y47" s="4"/>
      <c r="Z47" s="201" t="s">
        <v>435</v>
      </c>
      <c r="AA47" s="201" t="s">
        <v>435</v>
      </c>
      <c r="AB47" s="4"/>
      <c r="AC47" s="4"/>
      <c r="AD47" s="4"/>
    </row>
    <row r="48">
      <c r="A48" s="97"/>
      <c r="B48" s="201" t="s">
        <v>435</v>
      </c>
      <c r="C48" s="201" t="s">
        <v>435</v>
      </c>
      <c r="D48" s="201" t="s">
        <v>435</v>
      </c>
      <c r="E48" s="201" t="s">
        <v>435</v>
      </c>
      <c r="F48" s="4"/>
      <c r="G48" s="97"/>
      <c r="H48" s="201" t="s">
        <v>435</v>
      </c>
      <c r="I48" s="201" t="s">
        <v>435</v>
      </c>
      <c r="J48" s="201" t="s">
        <v>435</v>
      </c>
      <c r="K48" s="201" t="s">
        <v>435</v>
      </c>
      <c r="L48" s="4"/>
      <c r="M48" s="97"/>
      <c r="N48" s="201" t="s">
        <v>435</v>
      </c>
      <c r="O48" s="201" t="s">
        <v>435</v>
      </c>
      <c r="P48" s="201" t="s">
        <v>435</v>
      </c>
      <c r="Q48" s="201" t="s">
        <v>435</v>
      </c>
      <c r="R48" s="4"/>
      <c r="S48" s="97"/>
      <c r="T48" s="201" t="s">
        <v>435</v>
      </c>
      <c r="U48" s="201" t="s">
        <v>435</v>
      </c>
      <c r="V48" s="201" t="s">
        <v>435</v>
      </c>
      <c r="W48" s="198" t="s">
        <v>448</v>
      </c>
      <c r="X48" s="4"/>
      <c r="Y48" s="4"/>
      <c r="Z48" s="201" t="s">
        <v>435</v>
      </c>
      <c r="AA48" s="201" t="s">
        <v>435</v>
      </c>
      <c r="AB48" s="4"/>
      <c r="AC48" s="4"/>
      <c r="AD48" s="4"/>
    </row>
    <row r="49">
      <c r="A49" s="97"/>
      <c r="B49" s="201" t="s">
        <v>435</v>
      </c>
      <c r="C49" s="201" t="s">
        <v>435</v>
      </c>
      <c r="D49" s="201" t="s">
        <v>435</v>
      </c>
      <c r="E49" s="201" t="s">
        <v>435</v>
      </c>
      <c r="F49" s="4"/>
      <c r="G49" s="97"/>
      <c r="H49" s="49" t="s">
        <v>738</v>
      </c>
      <c r="I49" s="166" t="s">
        <v>268</v>
      </c>
      <c r="J49" s="201" t="s">
        <v>435</v>
      </c>
      <c r="K49" s="201" t="s">
        <v>435</v>
      </c>
      <c r="L49" s="4"/>
      <c r="M49" s="97"/>
      <c r="N49" s="201" t="s">
        <v>435</v>
      </c>
      <c r="O49" s="201" t="s">
        <v>435</v>
      </c>
      <c r="P49" s="201" t="s">
        <v>435</v>
      </c>
      <c r="Q49" s="201" t="s">
        <v>435</v>
      </c>
      <c r="R49" s="4"/>
      <c r="S49" s="97"/>
      <c r="T49" s="201" t="s">
        <v>435</v>
      </c>
      <c r="U49" s="201" t="s">
        <v>435</v>
      </c>
      <c r="V49" s="201" t="s">
        <v>435</v>
      </c>
      <c r="W49" s="201" t="s">
        <v>435</v>
      </c>
      <c r="X49" s="4"/>
      <c r="Y49" s="4"/>
      <c r="Z49" s="201" t="s">
        <v>435</v>
      </c>
      <c r="AA49" s="201" t="s">
        <v>435</v>
      </c>
      <c r="AB49" s="4"/>
      <c r="AC49" s="4"/>
      <c r="AD49" s="4"/>
    </row>
    <row r="50">
      <c r="A50" s="97"/>
      <c r="B50" s="201" t="s">
        <v>435</v>
      </c>
      <c r="C50" s="201" t="s">
        <v>435</v>
      </c>
      <c r="D50" s="201" t="s">
        <v>435</v>
      </c>
      <c r="E50" s="201" t="s">
        <v>435</v>
      </c>
      <c r="F50" s="4"/>
      <c r="G50" s="97"/>
      <c r="H50" s="201" t="s">
        <v>761</v>
      </c>
      <c r="I50" s="166" t="s">
        <v>601</v>
      </c>
      <c r="J50" s="201" t="s">
        <v>435</v>
      </c>
      <c r="K50" s="474" t="s">
        <v>967</v>
      </c>
      <c r="L50" s="4"/>
      <c r="M50" s="97"/>
      <c r="N50" s="189" t="s">
        <v>130</v>
      </c>
      <c r="O50" s="475" t="s">
        <v>268</v>
      </c>
      <c r="P50" s="201" t="s">
        <v>435</v>
      </c>
      <c r="Q50" s="209" t="s">
        <v>1350</v>
      </c>
      <c r="R50" s="4"/>
      <c r="S50" s="97"/>
      <c r="T50" s="197" t="s">
        <v>761</v>
      </c>
      <c r="U50" s="201" t="s">
        <v>435</v>
      </c>
      <c r="V50" s="201" t="s">
        <v>435</v>
      </c>
      <c r="W50" s="242" t="s">
        <v>837</v>
      </c>
      <c r="X50" s="4"/>
      <c r="Y50" s="4"/>
      <c r="Z50" s="189" t="s">
        <v>130</v>
      </c>
      <c r="AA50" s="198" t="s">
        <v>1580</v>
      </c>
      <c r="AB50" s="4"/>
      <c r="AC50" s="4"/>
      <c r="AD50" s="4"/>
    </row>
    <row r="51">
      <c r="A51" s="97"/>
      <c r="B51" s="201" t="s">
        <v>435</v>
      </c>
      <c r="C51" s="201" t="s">
        <v>435</v>
      </c>
      <c r="D51" s="201" t="s">
        <v>435</v>
      </c>
      <c r="E51" s="201" t="s">
        <v>435</v>
      </c>
      <c r="F51" s="4"/>
      <c r="G51" s="97"/>
      <c r="H51" s="49" t="s">
        <v>785</v>
      </c>
      <c r="I51" s="189" t="s">
        <v>784</v>
      </c>
      <c r="J51" s="201" t="s">
        <v>435</v>
      </c>
      <c r="K51" s="242" t="s">
        <v>1102</v>
      </c>
      <c r="L51" s="4"/>
      <c r="M51" s="97"/>
      <c r="N51" s="189" t="s">
        <v>1223</v>
      </c>
      <c r="O51" s="166" t="s">
        <v>199</v>
      </c>
      <c r="P51" s="201" t="s">
        <v>435</v>
      </c>
      <c r="Q51" s="166" t="s">
        <v>1362</v>
      </c>
      <c r="R51" s="4"/>
      <c r="S51" s="97"/>
      <c r="T51" s="190" t="s">
        <v>1435</v>
      </c>
      <c r="U51" s="166" t="s">
        <v>601</v>
      </c>
      <c r="V51" s="201" t="s">
        <v>435</v>
      </c>
      <c r="W51" s="201" t="s">
        <v>435</v>
      </c>
      <c r="X51" s="4"/>
      <c r="Y51" s="4"/>
      <c r="Z51" s="189" t="s">
        <v>130</v>
      </c>
      <c r="AA51" s="190" t="s">
        <v>1282</v>
      </c>
      <c r="AB51" s="4"/>
      <c r="AC51" s="4"/>
      <c r="AD51" s="4"/>
    </row>
    <row r="52">
      <c r="A52" s="97"/>
      <c r="B52" s="201" t="s">
        <v>435</v>
      </c>
      <c r="C52" s="201" t="s">
        <v>435</v>
      </c>
      <c r="D52" s="201" t="s">
        <v>435</v>
      </c>
      <c r="E52" s="201" t="s">
        <v>435</v>
      </c>
      <c r="F52" s="4"/>
      <c r="G52" s="97"/>
      <c r="H52" s="189" t="s">
        <v>810</v>
      </c>
      <c r="I52" s="190" t="s">
        <v>968</v>
      </c>
      <c r="J52" s="201" t="s">
        <v>435</v>
      </c>
      <c r="K52" s="476" t="s">
        <v>349</v>
      </c>
      <c r="L52" s="4"/>
      <c r="M52" s="97"/>
      <c r="N52" s="189" t="s">
        <v>1030</v>
      </c>
      <c r="O52" s="242" t="s">
        <v>1282</v>
      </c>
      <c r="P52" s="201" t="s">
        <v>435</v>
      </c>
      <c r="Q52" s="242" t="s">
        <v>454</v>
      </c>
      <c r="R52" s="4"/>
      <c r="S52" s="97"/>
      <c r="T52" s="208" t="s">
        <v>810</v>
      </c>
      <c r="U52" s="190" t="s">
        <v>968</v>
      </c>
      <c r="V52" s="201" t="s">
        <v>435</v>
      </c>
      <c r="W52" s="242" t="s">
        <v>1030</v>
      </c>
      <c r="X52" s="4"/>
      <c r="Y52" s="4"/>
      <c r="Z52" s="222" t="s">
        <v>454</v>
      </c>
      <c r="AA52" s="164" t="s">
        <v>1030</v>
      </c>
      <c r="AB52" s="4"/>
      <c r="AC52" s="4"/>
      <c r="AD52" s="4"/>
    </row>
    <row r="53">
      <c r="A53" s="97"/>
      <c r="B53" s="201" t="s">
        <v>435</v>
      </c>
      <c r="C53" s="201" t="s">
        <v>435</v>
      </c>
      <c r="D53" s="201" t="s">
        <v>435</v>
      </c>
      <c r="E53" s="201" t="s">
        <v>435</v>
      </c>
      <c r="F53" s="4"/>
      <c r="G53" s="97"/>
      <c r="H53" s="477" t="s">
        <v>454</v>
      </c>
      <c r="I53" s="190" t="s">
        <v>469</v>
      </c>
      <c r="J53" s="205" t="s">
        <v>327</v>
      </c>
      <c r="K53" s="190" t="s">
        <v>912</v>
      </c>
      <c r="L53" s="4"/>
      <c r="M53" s="97"/>
      <c r="N53" s="201" t="s">
        <v>435</v>
      </c>
      <c r="O53" s="166" t="s">
        <v>1298</v>
      </c>
      <c r="P53" s="201" t="s">
        <v>435</v>
      </c>
      <c r="Q53" s="211" t="s">
        <v>1387</v>
      </c>
      <c r="R53" s="4"/>
      <c r="S53" s="97"/>
      <c r="T53" s="190" t="s">
        <v>1875</v>
      </c>
      <c r="U53" s="190" t="s">
        <v>349</v>
      </c>
      <c r="V53" s="201" t="s">
        <v>435</v>
      </c>
      <c r="W53" s="190" t="s">
        <v>1551</v>
      </c>
      <c r="X53" s="4"/>
      <c r="Y53" s="4"/>
      <c r="Z53" s="189" t="s">
        <v>618</v>
      </c>
      <c r="AA53" s="166" t="s">
        <v>1608</v>
      </c>
      <c r="AB53" s="4"/>
      <c r="AC53" s="4"/>
      <c r="AD53" s="4"/>
    </row>
    <row r="54">
      <c r="A54" s="97"/>
      <c r="B54" s="201" t="s">
        <v>435</v>
      </c>
      <c r="C54" s="201" t="s">
        <v>435</v>
      </c>
      <c r="D54" s="201" t="s">
        <v>435</v>
      </c>
      <c r="E54" s="201" t="s">
        <v>435</v>
      </c>
      <c r="F54" s="4"/>
      <c r="G54" s="97"/>
      <c r="H54" s="207" t="s">
        <v>860</v>
      </c>
      <c r="I54" s="190" t="s">
        <v>1003</v>
      </c>
      <c r="J54" s="201" t="s">
        <v>435</v>
      </c>
      <c r="K54" s="201" t="s">
        <v>435</v>
      </c>
      <c r="L54" s="4"/>
      <c r="M54" s="97"/>
      <c r="O54" s="166" t="s">
        <v>120</v>
      </c>
      <c r="P54" s="201" t="s">
        <v>435</v>
      </c>
      <c r="Q54" s="216" t="s">
        <v>913</v>
      </c>
      <c r="R54" s="4"/>
      <c r="S54" s="97"/>
      <c r="T54" s="201" t="s">
        <v>435</v>
      </c>
      <c r="U54" s="201" t="s">
        <v>1504</v>
      </c>
      <c r="V54" s="201" t="s">
        <v>435</v>
      </c>
      <c r="W54" s="478" t="s">
        <v>1409</v>
      </c>
      <c r="X54" s="4"/>
      <c r="Y54" s="4"/>
      <c r="Z54" s="201" t="s">
        <v>435</v>
      </c>
      <c r="AA54" s="190" t="s">
        <v>1618</v>
      </c>
      <c r="AB54" s="4"/>
      <c r="AC54" s="4"/>
      <c r="AD54" s="4"/>
    </row>
    <row r="55">
      <c r="A55" s="479"/>
      <c r="B55" s="201" t="s">
        <v>435</v>
      </c>
      <c r="C55" s="201" t="s">
        <v>435</v>
      </c>
      <c r="D55" s="201" t="s">
        <v>435</v>
      </c>
      <c r="E55" s="201" t="s">
        <v>435</v>
      </c>
      <c r="F55" s="4"/>
      <c r="G55" s="479"/>
      <c r="H55" s="189" t="s">
        <v>618</v>
      </c>
      <c r="I55" s="201" t="s">
        <v>1029</v>
      </c>
      <c r="J55" s="201" t="s">
        <v>435</v>
      </c>
      <c r="K55" s="201" t="s">
        <v>1161</v>
      </c>
      <c r="L55" s="4"/>
      <c r="M55" s="479"/>
      <c r="N55" s="201" t="s">
        <v>435</v>
      </c>
      <c r="O55" s="201" t="s">
        <v>435</v>
      </c>
      <c r="P55" s="201" t="s">
        <v>435</v>
      </c>
      <c r="Q55" s="198" t="s">
        <v>1409</v>
      </c>
      <c r="R55" s="4"/>
      <c r="S55" s="479"/>
      <c r="T55" s="201" t="s">
        <v>435</v>
      </c>
      <c r="U55" s="201" t="s">
        <v>435</v>
      </c>
      <c r="V55" s="201" t="s">
        <v>435</v>
      </c>
      <c r="W55" s="201" t="s">
        <v>1556</v>
      </c>
      <c r="X55" s="4"/>
      <c r="Y55" s="4"/>
      <c r="Z55" s="201" t="s">
        <v>435</v>
      </c>
      <c r="AA55" s="201" t="s">
        <v>435</v>
      </c>
      <c r="AB55" s="4"/>
      <c r="AC55" s="4"/>
      <c r="AD55" s="4"/>
    </row>
    <row r="56">
      <c r="A56" s="4"/>
      <c r="B56" s="52"/>
      <c r="C56" s="52"/>
      <c r="D56" s="52"/>
      <c r="E56" s="52"/>
      <c r="F56" s="4"/>
      <c r="G56" s="4"/>
      <c r="H56" s="52"/>
      <c r="I56" s="52"/>
      <c r="J56" s="52"/>
      <c r="K56" s="5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52"/>
      <c r="C57" s="52"/>
      <c r="D57" s="52"/>
      <c r="E57" s="52"/>
      <c r="F57" s="4"/>
      <c r="G57" s="4"/>
      <c r="H57" s="52"/>
      <c r="I57" s="52"/>
      <c r="J57" s="52"/>
      <c r="K57" s="5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61"/>
      <c r="B58" s="480">
        <v>45413.0</v>
      </c>
      <c r="C58" s="481">
        <v>45414.0</v>
      </c>
      <c r="D58" s="52"/>
      <c r="E58" s="52"/>
      <c r="F58" s="4"/>
      <c r="G58" s="461"/>
      <c r="H58" s="481">
        <v>45418.0</v>
      </c>
      <c r="I58" s="481">
        <v>45419.0</v>
      </c>
      <c r="J58" s="481">
        <v>45420.0</v>
      </c>
      <c r="K58" s="481">
        <v>45421.0</v>
      </c>
      <c r="L58" s="4"/>
      <c r="M58" s="461"/>
      <c r="N58" s="481">
        <v>45425.0</v>
      </c>
      <c r="O58" s="481">
        <v>45426.0</v>
      </c>
      <c r="P58" s="481">
        <v>45427.0</v>
      </c>
      <c r="Q58" s="481">
        <v>45428.0</v>
      </c>
      <c r="R58" s="4"/>
      <c r="S58" s="461"/>
      <c r="T58" s="481">
        <v>45432.0</v>
      </c>
      <c r="U58" s="481">
        <v>45433.0</v>
      </c>
      <c r="V58" s="481">
        <v>45434.0</v>
      </c>
      <c r="W58" s="481">
        <v>45435.0</v>
      </c>
      <c r="X58" s="4"/>
      <c r="Y58" s="461"/>
      <c r="Z58" s="481">
        <v>45439.0</v>
      </c>
      <c r="AA58" s="481">
        <v>45440.0</v>
      </c>
      <c r="AB58" s="481">
        <v>45441.0</v>
      </c>
      <c r="AC58" s="481">
        <v>45442.0</v>
      </c>
      <c r="AD58" s="4"/>
    </row>
    <row r="59">
      <c r="A59" s="97"/>
      <c r="B59" s="201" t="s">
        <v>435</v>
      </c>
      <c r="C59" s="189"/>
      <c r="D59" s="52"/>
      <c r="E59" s="52"/>
      <c r="F59" s="4"/>
      <c r="G59" s="97"/>
      <c r="H59" s="201" t="s">
        <v>435</v>
      </c>
      <c r="I59" s="201" t="s">
        <v>435</v>
      </c>
      <c r="J59" s="201" t="s">
        <v>435</v>
      </c>
      <c r="K59" s="201" t="s">
        <v>435</v>
      </c>
      <c r="L59" s="4"/>
      <c r="M59" s="97"/>
      <c r="N59" s="201" t="s">
        <v>435</v>
      </c>
      <c r="O59" s="201" t="s">
        <v>435</v>
      </c>
      <c r="P59" s="201" t="s">
        <v>435</v>
      </c>
      <c r="Q59" s="189"/>
      <c r="R59" s="4"/>
      <c r="S59" s="97"/>
      <c r="T59" s="201" t="s">
        <v>435</v>
      </c>
      <c r="U59" s="201" t="s">
        <v>435</v>
      </c>
      <c r="V59" s="201" t="s">
        <v>435</v>
      </c>
      <c r="W59" s="201" t="s">
        <v>435</v>
      </c>
      <c r="X59" s="4"/>
      <c r="Y59" s="97"/>
      <c r="Z59" s="189"/>
      <c r="AA59" s="189"/>
      <c r="AB59" s="201" t="s">
        <v>435</v>
      </c>
      <c r="AC59" s="189"/>
      <c r="AD59" s="4"/>
    </row>
    <row r="60">
      <c r="A60" s="97"/>
      <c r="B60" s="201" t="s">
        <v>435</v>
      </c>
      <c r="C60" s="164" t="s">
        <v>739</v>
      </c>
      <c r="D60" s="52"/>
      <c r="E60" s="52"/>
      <c r="F60" s="4"/>
      <c r="G60" s="97"/>
      <c r="H60" s="201" t="s">
        <v>435</v>
      </c>
      <c r="I60" s="201" t="s">
        <v>435</v>
      </c>
      <c r="J60" s="201" t="s">
        <v>435</v>
      </c>
      <c r="K60" s="213" t="s">
        <v>169</v>
      </c>
      <c r="L60" s="4"/>
      <c r="M60" s="97"/>
      <c r="N60" s="201" t="s">
        <v>435</v>
      </c>
      <c r="O60" s="201" t="s">
        <v>435</v>
      </c>
      <c r="P60" s="201" t="s">
        <v>435</v>
      </c>
      <c r="Q60" s="164" t="s">
        <v>862</v>
      </c>
      <c r="R60" s="4"/>
      <c r="S60" s="97"/>
      <c r="T60" s="201" t="s">
        <v>435</v>
      </c>
      <c r="U60" s="201" t="s">
        <v>435</v>
      </c>
      <c r="V60" s="201" t="s">
        <v>435</v>
      </c>
      <c r="W60" s="201" t="s">
        <v>603</v>
      </c>
      <c r="X60" s="4"/>
      <c r="Y60" s="97"/>
      <c r="Z60" s="189"/>
      <c r="AA60" s="468"/>
      <c r="AB60" s="201" t="s">
        <v>435</v>
      </c>
      <c r="AC60" s="189" t="s">
        <v>134</v>
      </c>
      <c r="AD60" s="4"/>
    </row>
    <row r="61">
      <c r="A61" s="97"/>
      <c r="B61" s="201" t="s">
        <v>435</v>
      </c>
      <c r="C61" s="198" t="s">
        <v>448</v>
      </c>
      <c r="D61" s="52"/>
      <c r="E61" s="52"/>
      <c r="F61" s="4"/>
      <c r="G61" s="97"/>
      <c r="H61" s="201" t="s">
        <v>435</v>
      </c>
      <c r="I61" s="164" t="s">
        <v>1004</v>
      </c>
      <c r="J61" s="201" t="s">
        <v>435</v>
      </c>
      <c r="K61" s="189" t="s">
        <v>1103</v>
      </c>
      <c r="L61" s="4"/>
      <c r="M61" s="97"/>
      <c r="N61" s="201" t="s">
        <v>435</v>
      </c>
      <c r="O61" s="201" t="s">
        <v>435</v>
      </c>
      <c r="P61" s="201" t="s">
        <v>435</v>
      </c>
      <c r="Q61" s="164"/>
      <c r="R61" s="4"/>
      <c r="S61" s="97"/>
      <c r="T61" s="201" t="s">
        <v>435</v>
      </c>
      <c r="U61" s="201" t="s">
        <v>435</v>
      </c>
      <c r="V61" s="201" t="s">
        <v>435</v>
      </c>
      <c r="W61" s="164" t="s">
        <v>862</v>
      </c>
      <c r="X61" s="4"/>
      <c r="Y61" s="97"/>
      <c r="Z61" s="189"/>
      <c r="AA61" s="189"/>
      <c r="AB61" s="201" t="s">
        <v>435</v>
      </c>
      <c r="AC61" s="201" t="s">
        <v>603</v>
      </c>
      <c r="AD61" s="4"/>
    </row>
    <row r="62">
      <c r="A62" s="97"/>
      <c r="B62" s="201" t="s">
        <v>435</v>
      </c>
      <c r="C62" s="164" t="s">
        <v>786</v>
      </c>
      <c r="D62" s="52"/>
      <c r="E62" s="52"/>
      <c r="F62" s="4"/>
      <c r="G62" s="97"/>
      <c r="H62" s="201" t="s">
        <v>435</v>
      </c>
      <c r="I62" s="201" t="s">
        <v>435</v>
      </c>
      <c r="J62" s="201" t="s">
        <v>435</v>
      </c>
      <c r="K62" s="189"/>
      <c r="L62" s="4"/>
      <c r="M62" s="97"/>
      <c r="N62" s="201" t="s">
        <v>435</v>
      </c>
      <c r="O62" s="201" t="s">
        <v>435</v>
      </c>
      <c r="P62" s="201" t="s">
        <v>435</v>
      </c>
      <c r="Q62" s="469"/>
      <c r="R62" s="4"/>
      <c r="S62" s="97"/>
      <c r="T62" s="201" t="s">
        <v>435</v>
      </c>
      <c r="U62" s="201" t="s">
        <v>435</v>
      </c>
      <c r="V62" s="201" t="s">
        <v>435</v>
      </c>
      <c r="W62" s="201" t="s">
        <v>435</v>
      </c>
      <c r="X62" s="4"/>
      <c r="Y62" s="97"/>
      <c r="Z62" s="189"/>
      <c r="AA62" s="189"/>
      <c r="AB62" s="201" t="s">
        <v>435</v>
      </c>
      <c r="AC62" s="18"/>
      <c r="AD62" s="4"/>
    </row>
    <row r="63">
      <c r="A63" s="97"/>
      <c r="B63" s="201" t="s">
        <v>435</v>
      </c>
      <c r="C63" s="189"/>
      <c r="D63" s="52"/>
      <c r="E63" s="52"/>
      <c r="F63" s="4"/>
      <c r="G63" s="97"/>
      <c r="H63" s="201" t="s">
        <v>435</v>
      </c>
      <c r="I63" s="201" t="s">
        <v>435</v>
      </c>
      <c r="J63" s="201" t="s">
        <v>435</v>
      </c>
      <c r="K63" s="209" t="s">
        <v>550</v>
      </c>
      <c r="L63" s="4"/>
      <c r="M63" s="97"/>
      <c r="N63" s="201" t="s">
        <v>435</v>
      </c>
      <c r="O63" s="201" t="s">
        <v>435</v>
      </c>
      <c r="P63" s="201" t="s">
        <v>435</v>
      </c>
      <c r="Q63" s="189" t="s">
        <v>591</v>
      </c>
      <c r="R63" s="4"/>
      <c r="S63" s="97"/>
      <c r="T63" s="201" t="s">
        <v>435</v>
      </c>
      <c r="U63" s="201" t="s">
        <v>435</v>
      </c>
      <c r="V63" s="201" t="s">
        <v>435</v>
      </c>
      <c r="W63" s="201" t="s">
        <v>435</v>
      </c>
      <c r="X63" s="4"/>
      <c r="Y63" s="97"/>
      <c r="Z63" s="164" t="s">
        <v>248</v>
      </c>
      <c r="AA63" s="209" t="s">
        <v>1126</v>
      </c>
      <c r="AB63" s="201" t="s">
        <v>435</v>
      </c>
      <c r="AC63" s="189"/>
      <c r="AD63" s="4"/>
    </row>
    <row r="64">
      <c r="A64" s="97"/>
      <c r="B64" s="201" t="s">
        <v>435</v>
      </c>
      <c r="C64" s="209" t="s">
        <v>811</v>
      </c>
      <c r="D64" s="52"/>
      <c r="E64" s="52"/>
      <c r="F64" s="4"/>
      <c r="G64" s="97"/>
      <c r="H64" s="197" t="s">
        <v>934</v>
      </c>
      <c r="I64" s="242" t="s">
        <v>1030</v>
      </c>
      <c r="J64" s="201" t="s">
        <v>435</v>
      </c>
      <c r="K64" s="209" t="s">
        <v>591</v>
      </c>
      <c r="L64" s="4"/>
      <c r="M64" s="97"/>
      <c r="N64" s="189" t="s">
        <v>1196</v>
      </c>
      <c r="O64" s="201" t="s">
        <v>435</v>
      </c>
      <c r="P64" s="201" t="s">
        <v>435</v>
      </c>
      <c r="Q64" s="189" t="s">
        <v>934</v>
      </c>
      <c r="R64" s="4"/>
      <c r="S64" s="97"/>
      <c r="T64" s="201" t="s">
        <v>435</v>
      </c>
      <c r="U64" s="201" t="s">
        <v>435</v>
      </c>
      <c r="V64" s="201" t="s">
        <v>435</v>
      </c>
      <c r="W64" s="242" t="s">
        <v>1125</v>
      </c>
      <c r="X64" s="4"/>
      <c r="Y64" s="97"/>
      <c r="Z64" s="164" t="s">
        <v>130</v>
      </c>
      <c r="AA64" s="189" t="s">
        <v>520</v>
      </c>
      <c r="AB64" s="201" t="s">
        <v>435</v>
      </c>
      <c r="AC64" s="245" t="s">
        <v>96</v>
      </c>
      <c r="AD64" s="4"/>
    </row>
    <row r="65">
      <c r="A65" s="97"/>
      <c r="B65" s="201" t="s">
        <v>435</v>
      </c>
      <c r="C65" s="209" t="s">
        <v>837</v>
      </c>
      <c r="D65" s="52"/>
      <c r="E65" s="52"/>
      <c r="F65" s="4"/>
      <c r="G65" s="97"/>
      <c r="H65" s="211" t="s">
        <v>952</v>
      </c>
      <c r="I65" s="166" t="s">
        <v>601</v>
      </c>
      <c r="J65" s="201" t="s">
        <v>435</v>
      </c>
      <c r="K65" s="166" t="s">
        <v>870</v>
      </c>
      <c r="L65" s="4"/>
      <c r="M65" s="97"/>
      <c r="N65" s="189" t="s">
        <v>1126</v>
      </c>
      <c r="O65" s="201" t="s">
        <v>435</v>
      </c>
      <c r="P65" s="201" t="s">
        <v>435</v>
      </c>
      <c r="Q65" s="49" t="s">
        <v>1314</v>
      </c>
      <c r="R65" s="4"/>
      <c r="S65" s="97"/>
      <c r="T65" s="189" t="s">
        <v>1126</v>
      </c>
      <c r="U65" s="201" t="s">
        <v>435</v>
      </c>
      <c r="V65" s="201" t="s">
        <v>435</v>
      </c>
      <c r="W65" s="166" t="s">
        <v>70</v>
      </c>
      <c r="X65" s="4"/>
      <c r="Y65" s="97"/>
      <c r="Z65" s="164" t="s">
        <v>591</v>
      </c>
      <c r="AA65" s="209" t="s">
        <v>491</v>
      </c>
      <c r="AB65" s="201" t="s">
        <v>435</v>
      </c>
      <c r="AC65" s="245" t="s">
        <v>70</v>
      </c>
      <c r="AD65" s="4"/>
    </row>
    <row r="66">
      <c r="A66" s="97"/>
      <c r="B66" s="201" t="s">
        <v>435</v>
      </c>
      <c r="C66" s="190" t="s">
        <v>1876</v>
      </c>
      <c r="D66" s="52"/>
      <c r="E66" s="52"/>
      <c r="F66" s="4"/>
      <c r="G66" s="97"/>
      <c r="H66" s="208" t="s">
        <v>969</v>
      </c>
      <c r="I66" s="208" t="s">
        <v>40</v>
      </c>
      <c r="J66" s="201" t="s">
        <v>435</v>
      </c>
      <c r="K66" s="201" t="s">
        <v>435</v>
      </c>
      <c r="L66" s="4"/>
      <c r="M66" s="97"/>
      <c r="N66" s="49" t="s">
        <v>589</v>
      </c>
      <c r="O66" s="201" t="s">
        <v>435</v>
      </c>
      <c r="P66" s="201" t="s">
        <v>435</v>
      </c>
      <c r="Q66" s="49" t="s">
        <v>96</v>
      </c>
      <c r="R66" s="4"/>
      <c r="S66" s="97"/>
      <c r="T66" s="208" t="s">
        <v>40</v>
      </c>
      <c r="U66" s="242" t="s">
        <v>301</v>
      </c>
      <c r="V66" s="201" t="s">
        <v>435</v>
      </c>
      <c r="W66" s="164" t="s">
        <v>1162</v>
      </c>
      <c r="X66" s="4"/>
      <c r="Y66" s="97"/>
      <c r="Z66" s="164" t="s">
        <v>323</v>
      </c>
      <c r="AA66" s="49" t="s">
        <v>546</v>
      </c>
      <c r="AB66" s="201" t="s">
        <v>435</v>
      </c>
      <c r="AC66" s="245" t="s">
        <v>955</v>
      </c>
      <c r="AD66" s="4"/>
    </row>
    <row r="67">
      <c r="A67" s="97"/>
      <c r="B67" s="201" t="s">
        <v>435</v>
      </c>
      <c r="C67" s="189" t="s">
        <v>487</v>
      </c>
      <c r="D67" s="52"/>
      <c r="E67" s="52"/>
      <c r="F67" s="4"/>
      <c r="G67" s="97"/>
      <c r="H67" s="198" t="s">
        <v>327</v>
      </c>
      <c r="I67" s="201" t="s">
        <v>435</v>
      </c>
      <c r="J67" s="201" t="s">
        <v>435</v>
      </c>
      <c r="K67" s="201" t="s">
        <v>435</v>
      </c>
      <c r="L67" s="4"/>
      <c r="M67" s="97"/>
      <c r="N67" s="189" t="s">
        <v>327</v>
      </c>
      <c r="O67" s="201" t="s">
        <v>435</v>
      </c>
      <c r="P67" s="201" t="s">
        <v>435</v>
      </c>
      <c r="Q67" s="482" t="s">
        <v>548</v>
      </c>
      <c r="R67" s="4"/>
      <c r="S67" s="97"/>
      <c r="T67" s="211" t="s">
        <v>952</v>
      </c>
      <c r="U67" s="166" t="s">
        <v>914</v>
      </c>
      <c r="V67" s="201" t="s">
        <v>435</v>
      </c>
      <c r="W67" s="190" t="s">
        <v>1509</v>
      </c>
      <c r="X67" s="4"/>
      <c r="Y67" s="97"/>
      <c r="Z67" s="164" t="s">
        <v>1877</v>
      </c>
      <c r="AA67" s="49" t="s">
        <v>1251</v>
      </c>
      <c r="AB67" s="201" t="s">
        <v>435</v>
      </c>
      <c r="AC67" s="189" t="s">
        <v>184</v>
      </c>
      <c r="AD67" s="4"/>
    </row>
    <row r="68">
      <c r="A68" s="97"/>
      <c r="B68" s="201" t="s">
        <v>435</v>
      </c>
      <c r="C68" s="216" t="s">
        <v>913</v>
      </c>
      <c r="D68" s="52"/>
      <c r="E68" s="52"/>
      <c r="F68" s="4"/>
      <c r="G68" s="97"/>
      <c r="H68" s="483" t="s">
        <v>633</v>
      </c>
      <c r="I68" s="201" t="s">
        <v>435</v>
      </c>
      <c r="J68" s="201" t="s">
        <v>435</v>
      </c>
      <c r="K68" s="201" t="s">
        <v>435</v>
      </c>
      <c r="L68" s="4"/>
      <c r="M68" s="97"/>
      <c r="N68" s="49" t="s">
        <v>1251</v>
      </c>
      <c r="O68" s="201" t="s">
        <v>435</v>
      </c>
      <c r="P68" s="201" t="s">
        <v>435</v>
      </c>
      <c r="Q68" s="259" t="s">
        <v>305</v>
      </c>
      <c r="R68" s="4"/>
      <c r="S68" s="97"/>
      <c r="T68" s="189" t="s">
        <v>838</v>
      </c>
      <c r="U68" s="189" t="s">
        <v>184</v>
      </c>
      <c r="V68" s="201" t="s">
        <v>435</v>
      </c>
      <c r="W68" s="166" t="s">
        <v>120</v>
      </c>
      <c r="X68" s="4"/>
      <c r="Y68" s="97"/>
      <c r="Z68" s="189" t="s">
        <v>302</v>
      </c>
      <c r="AA68" s="189"/>
      <c r="AB68" s="201" t="s">
        <v>435</v>
      </c>
      <c r="AC68" s="164" t="s">
        <v>242</v>
      </c>
      <c r="AD68" s="4"/>
    </row>
    <row r="69">
      <c r="A69" s="479"/>
      <c r="B69" s="201" t="s">
        <v>435</v>
      </c>
      <c r="C69" s="198"/>
      <c r="D69" s="52"/>
      <c r="E69" s="52"/>
      <c r="F69" s="4"/>
      <c r="G69" s="479"/>
      <c r="H69" s="201" t="s">
        <v>435</v>
      </c>
      <c r="I69" s="201" t="s">
        <v>435</v>
      </c>
      <c r="J69" s="201" t="s">
        <v>435</v>
      </c>
      <c r="K69" s="201" t="s">
        <v>435</v>
      </c>
      <c r="L69" s="4"/>
      <c r="M69" s="479"/>
      <c r="N69" s="201" t="s">
        <v>435</v>
      </c>
      <c r="O69" s="201" t="s">
        <v>435</v>
      </c>
      <c r="P69" s="201" t="s">
        <v>435</v>
      </c>
      <c r="Q69" s="166" t="s">
        <v>951</v>
      </c>
      <c r="R69" s="4"/>
      <c r="S69" s="479"/>
      <c r="T69" s="189" t="s">
        <v>1421</v>
      </c>
      <c r="U69" s="201" t="s">
        <v>435</v>
      </c>
      <c r="V69" s="201" t="s">
        <v>435</v>
      </c>
      <c r="W69" s="164" t="s">
        <v>1526</v>
      </c>
      <c r="X69" s="4"/>
      <c r="Y69" s="479"/>
      <c r="Z69" s="189"/>
      <c r="AA69" s="189"/>
      <c r="AB69" s="201" t="s">
        <v>435</v>
      </c>
      <c r="AC69" s="189" t="s">
        <v>302</v>
      </c>
      <c r="AD69" s="4"/>
    </row>
    <row r="70">
      <c r="A70" s="4"/>
      <c r="B70" s="52"/>
      <c r="C70" s="52"/>
      <c r="D70" s="52"/>
      <c r="E70" s="52"/>
      <c r="F70" s="4"/>
      <c r="G70" s="4"/>
      <c r="H70" s="52"/>
      <c r="I70" s="52"/>
      <c r="J70" s="52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52"/>
      <c r="C71" s="52"/>
      <c r="D71" s="52"/>
      <c r="E71" s="52"/>
      <c r="F71" s="4"/>
      <c r="G71" s="4"/>
      <c r="H71" s="52"/>
      <c r="I71" s="52"/>
      <c r="J71" s="52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84">
        <v>45446.0</v>
      </c>
      <c r="C72" s="484">
        <v>45447.0</v>
      </c>
      <c r="D72" s="484">
        <v>45448.0</v>
      </c>
      <c r="E72" s="484">
        <v>45449.0</v>
      </c>
      <c r="F72" s="57"/>
      <c r="G72" s="57"/>
      <c r="H72" s="484">
        <v>45453.0</v>
      </c>
      <c r="I72" s="484">
        <v>45454.0</v>
      </c>
      <c r="J72" s="484">
        <v>45455.0</v>
      </c>
      <c r="K72" s="484">
        <v>45456.0</v>
      </c>
      <c r="L72" s="57"/>
      <c r="M72" s="57"/>
      <c r="N72" s="484">
        <v>45460.0</v>
      </c>
      <c r="O72" s="484">
        <v>45461.0</v>
      </c>
      <c r="P72" s="484">
        <v>45462.0</v>
      </c>
      <c r="Q72" s="484">
        <v>45463.0</v>
      </c>
      <c r="R72" s="57"/>
      <c r="S72" s="57"/>
      <c r="T72" s="484">
        <v>45467.0</v>
      </c>
      <c r="U72" s="484">
        <v>45468.0</v>
      </c>
      <c r="V72" s="484">
        <v>45469.0</v>
      </c>
      <c r="W72" s="484">
        <v>45470.0</v>
      </c>
      <c r="X72" s="57"/>
      <c r="Y72" s="4"/>
      <c r="Z72" s="4"/>
      <c r="AA72" s="4"/>
      <c r="AB72" s="4"/>
      <c r="AC72" s="4"/>
      <c r="AD72" s="4"/>
    </row>
    <row r="73">
      <c r="A73" s="97"/>
      <c r="B73" s="201" t="s">
        <v>435</v>
      </c>
      <c r="C73" s="201" t="s">
        <v>435</v>
      </c>
      <c r="D73" s="201" t="s">
        <v>435</v>
      </c>
      <c r="E73" s="201" t="s">
        <v>953</v>
      </c>
      <c r="F73" s="4"/>
      <c r="G73" s="97"/>
      <c r="H73" s="201" t="s">
        <v>435</v>
      </c>
      <c r="I73" s="201" t="s">
        <v>435</v>
      </c>
      <c r="J73" s="201" t="s">
        <v>435</v>
      </c>
      <c r="K73" s="201" t="s">
        <v>435</v>
      </c>
      <c r="L73" s="4"/>
      <c r="M73" s="97"/>
      <c r="N73" s="201" t="s">
        <v>435</v>
      </c>
      <c r="O73" s="201" t="s">
        <v>435</v>
      </c>
      <c r="P73" s="201" t="s">
        <v>435</v>
      </c>
      <c r="Q73" s="201" t="s">
        <v>953</v>
      </c>
      <c r="R73" s="4"/>
      <c r="S73" s="97"/>
      <c r="T73" s="201" t="s">
        <v>435</v>
      </c>
      <c r="U73" s="201" t="s">
        <v>435</v>
      </c>
      <c r="V73" s="201" t="s">
        <v>435</v>
      </c>
      <c r="W73" s="201" t="s">
        <v>435</v>
      </c>
      <c r="X73" s="4"/>
      <c r="Y73" s="4"/>
      <c r="Z73" s="4"/>
      <c r="AA73" s="4"/>
      <c r="AB73" s="4"/>
      <c r="AC73" s="4"/>
      <c r="AD73" s="4"/>
    </row>
    <row r="74">
      <c r="A74" s="97"/>
      <c r="B74" s="201" t="s">
        <v>435</v>
      </c>
      <c r="C74" s="201" t="s">
        <v>787</v>
      </c>
      <c r="D74" s="201" t="s">
        <v>435</v>
      </c>
      <c r="E74" s="213" t="s">
        <v>169</v>
      </c>
      <c r="F74" s="4"/>
      <c r="G74" s="97"/>
      <c r="H74" s="201" t="s">
        <v>435</v>
      </c>
      <c r="I74" s="201" t="s">
        <v>435</v>
      </c>
      <c r="J74" s="201" t="s">
        <v>435</v>
      </c>
      <c r="K74" s="485" t="s">
        <v>134</v>
      </c>
      <c r="L74" s="4"/>
      <c r="M74" s="97"/>
      <c r="N74" s="201" t="s">
        <v>435</v>
      </c>
      <c r="O74" s="201" t="s">
        <v>435</v>
      </c>
      <c r="P74" s="201" t="s">
        <v>435</v>
      </c>
      <c r="Q74" s="213" t="s">
        <v>169</v>
      </c>
      <c r="R74" s="4"/>
      <c r="S74" s="97"/>
      <c r="T74" s="201" t="s">
        <v>435</v>
      </c>
      <c r="U74" s="201" t="s">
        <v>1627</v>
      </c>
      <c r="V74" s="201" t="s">
        <v>435</v>
      </c>
      <c r="W74" s="201" t="s">
        <v>435</v>
      </c>
      <c r="X74" s="4"/>
      <c r="Y74" s="4"/>
      <c r="Z74" s="4"/>
      <c r="AA74" s="4"/>
      <c r="AB74" s="4"/>
      <c r="AC74" s="4"/>
      <c r="AD74" s="4"/>
    </row>
    <row r="75">
      <c r="A75" s="97"/>
      <c r="B75" s="201" t="s">
        <v>435</v>
      </c>
      <c r="C75" s="209" t="s">
        <v>491</v>
      </c>
      <c r="D75" s="201" t="s">
        <v>435</v>
      </c>
      <c r="E75" s="164" t="s">
        <v>1067</v>
      </c>
      <c r="F75" s="4"/>
      <c r="G75" s="97"/>
      <c r="H75" s="201" t="s">
        <v>435</v>
      </c>
      <c r="I75" s="212" t="s">
        <v>491</v>
      </c>
      <c r="J75" s="201" t="s">
        <v>435</v>
      </c>
      <c r="K75" s="212" t="s">
        <v>301</v>
      </c>
      <c r="L75" s="4"/>
      <c r="M75" s="97"/>
      <c r="N75" s="201" t="s">
        <v>435</v>
      </c>
      <c r="O75" s="187" t="s">
        <v>313</v>
      </c>
      <c r="P75" s="201" t="s">
        <v>435</v>
      </c>
      <c r="Q75" s="164" t="s">
        <v>201</v>
      </c>
      <c r="R75" s="4"/>
      <c r="S75" s="97"/>
      <c r="T75" s="201" t="s">
        <v>435</v>
      </c>
      <c r="U75" s="164" t="s">
        <v>248</v>
      </c>
      <c r="V75" s="201" t="s">
        <v>435</v>
      </c>
      <c r="W75" s="209" t="s">
        <v>348</v>
      </c>
      <c r="X75" s="4"/>
      <c r="Y75" s="4"/>
      <c r="Z75" s="4"/>
      <c r="AA75" s="4"/>
      <c r="AB75" s="4"/>
      <c r="AC75" s="4"/>
      <c r="AD75" s="4"/>
    </row>
    <row r="76">
      <c r="A76" s="97"/>
      <c r="B76" s="201" t="s">
        <v>435</v>
      </c>
      <c r="C76" s="49" t="s">
        <v>546</v>
      </c>
      <c r="D76" s="201" t="s">
        <v>435</v>
      </c>
      <c r="E76" s="189" t="s">
        <v>201</v>
      </c>
      <c r="F76" s="4"/>
      <c r="G76" s="97"/>
      <c r="H76" s="201" t="s">
        <v>435</v>
      </c>
      <c r="I76" s="201" t="s">
        <v>435</v>
      </c>
      <c r="J76" s="201" t="s">
        <v>435</v>
      </c>
      <c r="K76" s="201" t="s">
        <v>435</v>
      </c>
      <c r="L76" s="4"/>
      <c r="M76" s="97"/>
      <c r="N76" s="201" t="s">
        <v>435</v>
      </c>
      <c r="O76" s="201" t="s">
        <v>435</v>
      </c>
      <c r="P76" s="201" t="s">
        <v>435</v>
      </c>
      <c r="Q76" s="194" t="s">
        <v>587</v>
      </c>
      <c r="R76" s="4"/>
      <c r="S76" s="97"/>
      <c r="T76" s="164" t="s">
        <v>1067</v>
      </c>
      <c r="U76" s="194" t="s">
        <v>587</v>
      </c>
      <c r="V76" s="201" t="s">
        <v>435</v>
      </c>
      <c r="W76" s="201" t="s">
        <v>435</v>
      </c>
      <c r="X76" s="4"/>
      <c r="Y76" s="4"/>
      <c r="Z76" s="4"/>
      <c r="AA76" s="4"/>
      <c r="AB76" s="4"/>
      <c r="AC76" s="4"/>
      <c r="AD76" s="4"/>
    </row>
    <row r="77">
      <c r="A77" s="97"/>
      <c r="B77" s="201" t="s">
        <v>435</v>
      </c>
      <c r="C77" s="164" t="s">
        <v>862</v>
      </c>
      <c r="D77" s="201" t="s">
        <v>435</v>
      </c>
      <c r="E77" s="201" t="s">
        <v>603</v>
      </c>
      <c r="F77" s="4"/>
      <c r="G77" s="97"/>
      <c r="H77" s="201" t="s">
        <v>435</v>
      </c>
      <c r="I77" s="201" t="s">
        <v>435</v>
      </c>
      <c r="J77" s="201" t="s">
        <v>435</v>
      </c>
      <c r="K77" s="201" t="s">
        <v>435</v>
      </c>
      <c r="L77" s="4"/>
      <c r="M77" s="97"/>
      <c r="N77" s="201" t="s">
        <v>435</v>
      </c>
      <c r="O77" s="486" t="s">
        <v>1457</v>
      </c>
      <c r="P77" s="201" t="s">
        <v>435</v>
      </c>
      <c r="Q77" s="194" t="s">
        <v>587</v>
      </c>
      <c r="R77" s="4"/>
      <c r="S77" s="97"/>
      <c r="T77" s="201" t="s">
        <v>435</v>
      </c>
      <c r="U77" s="201" t="s">
        <v>435</v>
      </c>
      <c r="V77" s="201" t="s">
        <v>435</v>
      </c>
      <c r="W77" s="201" t="s">
        <v>435</v>
      </c>
      <c r="X77" s="4"/>
      <c r="Y77" s="4"/>
      <c r="Z77" s="4"/>
      <c r="AA77" s="4"/>
      <c r="AB77" s="4"/>
      <c r="AC77" s="4"/>
      <c r="AD77" s="4"/>
    </row>
    <row r="78">
      <c r="A78" s="97"/>
      <c r="B78" s="201" t="s">
        <v>435</v>
      </c>
      <c r="C78" s="189" t="s">
        <v>520</v>
      </c>
      <c r="D78" s="201" t="s">
        <v>435</v>
      </c>
      <c r="E78" s="242" t="s">
        <v>1125</v>
      </c>
      <c r="F78" s="4"/>
      <c r="G78" s="97"/>
      <c r="H78" s="201" t="s">
        <v>435</v>
      </c>
      <c r="I78" s="221" t="s">
        <v>520</v>
      </c>
      <c r="J78" s="201" t="s">
        <v>435</v>
      </c>
      <c r="K78" s="201" t="s">
        <v>435</v>
      </c>
      <c r="L78" s="4"/>
      <c r="M78" s="97"/>
      <c r="N78" s="201" t="s">
        <v>435</v>
      </c>
      <c r="O78" s="201" t="s">
        <v>435</v>
      </c>
      <c r="P78" s="201" t="s">
        <v>435</v>
      </c>
      <c r="Q78" s="201" t="s">
        <v>435</v>
      </c>
      <c r="R78" s="4"/>
      <c r="S78" s="97"/>
      <c r="T78" s="164" t="s">
        <v>130</v>
      </c>
      <c r="U78" s="189" t="s">
        <v>520</v>
      </c>
      <c r="V78" s="201" t="s">
        <v>435</v>
      </c>
      <c r="W78" s="201" t="s">
        <v>435</v>
      </c>
      <c r="X78" s="4"/>
      <c r="Y78" s="4"/>
      <c r="Z78" s="4"/>
      <c r="AA78" s="4"/>
      <c r="AB78" s="4"/>
      <c r="AC78" s="4"/>
      <c r="AD78" s="4"/>
    </row>
    <row r="79">
      <c r="A79" s="97"/>
      <c r="B79" s="201" t="s">
        <v>435</v>
      </c>
      <c r="C79" s="209" t="s">
        <v>734</v>
      </c>
      <c r="D79" s="201" t="s">
        <v>435</v>
      </c>
      <c r="E79" s="245" t="s">
        <v>70</v>
      </c>
      <c r="F79" s="4"/>
      <c r="G79" s="97"/>
      <c r="H79" s="201" t="s">
        <v>435</v>
      </c>
      <c r="I79" s="201" t="s">
        <v>435</v>
      </c>
      <c r="J79" s="201" t="s">
        <v>435</v>
      </c>
      <c r="K79" s="221" t="s">
        <v>130</v>
      </c>
      <c r="L79" s="4"/>
      <c r="M79" s="97"/>
      <c r="N79" s="222" t="s">
        <v>323</v>
      </c>
      <c r="O79" s="201" t="s">
        <v>435</v>
      </c>
      <c r="P79" s="201" t="s">
        <v>435</v>
      </c>
      <c r="Q79" s="194" t="s">
        <v>96</v>
      </c>
      <c r="R79" s="4"/>
      <c r="S79" s="97"/>
      <c r="T79" s="164" t="s">
        <v>591</v>
      </c>
      <c r="U79" s="212" t="s">
        <v>301</v>
      </c>
      <c r="V79" s="55" t="s">
        <v>1878</v>
      </c>
      <c r="W79" s="245" t="s">
        <v>1408</v>
      </c>
      <c r="X79" s="4"/>
      <c r="Y79" s="4"/>
      <c r="Z79" s="4"/>
      <c r="AA79" s="4"/>
      <c r="AB79" s="4"/>
      <c r="AC79" s="4"/>
      <c r="AD79" s="4"/>
    </row>
    <row r="80">
      <c r="A80" s="97"/>
      <c r="B80" s="10" t="s">
        <v>40</v>
      </c>
      <c r="C80" s="189" t="s">
        <v>935</v>
      </c>
      <c r="D80" s="201" t="s">
        <v>435</v>
      </c>
      <c r="E80" s="164" t="s">
        <v>1162</v>
      </c>
      <c r="F80" s="4"/>
      <c r="G80" s="97"/>
      <c r="H80" s="201" t="s">
        <v>435</v>
      </c>
      <c r="I80" s="487" t="s">
        <v>313</v>
      </c>
      <c r="J80" s="201" t="s">
        <v>435</v>
      </c>
      <c r="K80" s="487" t="s">
        <v>546</v>
      </c>
      <c r="L80" s="4"/>
      <c r="M80" s="97"/>
      <c r="N80" s="10" t="s">
        <v>633</v>
      </c>
      <c r="O80" s="205" t="s">
        <v>302</v>
      </c>
      <c r="P80" s="201" t="s">
        <v>435</v>
      </c>
      <c r="Q80" s="164" t="s">
        <v>1162</v>
      </c>
      <c r="R80" s="4"/>
      <c r="S80" s="97"/>
      <c r="T80" s="10" t="s">
        <v>140</v>
      </c>
      <c r="U80" s="201" t="s">
        <v>435</v>
      </c>
      <c r="V80" s="201" t="s">
        <v>435</v>
      </c>
      <c r="W80" s="487" t="s">
        <v>313</v>
      </c>
      <c r="X80" s="4"/>
      <c r="Y80" s="4"/>
      <c r="Z80" s="4"/>
      <c r="AA80" s="4"/>
      <c r="AB80" s="4"/>
      <c r="AC80" s="4"/>
      <c r="AD80" s="4"/>
    </row>
    <row r="81">
      <c r="A81" s="97"/>
      <c r="B81" s="10" t="s">
        <v>762</v>
      </c>
      <c r="C81" s="166" t="s">
        <v>914</v>
      </c>
      <c r="D81" s="201" t="s">
        <v>435</v>
      </c>
      <c r="E81" s="142" t="s">
        <v>487</v>
      </c>
      <c r="F81" s="4"/>
      <c r="G81" s="97"/>
      <c r="H81" s="201" t="s">
        <v>435</v>
      </c>
      <c r="I81" s="221" t="s">
        <v>304</v>
      </c>
      <c r="J81" s="201" t="s">
        <v>435</v>
      </c>
      <c r="K81" s="261" t="s">
        <v>762</v>
      </c>
      <c r="L81" s="4"/>
      <c r="M81" s="97"/>
      <c r="N81" s="10" t="s">
        <v>789</v>
      </c>
      <c r="O81" s="486" t="s">
        <v>491</v>
      </c>
      <c r="P81" s="201" t="s">
        <v>435</v>
      </c>
      <c r="Q81" s="164" t="s">
        <v>487</v>
      </c>
      <c r="R81" s="4"/>
      <c r="S81" s="97"/>
      <c r="T81" s="164" t="s">
        <v>789</v>
      </c>
      <c r="U81" s="209" t="s">
        <v>491</v>
      </c>
      <c r="V81" s="201" t="s">
        <v>435</v>
      </c>
      <c r="W81" s="245" t="s">
        <v>548</v>
      </c>
      <c r="X81" s="4"/>
      <c r="Y81" s="4"/>
      <c r="Z81" s="4"/>
      <c r="AA81" s="4"/>
      <c r="AB81" s="4"/>
      <c r="AC81" s="4"/>
      <c r="AD81" s="4"/>
    </row>
    <row r="82">
      <c r="A82" s="97"/>
      <c r="B82" s="10"/>
      <c r="C82" s="189" t="s">
        <v>866</v>
      </c>
      <c r="D82" s="164" t="s">
        <v>840</v>
      </c>
      <c r="E82" s="142" t="s">
        <v>335</v>
      </c>
      <c r="F82" s="4"/>
      <c r="G82" s="97"/>
      <c r="H82" s="201" t="s">
        <v>435</v>
      </c>
      <c r="I82" s="245" t="s">
        <v>1160</v>
      </c>
      <c r="J82" s="261" t="s">
        <v>838</v>
      </c>
      <c r="K82" s="245" t="s">
        <v>302</v>
      </c>
      <c r="L82" s="4"/>
      <c r="M82" s="97"/>
      <c r="N82" s="10" t="s">
        <v>762</v>
      </c>
      <c r="O82" s="187" t="s">
        <v>914</v>
      </c>
      <c r="P82" s="201" t="s">
        <v>435</v>
      </c>
      <c r="Q82" s="164" t="s">
        <v>335</v>
      </c>
      <c r="R82" s="4"/>
      <c r="S82" s="97"/>
      <c r="T82" s="201" t="s">
        <v>435</v>
      </c>
      <c r="U82" s="189" t="s">
        <v>1660</v>
      </c>
      <c r="V82" s="201" t="s">
        <v>435</v>
      </c>
      <c r="W82" s="201" t="s">
        <v>435</v>
      </c>
      <c r="X82" s="4"/>
      <c r="Y82" s="4"/>
      <c r="Z82" s="4"/>
      <c r="AA82" s="4"/>
      <c r="AB82" s="4"/>
      <c r="AC82" s="4"/>
      <c r="AD82" s="4"/>
    </row>
    <row r="83">
      <c r="A83" s="479"/>
      <c r="B83" s="201" t="s">
        <v>435</v>
      </c>
      <c r="C83" s="189" t="s">
        <v>304</v>
      </c>
      <c r="D83" s="189"/>
      <c r="E83" s="189" t="s">
        <v>934</v>
      </c>
      <c r="F83" s="4"/>
      <c r="G83" s="479"/>
      <c r="H83" s="201" t="s">
        <v>435</v>
      </c>
      <c r="I83" s="221" t="s">
        <v>866</v>
      </c>
      <c r="J83" s="201" t="s">
        <v>435</v>
      </c>
      <c r="K83" s="201" t="s">
        <v>435</v>
      </c>
      <c r="L83" s="4"/>
      <c r="M83" s="479"/>
      <c r="N83" s="201" t="s">
        <v>435</v>
      </c>
      <c r="O83" s="187" t="s">
        <v>782</v>
      </c>
      <c r="P83" s="201" t="s">
        <v>435</v>
      </c>
      <c r="Q83" s="189" t="s">
        <v>1474</v>
      </c>
      <c r="R83" s="4"/>
      <c r="S83" s="479"/>
      <c r="T83" s="201" t="s">
        <v>435</v>
      </c>
      <c r="U83" s="201" t="s">
        <v>435</v>
      </c>
      <c r="V83" s="201" t="s">
        <v>435</v>
      </c>
      <c r="W83" s="201" t="s">
        <v>435</v>
      </c>
      <c r="X83" s="4"/>
      <c r="Y83" s="4"/>
      <c r="Z83" s="4"/>
      <c r="AA83" s="4"/>
      <c r="AB83" s="4"/>
      <c r="AC83" s="4"/>
      <c r="AD83" s="4"/>
    </row>
    <row r="84">
      <c r="A84" s="4"/>
      <c r="B84" s="52"/>
      <c r="C84" s="52"/>
      <c r="D84" s="52"/>
      <c r="E84" s="52"/>
      <c r="F84" s="4"/>
      <c r="G84" s="4"/>
      <c r="H84" s="52"/>
      <c r="I84" s="52"/>
      <c r="J84" s="52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52"/>
      <c r="C85" s="52"/>
      <c r="D85" s="52"/>
      <c r="E85" s="52"/>
      <c r="F85" s="4"/>
      <c r="G85" s="4"/>
      <c r="H85" s="52"/>
      <c r="I85" s="52"/>
      <c r="J85" s="52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88">
        <v>45474.0</v>
      </c>
      <c r="C86" s="488">
        <v>45475.0</v>
      </c>
      <c r="D86" s="488">
        <v>45476.0</v>
      </c>
      <c r="E86" s="488">
        <v>45477.0</v>
      </c>
      <c r="F86" s="4"/>
      <c r="G86" s="4"/>
      <c r="H86" s="488">
        <v>45481.0</v>
      </c>
      <c r="I86" s="488">
        <v>45482.0</v>
      </c>
      <c r="J86" s="488">
        <v>45483.0</v>
      </c>
      <c r="K86" s="488">
        <v>45484.0</v>
      </c>
      <c r="L86" s="4"/>
      <c r="M86" s="4"/>
      <c r="N86" s="488">
        <v>45488.0</v>
      </c>
      <c r="O86" s="488">
        <v>45489.0</v>
      </c>
      <c r="P86" s="488">
        <v>45490.0</v>
      </c>
      <c r="Q86" s="488">
        <v>45491.0</v>
      </c>
      <c r="R86" s="4"/>
      <c r="S86" s="4"/>
      <c r="T86" s="488">
        <v>45495.0</v>
      </c>
      <c r="U86" s="488">
        <v>45496.0</v>
      </c>
      <c r="V86" s="488">
        <v>45497.0</v>
      </c>
      <c r="W86" s="488">
        <v>45498.0</v>
      </c>
      <c r="X86" s="4"/>
      <c r="Y86" s="4"/>
      <c r="Z86" s="488">
        <v>45502.0</v>
      </c>
      <c r="AA86" s="488">
        <v>45503.0</v>
      </c>
      <c r="AB86" s="488">
        <v>45504.0</v>
      </c>
      <c r="AC86" s="489"/>
      <c r="AD86" s="4"/>
    </row>
    <row r="87">
      <c r="A87" s="97"/>
      <c r="B87" s="201" t="s">
        <v>435</v>
      </c>
      <c r="C87" s="201" t="s">
        <v>435</v>
      </c>
      <c r="D87" s="201" t="s">
        <v>435</v>
      </c>
      <c r="E87" s="201" t="s">
        <v>953</v>
      </c>
      <c r="F87" s="4"/>
      <c r="G87" s="97"/>
      <c r="H87" s="189"/>
      <c r="I87" s="189"/>
      <c r="J87" s="201" t="s">
        <v>435</v>
      </c>
      <c r="K87" s="189"/>
      <c r="L87" s="4"/>
      <c r="M87" s="97"/>
      <c r="N87" s="201" t="s">
        <v>435</v>
      </c>
      <c r="O87" s="201" t="s">
        <v>435</v>
      </c>
      <c r="P87" s="201" t="s">
        <v>435</v>
      </c>
      <c r="Q87" s="224" t="s">
        <v>51</v>
      </c>
      <c r="R87" s="4"/>
      <c r="S87" s="97"/>
      <c r="T87" s="490"/>
      <c r="U87" s="490"/>
      <c r="V87" s="490"/>
      <c r="W87" s="490"/>
      <c r="X87" s="4"/>
      <c r="Y87" s="97"/>
      <c r="Z87" s="490"/>
      <c r="AA87" s="490"/>
      <c r="AB87" s="490"/>
      <c r="AC87" s="4"/>
      <c r="AD87" s="4"/>
    </row>
    <row r="88">
      <c r="A88" s="97"/>
      <c r="B88" s="201" t="s">
        <v>435</v>
      </c>
      <c r="C88" s="201" t="s">
        <v>435</v>
      </c>
      <c r="D88" s="201" t="s">
        <v>435</v>
      </c>
      <c r="E88" s="213" t="s">
        <v>169</v>
      </c>
      <c r="F88" s="4"/>
      <c r="G88" s="97"/>
      <c r="H88" s="189"/>
      <c r="I88" s="209"/>
      <c r="J88" s="201" t="s">
        <v>435</v>
      </c>
      <c r="K88" s="189" t="s">
        <v>309</v>
      </c>
      <c r="L88" s="4"/>
      <c r="M88" s="97"/>
      <c r="N88" s="201" t="s">
        <v>435</v>
      </c>
      <c r="O88" s="201" t="s">
        <v>435</v>
      </c>
      <c r="P88" s="201" t="s">
        <v>435</v>
      </c>
      <c r="Q88" s="201" t="s">
        <v>435</v>
      </c>
      <c r="R88" s="4"/>
      <c r="S88" s="97"/>
      <c r="T88" s="490"/>
      <c r="U88" s="490"/>
      <c r="V88" s="490"/>
      <c r="W88" s="490"/>
      <c r="X88" s="4"/>
      <c r="Y88" s="97"/>
      <c r="Z88" s="490"/>
      <c r="AA88" s="490"/>
      <c r="AB88" s="490"/>
      <c r="AC88" s="4"/>
      <c r="AD88" s="4"/>
    </row>
    <row r="89">
      <c r="A89" s="97"/>
      <c r="B89" s="201" t="s">
        <v>435</v>
      </c>
      <c r="C89" s="201" t="s">
        <v>435</v>
      </c>
      <c r="D89" s="201" t="s">
        <v>435</v>
      </c>
      <c r="E89" s="189"/>
      <c r="F89" s="4"/>
      <c r="G89" s="97"/>
      <c r="H89" s="189"/>
      <c r="I89" s="164"/>
      <c r="J89" s="201" t="s">
        <v>435</v>
      </c>
      <c r="K89" s="189" t="s">
        <v>955</v>
      </c>
      <c r="L89" s="4"/>
      <c r="M89" s="97"/>
      <c r="N89" s="201" t="s">
        <v>435</v>
      </c>
      <c r="O89" s="201" t="s">
        <v>435</v>
      </c>
      <c r="P89" s="201" t="s">
        <v>435</v>
      </c>
      <c r="Q89" s="189" t="s">
        <v>134</v>
      </c>
      <c r="R89" s="4"/>
      <c r="S89" s="97"/>
      <c r="T89" s="490"/>
      <c r="U89" s="490"/>
      <c r="V89" s="490"/>
      <c r="W89" s="490"/>
      <c r="X89" s="4"/>
      <c r="Y89" s="97"/>
      <c r="Z89" s="490"/>
      <c r="AA89" s="490"/>
      <c r="AB89" s="490"/>
      <c r="AC89" s="4"/>
      <c r="AD89" s="4"/>
    </row>
    <row r="90">
      <c r="A90" s="97"/>
      <c r="B90" s="201" t="s">
        <v>435</v>
      </c>
      <c r="C90" s="194" t="s">
        <v>587</v>
      </c>
      <c r="D90" s="201" t="s">
        <v>435</v>
      </c>
      <c r="E90" s="164" t="s">
        <v>201</v>
      </c>
      <c r="F90" s="4"/>
      <c r="G90" s="97"/>
      <c r="H90" s="491"/>
      <c r="I90" s="194"/>
      <c r="J90" s="201" t="s">
        <v>435</v>
      </c>
      <c r="K90" s="209" t="s">
        <v>348</v>
      </c>
      <c r="L90" s="4"/>
      <c r="M90" s="97"/>
      <c r="N90" s="201" t="s">
        <v>435</v>
      </c>
      <c r="O90" s="201" t="s">
        <v>435</v>
      </c>
      <c r="P90" s="201" t="s">
        <v>435</v>
      </c>
      <c r="Q90" s="164" t="s">
        <v>140</v>
      </c>
      <c r="R90" s="4"/>
      <c r="S90" s="97"/>
      <c r="T90" s="490"/>
      <c r="U90" s="490"/>
      <c r="V90" s="490"/>
      <c r="W90" s="490"/>
      <c r="X90" s="4"/>
      <c r="Y90" s="97"/>
      <c r="Z90" s="490"/>
      <c r="AA90" s="490"/>
      <c r="AB90" s="490"/>
      <c r="AC90" s="4"/>
      <c r="AD90" s="4"/>
    </row>
    <row r="91">
      <c r="A91" s="97"/>
      <c r="B91" s="201" t="s">
        <v>435</v>
      </c>
      <c r="C91" s="201" t="s">
        <v>435</v>
      </c>
      <c r="D91" s="201" t="s">
        <v>435</v>
      </c>
      <c r="E91" s="201" t="s">
        <v>435</v>
      </c>
      <c r="F91" s="4"/>
      <c r="G91" s="97"/>
      <c r="H91" s="164"/>
      <c r="I91" s="274" t="s">
        <v>1126</v>
      </c>
      <c r="J91" s="201" t="s">
        <v>435</v>
      </c>
      <c r="K91" s="189"/>
      <c r="L91" s="4"/>
      <c r="M91" s="97"/>
      <c r="N91" s="201" t="s">
        <v>435</v>
      </c>
      <c r="O91" s="274" t="s">
        <v>1879</v>
      </c>
      <c r="P91" s="201" t="s">
        <v>435</v>
      </c>
      <c r="Q91" s="201" t="s">
        <v>435</v>
      </c>
      <c r="R91" s="4"/>
      <c r="S91" s="97"/>
      <c r="T91" s="490"/>
      <c r="U91" s="490"/>
      <c r="V91" s="490"/>
      <c r="W91" s="490"/>
      <c r="X91" s="4"/>
      <c r="Y91" s="97"/>
      <c r="Z91" s="490"/>
      <c r="AA91" s="490"/>
      <c r="AB91" s="490"/>
      <c r="AC91" s="4"/>
      <c r="AD91" s="4"/>
    </row>
    <row r="92">
      <c r="A92" s="97"/>
      <c r="B92" s="201" t="s">
        <v>435</v>
      </c>
      <c r="C92" s="201" t="s">
        <v>435</v>
      </c>
      <c r="D92" s="201" t="s">
        <v>435</v>
      </c>
      <c r="E92" s="187" t="s">
        <v>313</v>
      </c>
      <c r="F92" s="4"/>
      <c r="G92" s="97"/>
      <c r="H92" s="164" t="s">
        <v>130</v>
      </c>
      <c r="I92" s="189"/>
      <c r="J92" s="201" t="s">
        <v>435</v>
      </c>
      <c r="K92" s="245"/>
      <c r="L92" s="4"/>
      <c r="M92" s="97"/>
      <c r="N92" s="274" t="s">
        <v>887</v>
      </c>
      <c r="O92" s="189" t="s">
        <v>520</v>
      </c>
      <c r="P92" s="201" t="s">
        <v>435</v>
      </c>
      <c r="Q92" s="201" t="s">
        <v>1422</v>
      </c>
      <c r="R92" s="4"/>
      <c r="S92" s="97"/>
      <c r="T92" s="490"/>
      <c r="U92" s="490"/>
      <c r="V92" s="490"/>
      <c r="W92" s="490"/>
      <c r="X92" s="4"/>
      <c r="Y92" s="97"/>
      <c r="Z92" s="490"/>
      <c r="AA92" s="490"/>
      <c r="AB92" s="490"/>
      <c r="AC92" s="4"/>
      <c r="AD92" s="4"/>
    </row>
    <row r="93">
      <c r="A93" s="97"/>
      <c r="B93" s="224" t="s">
        <v>267</v>
      </c>
      <c r="C93" s="201" t="s">
        <v>863</v>
      </c>
      <c r="D93" s="201" t="s">
        <v>435</v>
      </c>
      <c r="E93" s="10" t="s">
        <v>40</v>
      </c>
      <c r="F93" s="4"/>
      <c r="G93" s="97"/>
      <c r="H93" s="164" t="s">
        <v>345</v>
      </c>
      <c r="I93" s="492" t="s">
        <v>591</v>
      </c>
      <c r="J93" s="10" t="s">
        <v>1878</v>
      </c>
      <c r="K93" s="194" t="s">
        <v>96</v>
      </c>
      <c r="L93" s="4"/>
      <c r="M93" s="97"/>
      <c r="N93" s="164" t="s">
        <v>591</v>
      </c>
      <c r="O93" s="156" t="s">
        <v>607</v>
      </c>
      <c r="P93" s="201" t="s">
        <v>435</v>
      </c>
      <c r="Q93" s="164" t="s">
        <v>1045</v>
      </c>
      <c r="R93" s="4"/>
      <c r="S93" s="97"/>
      <c r="T93" s="490"/>
      <c r="U93" s="490"/>
      <c r="V93" s="490"/>
      <c r="W93" s="490"/>
      <c r="X93" s="4"/>
      <c r="Y93" s="97"/>
      <c r="Z93" s="490"/>
      <c r="AA93" s="490"/>
      <c r="AB93" s="490"/>
      <c r="AC93" s="4"/>
      <c r="AD93" s="4"/>
    </row>
    <row r="94">
      <c r="A94" s="97"/>
      <c r="B94" s="10" t="s">
        <v>40</v>
      </c>
      <c r="C94" s="156" t="s">
        <v>1880</v>
      </c>
      <c r="D94" s="201" t="s">
        <v>435</v>
      </c>
      <c r="E94" s="164" t="s">
        <v>345</v>
      </c>
      <c r="F94" s="4"/>
      <c r="G94" s="97"/>
      <c r="H94" s="10" t="s">
        <v>40</v>
      </c>
      <c r="I94" s="224" t="s">
        <v>248</v>
      </c>
      <c r="J94" s="201" t="s">
        <v>435</v>
      </c>
      <c r="K94" s="194" t="s">
        <v>1252</v>
      </c>
      <c r="L94" s="4"/>
      <c r="M94" s="97"/>
      <c r="N94" s="10" t="s">
        <v>918</v>
      </c>
      <c r="O94" s="211" t="s">
        <v>1881</v>
      </c>
      <c r="P94" s="201" t="s">
        <v>435</v>
      </c>
      <c r="Q94" s="164" t="s">
        <v>1447</v>
      </c>
      <c r="R94" s="4"/>
      <c r="S94" s="97"/>
      <c r="T94" s="490"/>
      <c r="U94" s="490"/>
      <c r="V94" s="490"/>
      <c r="W94" s="490"/>
      <c r="X94" s="4"/>
      <c r="Y94" s="97"/>
      <c r="Z94" s="490"/>
      <c r="AA94" s="490"/>
      <c r="AB94" s="490"/>
      <c r="AC94" s="4"/>
      <c r="AD94" s="4"/>
    </row>
    <row r="95">
      <c r="A95" s="97"/>
      <c r="B95" s="224" t="s">
        <v>788</v>
      </c>
      <c r="C95" s="187" t="s">
        <v>782</v>
      </c>
      <c r="D95" s="201" t="s">
        <v>435</v>
      </c>
      <c r="E95" s="164" t="s">
        <v>487</v>
      </c>
      <c r="F95" s="4"/>
      <c r="G95" s="97"/>
      <c r="H95" s="164" t="s">
        <v>789</v>
      </c>
      <c r="I95" s="209" t="s">
        <v>491</v>
      </c>
      <c r="J95" s="201" t="s">
        <v>435</v>
      </c>
      <c r="K95" s="10" t="s">
        <v>494</v>
      </c>
      <c r="L95" s="4"/>
      <c r="M95" s="97"/>
      <c r="N95" s="10" t="s">
        <v>840</v>
      </c>
      <c r="O95" s="187" t="s">
        <v>914</v>
      </c>
      <c r="P95" s="201" t="s">
        <v>435</v>
      </c>
      <c r="Q95" s="164" t="s">
        <v>1458</v>
      </c>
      <c r="R95" s="4"/>
      <c r="S95" s="97"/>
      <c r="T95" s="490"/>
      <c r="U95" s="490"/>
      <c r="V95" s="490"/>
      <c r="W95" s="490"/>
      <c r="X95" s="4"/>
      <c r="Y95" s="97"/>
      <c r="Z95" s="490"/>
      <c r="AA95" s="490"/>
      <c r="AB95" s="490"/>
      <c r="AC95" s="4"/>
      <c r="AD95" s="4"/>
    </row>
    <row r="96">
      <c r="A96" s="97"/>
      <c r="B96" s="10" t="s">
        <v>762</v>
      </c>
      <c r="C96" s="187" t="s">
        <v>914</v>
      </c>
      <c r="D96" s="201" t="s">
        <v>435</v>
      </c>
      <c r="E96" s="164" t="s">
        <v>335</v>
      </c>
      <c r="F96" s="4"/>
      <c r="G96" s="97"/>
      <c r="H96" s="224" t="s">
        <v>812</v>
      </c>
      <c r="I96" s="224" t="s">
        <v>51</v>
      </c>
      <c r="J96" s="205"/>
      <c r="K96" s="245" t="s">
        <v>305</v>
      </c>
      <c r="L96" s="4"/>
      <c r="M96" s="97"/>
      <c r="N96" s="194" t="s">
        <v>1363</v>
      </c>
      <c r="O96" s="149" t="s">
        <v>782</v>
      </c>
      <c r="P96" s="194"/>
      <c r="Q96" s="224" t="s">
        <v>266</v>
      </c>
      <c r="R96" s="4"/>
      <c r="S96" s="97"/>
      <c r="T96" s="490"/>
      <c r="U96" s="490"/>
      <c r="V96" s="490"/>
      <c r="W96" s="490"/>
      <c r="X96" s="4"/>
      <c r="Y96" s="97"/>
      <c r="Z96" s="490"/>
      <c r="AA96" s="490"/>
      <c r="AB96" s="490"/>
      <c r="AC96" s="4"/>
      <c r="AD96" s="4"/>
    </row>
    <row r="97">
      <c r="A97" s="479"/>
      <c r="B97" s="201" t="s">
        <v>435</v>
      </c>
      <c r="C97" s="201" t="s">
        <v>435</v>
      </c>
      <c r="D97" s="201" t="s">
        <v>435</v>
      </c>
      <c r="E97" s="189" t="s">
        <v>1474</v>
      </c>
      <c r="F97" s="4"/>
      <c r="G97" s="479"/>
      <c r="H97" s="224"/>
      <c r="I97" s="224"/>
      <c r="J97" s="201" t="s">
        <v>435</v>
      </c>
      <c r="K97" s="189" t="s">
        <v>866</v>
      </c>
      <c r="L97" s="4"/>
      <c r="M97" s="479"/>
      <c r="N97" s="267" t="s">
        <v>988</v>
      </c>
      <c r="O97" s="187"/>
      <c r="P97" s="201" t="s">
        <v>435</v>
      </c>
      <c r="Q97" s="189" t="s">
        <v>1474</v>
      </c>
      <c r="R97" s="4"/>
      <c r="S97" s="479"/>
      <c r="T97" s="490"/>
      <c r="U97" s="490"/>
      <c r="V97" s="490"/>
      <c r="W97" s="490"/>
      <c r="X97" s="4"/>
      <c r="Y97" s="479"/>
      <c r="Z97" s="490"/>
      <c r="AA97" s="490"/>
      <c r="AB97" s="490"/>
      <c r="AC97" s="4"/>
      <c r="AD97" s="4"/>
    </row>
    <row r="98">
      <c r="A98" s="4"/>
      <c r="B98" s="52"/>
      <c r="C98" s="52"/>
      <c r="D98" s="52"/>
      <c r="E98" s="52"/>
      <c r="F98" s="4"/>
      <c r="G98" s="4"/>
      <c r="H98" s="52"/>
      <c r="I98" s="52"/>
      <c r="J98" s="52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52"/>
      <c r="C99" s="52"/>
      <c r="D99" s="52"/>
      <c r="E99" s="52"/>
      <c r="F99" s="4"/>
      <c r="G99" s="4"/>
      <c r="H99" s="52"/>
      <c r="I99" s="52"/>
      <c r="J99" s="52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93">
        <v>45505.0</v>
      </c>
      <c r="C100" s="493">
        <v>45506.0</v>
      </c>
      <c r="D100" s="52"/>
      <c r="E100" s="52"/>
      <c r="F100" s="4"/>
      <c r="G100" s="4"/>
      <c r="H100" s="493">
        <v>45509.0</v>
      </c>
      <c r="I100" s="493">
        <v>45510.0</v>
      </c>
      <c r="J100" s="493">
        <v>45511.0</v>
      </c>
      <c r="K100" s="493">
        <v>45512.0</v>
      </c>
      <c r="L100" s="4"/>
      <c r="M100" s="4"/>
      <c r="N100" s="493">
        <v>45516.0</v>
      </c>
      <c r="O100" s="493">
        <v>45517.0</v>
      </c>
      <c r="P100" s="493">
        <v>45518.0</v>
      </c>
      <c r="Q100" s="493">
        <v>45519.0</v>
      </c>
      <c r="R100" s="4"/>
      <c r="S100" s="4"/>
      <c r="T100" s="493">
        <v>45523.0</v>
      </c>
      <c r="U100" s="493">
        <v>45524.0</v>
      </c>
      <c r="V100" s="493">
        <v>45525.0</v>
      </c>
      <c r="W100" s="493">
        <v>45526.0</v>
      </c>
      <c r="X100" s="4"/>
      <c r="Y100" s="4"/>
      <c r="Z100" s="493">
        <v>45530.0</v>
      </c>
      <c r="AA100" s="493">
        <v>45531.0</v>
      </c>
      <c r="AB100" s="493">
        <v>45532.0</v>
      </c>
      <c r="AC100" s="493">
        <v>45533.0</v>
      </c>
      <c r="AD100" s="4"/>
    </row>
    <row r="101">
      <c r="A101" s="97"/>
      <c r="B101" s="494"/>
      <c r="C101" s="490"/>
      <c r="D101" s="52"/>
      <c r="E101" s="52"/>
      <c r="F101" s="4"/>
      <c r="G101" s="97"/>
      <c r="H101" s="490"/>
      <c r="I101" s="494"/>
      <c r="J101" s="490"/>
      <c r="K101" s="490"/>
      <c r="L101" s="4"/>
      <c r="M101" s="97"/>
      <c r="N101" s="490"/>
      <c r="O101" s="490"/>
      <c r="P101" s="490"/>
      <c r="Q101" s="490"/>
      <c r="R101" s="4"/>
      <c r="S101" s="97"/>
      <c r="T101" s="189"/>
      <c r="U101" s="164"/>
      <c r="V101" s="189"/>
      <c r="W101" s="189"/>
      <c r="X101" s="4"/>
      <c r="Y101" s="97"/>
      <c r="Z101" s="201" t="s">
        <v>435</v>
      </c>
      <c r="AA101" s="201" t="s">
        <v>435</v>
      </c>
      <c r="AB101" s="201" t="s">
        <v>435</v>
      </c>
      <c r="AC101" s="201" t="s">
        <v>953</v>
      </c>
      <c r="AD101" s="4"/>
    </row>
    <row r="102">
      <c r="A102" s="97"/>
      <c r="B102" s="494"/>
      <c r="C102" s="490"/>
      <c r="D102" s="52"/>
      <c r="E102" s="52"/>
      <c r="F102" s="4"/>
      <c r="G102" s="97"/>
      <c r="H102" s="490"/>
      <c r="I102" s="490"/>
      <c r="J102" s="490"/>
      <c r="K102" s="490"/>
      <c r="L102" s="4"/>
      <c r="M102" s="97"/>
      <c r="N102" s="490"/>
      <c r="O102" s="490"/>
      <c r="P102" s="490"/>
      <c r="Q102" s="490"/>
      <c r="R102" s="4"/>
      <c r="S102" s="97"/>
      <c r="T102" s="189"/>
      <c r="U102" s="164"/>
      <c r="V102" s="189"/>
      <c r="W102" s="495"/>
      <c r="X102" s="4"/>
      <c r="Y102" s="97"/>
      <c r="Z102" s="201" t="s">
        <v>435</v>
      </c>
      <c r="AA102" s="201" t="s">
        <v>435</v>
      </c>
      <c r="AB102" s="201" t="s">
        <v>435</v>
      </c>
      <c r="AC102" s="213" t="s">
        <v>169</v>
      </c>
      <c r="AD102" s="4"/>
    </row>
    <row r="103">
      <c r="A103" s="97"/>
      <c r="B103" s="494"/>
      <c r="C103" s="490"/>
      <c r="D103" s="52"/>
      <c r="E103" s="496"/>
      <c r="F103" s="4"/>
      <c r="G103" s="97"/>
      <c r="H103" s="490"/>
      <c r="I103" s="490"/>
      <c r="J103" s="490"/>
      <c r="K103" s="490"/>
      <c r="L103" s="4"/>
      <c r="M103" s="97"/>
      <c r="N103" s="490"/>
      <c r="O103" s="490"/>
      <c r="P103" s="490"/>
      <c r="Q103" s="490"/>
      <c r="R103" s="4"/>
      <c r="S103" s="97"/>
      <c r="T103" s="189"/>
      <c r="U103" s="164" t="s">
        <v>864</v>
      </c>
      <c r="V103" s="189"/>
      <c r="W103" s="485" t="s">
        <v>134</v>
      </c>
      <c r="X103" s="4"/>
      <c r="Y103" s="97"/>
      <c r="Z103" s="201" t="s">
        <v>435</v>
      </c>
      <c r="AA103" s="149" t="s">
        <v>1234</v>
      </c>
      <c r="AB103" s="201" t="s">
        <v>435</v>
      </c>
      <c r="AC103" s="497"/>
      <c r="AD103" s="4"/>
    </row>
    <row r="104">
      <c r="A104" s="97"/>
      <c r="B104" s="494"/>
      <c r="C104" s="490"/>
      <c r="D104" s="52"/>
      <c r="E104" s="52"/>
      <c r="F104" s="4"/>
      <c r="G104" s="97"/>
      <c r="H104" s="490"/>
      <c r="I104" s="490"/>
      <c r="J104" s="490"/>
      <c r="K104" s="490"/>
      <c r="L104" s="4"/>
      <c r="M104" s="97"/>
      <c r="N104" s="490"/>
      <c r="O104" s="490"/>
      <c r="P104" s="490"/>
      <c r="Q104" s="490"/>
      <c r="R104" s="4"/>
      <c r="S104" s="97"/>
      <c r="T104" s="189"/>
      <c r="U104" s="194" t="s">
        <v>512</v>
      </c>
      <c r="V104" s="189"/>
      <c r="W104" s="476" t="s">
        <v>96</v>
      </c>
      <c r="X104" s="4"/>
      <c r="Y104" s="97"/>
      <c r="Z104" s="201" t="s">
        <v>435</v>
      </c>
      <c r="AA104" s="201" t="s">
        <v>435</v>
      </c>
      <c r="AB104" s="201" t="s">
        <v>435</v>
      </c>
      <c r="AC104" s="164" t="s">
        <v>201</v>
      </c>
      <c r="AD104" s="4"/>
    </row>
    <row r="105">
      <c r="A105" s="97"/>
      <c r="B105" s="494"/>
      <c r="C105" s="490"/>
      <c r="D105" s="52"/>
      <c r="E105" s="52"/>
      <c r="F105" s="4"/>
      <c r="G105" s="97"/>
      <c r="H105" s="490"/>
      <c r="I105" s="490"/>
      <c r="J105" s="490"/>
      <c r="K105" s="490"/>
      <c r="L105" s="4"/>
      <c r="M105" s="97"/>
      <c r="N105" s="490"/>
      <c r="O105" s="490"/>
      <c r="P105" s="490"/>
      <c r="Q105" s="490"/>
      <c r="R105" s="4"/>
      <c r="S105" s="97"/>
      <c r="T105" s="274"/>
      <c r="U105" s="274" t="s">
        <v>915</v>
      </c>
      <c r="V105" s="189"/>
      <c r="W105" s="189"/>
      <c r="X105" s="4"/>
      <c r="Y105" s="97"/>
      <c r="Z105" s="201" t="s">
        <v>435</v>
      </c>
      <c r="AA105" s="201" t="s">
        <v>435</v>
      </c>
      <c r="AB105" s="201" t="s">
        <v>435</v>
      </c>
      <c r="AC105" s="201" t="s">
        <v>435</v>
      </c>
      <c r="AD105" s="4"/>
    </row>
    <row r="106">
      <c r="A106" s="97"/>
      <c r="B106" s="494"/>
      <c r="C106" s="490"/>
      <c r="D106" s="52"/>
      <c r="E106" s="52"/>
      <c r="F106" s="4"/>
      <c r="G106" s="97"/>
      <c r="H106" s="490"/>
      <c r="I106" s="490"/>
      <c r="J106" s="490"/>
      <c r="K106" s="490"/>
      <c r="L106" s="4"/>
      <c r="M106" s="97"/>
      <c r="N106" s="490"/>
      <c r="O106" s="490"/>
      <c r="P106" s="490"/>
      <c r="Q106" s="490"/>
      <c r="R106" s="4"/>
      <c r="S106" s="97"/>
      <c r="T106" s="164" t="s">
        <v>130</v>
      </c>
      <c r="U106" s="164" t="s">
        <v>591</v>
      </c>
      <c r="V106" s="189"/>
      <c r="W106" s="164"/>
      <c r="X106" s="4"/>
      <c r="Y106" s="97"/>
      <c r="Z106" s="201"/>
      <c r="AA106" s="201" t="s">
        <v>435</v>
      </c>
      <c r="AB106" s="201" t="s">
        <v>435</v>
      </c>
      <c r="AC106" s="189" t="s">
        <v>299</v>
      </c>
      <c r="AD106" s="4"/>
    </row>
    <row r="107">
      <c r="A107" s="97"/>
      <c r="B107" s="494"/>
      <c r="C107" s="490"/>
      <c r="D107" s="52"/>
      <c r="E107" s="52"/>
      <c r="F107" s="4"/>
      <c r="G107" s="97"/>
      <c r="H107" s="490"/>
      <c r="I107" s="490"/>
      <c r="J107" s="490"/>
      <c r="K107" s="490"/>
      <c r="L107" s="4"/>
      <c r="M107" s="97"/>
      <c r="N107" s="490"/>
      <c r="O107" s="490"/>
      <c r="P107" s="490"/>
      <c r="Q107" s="490"/>
      <c r="R107" s="4"/>
      <c r="S107" s="97"/>
      <c r="T107" s="492"/>
      <c r="U107" s="164" t="s">
        <v>954</v>
      </c>
      <c r="V107" s="476"/>
      <c r="W107" s="189" t="s">
        <v>1085</v>
      </c>
      <c r="X107" s="4"/>
      <c r="Y107" s="97"/>
      <c r="Z107" s="189" t="s">
        <v>839</v>
      </c>
      <c r="AA107" s="201" t="s">
        <v>435</v>
      </c>
      <c r="AB107" s="201" t="s">
        <v>435</v>
      </c>
      <c r="AC107" s="201" t="s">
        <v>435</v>
      </c>
      <c r="AD107" s="4"/>
    </row>
    <row r="108">
      <c r="A108" s="97"/>
      <c r="B108" s="494"/>
      <c r="C108" s="490"/>
      <c r="D108" s="52"/>
      <c r="E108" s="52"/>
      <c r="F108" s="4"/>
      <c r="G108" s="97"/>
      <c r="H108" s="490"/>
      <c r="I108" s="490"/>
      <c r="J108" s="490"/>
      <c r="K108" s="490"/>
      <c r="L108" s="4"/>
      <c r="M108" s="97"/>
      <c r="N108" s="490"/>
      <c r="O108" s="490"/>
      <c r="P108" s="490"/>
      <c r="Q108" s="490"/>
      <c r="R108" s="4"/>
      <c r="S108" s="97"/>
      <c r="T108" s="10" t="s">
        <v>40</v>
      </c>
      <c r="U108" s="156" t="s">
        <v>126</v>
      </c>
      <c r="V108" s="189"/>
      <c r="W108" s="189" t="s">
        <v>955</v>
      </c>
      <c r="X108" s="4"/>
      <c r="Y108" s="97"/>
      <c r="Z108" s="164" t="s">
        <v>887</v>
      </c>
      <c r="AA108" s="156" t="s">
        <v>126</v>
      </c>
      <c r="AB108" s="201" t="s">
        <v>435</v>
      </c>
      <c r="AC108" s="201" t="s">
        <v>435</v>
      </c>
      <c r="AD108" s="4"/>
    </row>
    <row r="109">
      <c r="A109" s="97"/>
      <c r="B109" s="494"/>
      <c r="C109" s="490"/>
      <c r="D109" s="52"/>
      <c r="E109" s="52"/>
      <c r="F109" s="4"/>
      <c r="G109" s="97"/>
      <c r="H109" s="490"/>
      <c r="I109" s="490"/>
      <c r="J109" s="490"/>
      <c r="K109" s="490"/>
      <c r="L109" s="4"/>
      <c r="M109" s="97"/>
      <c r="N109" s="490"/>
      <c r="O109" s="490"/>
      <c r="P109" s="490"/>
      <c r="Q109" s="490"/>
      <c r="R109" s="4"/>
      <c r="S109" s="97"/>
      <c r="T109" s="164" t="s">
        <v>789</v>
      </c>
      <c r="U109" s="209" t="s">
        <v>491</v>
      </c>
      <c r="V109" s="189"/>
      <c r="W109" s="189" t="s">
        <v>866</v>
      </c>
      <c r="X109" s="4"/>
      <c r="Y109" s="97"/>
      <c r="Z109" s="10" t="s">
        <v>789</v>
      </c>
      <c r="AA109" s="187" t="s">
        <v>782</v>
      </c>
      <c r="AB109" s="201" t="s">
        <v>435</v>
      </c>
      <c r="AC109" s="164" t="s">
        <v>487</v>
      </c>
      <c r="AD109" s="4"/>
    </row>
    <row r="110">
      <c r="A110" s="97"/>
      <c r="B110" s="494"/>
      <c r="C110" s="490"/>
      <c r="D110" s="52"/>
      <c r="E110" s="52"/>
      <c r="F110" s="4"/>
      <c r="G110" s="97"/>
      <c r="H110" s="490"/>
      <c r="I110" s="490"/>
      <c r="J110" s="490"/>
      <c r="K110" s="490"/>
      <c r="L110" s="4"/>
      <c r="M110" s="97"/>
      <c r="N110" s="490"/>
      <c r="O110" s="490"/>
      <c r="P110" s="490"/>
      <c r="Q110" s="490"/>
      <c r="R110" s="4"/>
      <c r="S110" s="97"/>
      <c r="T110" s="224" t="s">
        <v>812</v>
      </c>
      <c r="U110" s="10" t="s">
        <v>494</v>
      </c>
      <c r="V110" s="221"/>
      <c r="W110" s="224" t="s">
        <v>51</v>
      </c>
      <c r="X110" s="4"/>
      <c r="Y110" s="97"/>
      <c r="Z110" s="238" t="s">
        <v>140</v>
      </c>
      <c r="AA110" s="201" t="s">
        <v>435</v>
      </c>
      <c r="AB110" s="201" t="s">
        <v>435</v>
      </c>
      <c r="AC110" s="164" t="s">
        <v>335</v>
      </c>
      <c r="AD110" s="4"/>
    </row>
    <row r="111">
      <c r="A111" s="479"/>
      <c r="B111" s="490"/>
      <c r="C111" s="490"/>
      <c r="D111" s="52"/>
      <c r="E111" s="52"/>
      <c r="F111" s="4"/>
      <c r="G111" s="479"/>
      <c r="H111" s="490"/>
      <c r="I111" s="490"/>
      <c r="J111" s="490"/>
      <c r="K111" s="490"/>
      <c r="L111" s="4"/>
      <c r="M111" s="479"/>
      <c r="N111" s="490"/>
      <c r="O111" s="490"/>
      <c r="P111" s="490"/>
      <c r="Q111" s="490"/>
      <c r="R111" s="4"/>
      <c r="S111" s="479"/>
      <c r="T111" s="267" t="s">
        <v>838</v>
      </c>
      <c r="U111" s="224" t="s">
        <v>1031</v>
      </c>
      <c r="V111" s="224"/>
      <c r="W111" s="189"/>
      <c r="X111" s="4"/>
      <c r="Y111" s="479"/>
      <c r="Z111" s="238" t="s">
        <v>140</v>
      </c>
      <c r="AA111" s="201" t="s">
        <v>435</v>
      </c>
      <c r="AB111" s="201" t="s">
        <v>435</v>
      </c>
      <c r="AC111" s="224" t="s">
        <v>1031</v>
      </c>
      <c r="AD111" s="4"/>
    </row>
    <row r="112">
      <c r="A112" s="4"/>
      <c r="B112" s="52"/>
      <c r="C112" s="52"/>
      <c r="D112" s="52"/>
      <c r="E112" s="52"/>
      <c r="F112" s="4"/>
      <c r="G112" s="4"/>
      <c r="H112" s="52"/>
      <c r="I112" s="52"/>
      <c r="J112" s="52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52"/>
      <c r="C113" s="52"/>
      <c r="D113" s="52"/>
      <c r="E113" s="52"/>
      <c r="F113" s="4"/>
      <c r="G113" s="4"/>
      <c r="H113" s="52"/>
      <c r="I113" s="52"/>
      <c r="J113" s="5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98">
        <v>45537.0</v>
      </c>
      <c r="C114" s="498">
        <v>45538.0</v>
      </c>
      <c r="D114" s="498">
        <v>45539.0</v>
      </c>
      <c r="E114" s="498">
        <v>45540.0</v>
      </c>
      <c r="F114" s="4"/>
      <c r="G114" s="4"/>
      <c r="H114" s="498">
        <v>45544.0</v>
      </c>
      <c r="I114" s="498">
        <v>45545.0</v>
      </c>
      <c r="J114" s="498">
        <v>45546.0</v>
      </c>
      <c r="K114" s="498">
        <v>45547.0</v>
      </c>
      <c r="L114" s="4"/>
      <c r="M114" s="4"/>
      <c r="N114" s="498">
        <v>45551.0</v>
      </c>
      <c r="O114" s="498">
        <v>45552.0</v>
      </c>
      <c r="P114" s="498">
        <v>45553.0</v>
      </c>
      <c r="Q114" s="498">
        <v>45554.0</v>
      </c>
      <c r="R114" s="4"/>
      <c r="S114" s="4"/>
      <c r="T114" s="498">
        <v>45558.0</v>
      </c>
      <c r="U114" s="498">
        <v>45559.0</v>
      </c>
      <c r="V114" s="498">
        <v>45560.0</v>
      </c>
      <c r="W114" s="498">
        <v>45561.0</v>
      </c>
      <c r="X114" s="4"/>
      <c r="Y114" s="4"/>
      <c r="Z114" s="498">
        <v>45565.0</v>
      </c>
      <c r="AA114" s="499"/>
      <c r="AB114" s="499"/>
      <c r="AC114" s="499"/>
      <c r="AD114" s="4"/>
    </row>
    <row r="115">
      <c r="A115" s="97"/>
      <c r="B115" s="201" t="s">
        <v>435</v>
      </c>
      <c r="C115" s="201" t="s">
        <v>435</v>
      </c>
      <c r="D115" s="201" t="s">
        <v>435</v>
      </c>
      <c r="E115" s="201" t="s">
        <v>435</v>
      </c>
      <c r="F115" s="4"/>
      <c r="G115" s="97"/>
      <c r="H115" s="201" t="s">
        <v>435</v>
      </c>
      <c r="I115" s="201" t="s">
        <v>435</v>
      </c>
      <c r="J115" s="201" t="s">
        <v>435</v>
      </c>
      <c r="K115" s="201" t="s">
        <v>512</v>
      </c>
      <c r="L115" s="4"/>
      <c r="M115" s="97"/>
      <c r="N115" s="201" t="s">
        <v>435</v>
      </c>
      <c r="O115" s="201" t="s">
        <v>435</v>
      </c>
      <c r="P115" s="201" t="s">
        <v>435</v>
      </c>
      <c r="Q115" s="238" t="s">
        <v>346</v>
      </c>
      <c r="R115" s="4"/>
      <c r="S115" s="97"/>
      <c r="T115" s="201" t="s">
        <v>435</v>
      </c>
      <c r="U115" s="201" t="s">
        <v>435</v>
      </c>
      <c r="V115" s="201" t="s">
        <v>435</v>
      </c>
      <c r="W115" s="166" t="s">
        <v>134</v>
      </c>
      <c r="X115" s="4"/>
      <c r="Y115" s="97"/>
      <c r="Z115" s="490"/>
      <c r="AA115" s="4"/>
      <c r="AB115" s="4"/>
      <c r="AC115" s="4"/>
      <c r="AD115" s="4"/>
    </row>
    <row r="116">
      <c r="A116" s="97"/>
      <c r="B116" s="201" t="s">
        <v>435</v>
      </c>
      <c r="C116" s="201" t="s">
        <v>435</v>
      </c>
      <c r="D116" s="201" t="s">
        <v>435</v>
      </c>
      <c r="E116" s="189" t="s">
        <v>512</v>
      </c>
      <c r="F116" s="4"/>
      <c r="G116" s="97"/>
      <c r="H116" s="201" t="s">
        <v>435</v>
      </c>
      <c r="I116" s="201" t="s">
        <v>435</v>
      </c>
      <c r="J116" s="201" t="s">
        <v>435</v>
      </c>
      <c r="K116" s="213" t="s">
        <v>169</v>
      </c>
      <c r="L116" s="4"/>
      <c r="M116" s="97"/>
      <c r="N116" s="201" t="s">
        <v>435</v>
      </c>
      <c r="O116" s="201" t="s">
        <v>435</v>
      </c>
      <c r="P116" s="201" t="s">
        <v>435</v>
      </c>
      <c r="Q116" s="166" t="s">
        <v>134</v>
      </c>
      <c r="R116" s="4"/>
      <c r="S116" s="97"/>
      <c r="T116" s="201" t="s">
        <v>435</v>
      </c>
      <c r="U116" s="201" t="s">
        <v>435</v>
      </c>
      <c r="V116" s="201" t="s">
        <v>435</v>
      </c>
      <c r="W116" s="213" t="s">
        <v>169</v>
      </c>
      <c r="X116" s="4"/>
      <c r="Y116" s="97"/>
      <c r="Z116" s="490"/>
      <c r="AA116" s="4"/>
      <c r="AB116" s="4"/>
      <c r="AC116" s="4"/>
      <c r="AD116" s="4"/>
    </row>
    <row r="117">
      <c r="A117" s="97"/>
      <c r="B117" s="201" t="s">
        <v>435</v>
      </c>
      <c r="C117" s="164" t="s">
        <v>763</v>
      </c>
      <c r="D117" s="201" t="s">
        <v>435</v>
      </c>
      <c r="E117" s="189" t="s">
        <v>356</v>
      </c>
      <c r="F117" s="4"/>
      <c r="G117" s="97"/>
      <c r="H117" s="201" t="s">
        <v>435</v>
      </c>
      <c r="I117" s="201" t="s">
        <v>435</v>
      </c>
      <c r="J117" s="201" t="s">
        <v>435</v>
      </c>
      <c r="K117" s="201" t="s">
        <v>435</v>
      </c>
      <c r="L117" s="4"/>
      <c r="M117" s="97"/>
      <c r="N117" s="201" t="s">
        <v>435</v>
      </c>
      <c r="O117" s="201" t="s">
        <v>435</v>
      </c>
      <c r="P117" s="201" t="s">
        <v>435</v>
      </c>
      <c r="Q117" s="194" t="s">
        <v>191</v>
      </c>
      <c r="R117" s="4"/>
      <c r="S117" s="97"/>
      <c r="T117" s="201" t="s">
        <v>435</v>
      </c>
      <c r="U117" s="201" t="s">
        <v>435</v>
      </c>
      <c r="V117" s="201" t="s">
        <v>435</v>
      </c>
      <c r="W117" s="166" t="s">
        <v>512</v>
      </c>
      <c r="X117" s="4"/>
      <c r="Y117" s="97"/>
      <c r="Z117" s="490"/>
      <c r="AA117" s="4"/>
      <c r="AB117" s="4"/>
      <c r="AC117" s="4"/>
      <c r="AD117" s="4"/>
    </row>
    <row r="118">
      <c r="A118" s="97"/>
      <c r="B118" s="201" t="s">
        <v>435</v>
      </c>
      <c r="C118" s="201" t="s">
        <v>435</v>
      </c>
      <c r="D118" s="201" t="s">
        <v>435</v>
      </c>
      <c r="E118" s="194" t="s">
        <v>96</v>
      </c>
      <c r="F118" s="4"/>
      <c r="G118" s="97"/>
      <c r="H118" s="201" t="s">
        <v>435</v>
      </c>
      <c r="I118" s="201" t="s">
        <v>435</v>
      </c>
      <c r="J118" s="201" t="s">
        <v>435</v>
      </c>
      <c r="K118" s="201" t="s">
        <v>435</v>
      </c>
      <c r="L118" s="4"/>
      <c r="M118" s="97"/>
      <c r="N118" s="201" t="s">
        <v>435</v>
      </c>
      <c r="O118" s="164" t="s">
        <v>345</v>
      </c>
      <c r="P118" s="201" t="s">
        <v>435</v>
      </c>
      <c r="Q118" s="194" t="s">
        <v>96</v>
      </c>
      <c r="R118" s="4"/>
      <c r="S118" s="97"/>
      <c r="T118" s="201" t="s">
        <v>435</v>
      </c>
      <c r="U118" s="201" t="s">
        <v>435</v>
      </c>
      <c r="V118" s="201" t="s">
        <v>435</v>
      </c>
      <c r="W118" s="218" t="s">
        <v>201</v>
      </c>
      <c r="X118" s="4"/>
      <c r="Y118" s="97"/>
      <c r="Z118" s="490"/>
      <c r="AA118" s="4"/>
      <c r="AB118" s="4"/>
      <c r="AC118" s="4"/>
      <c r="AD118" s="4"/>
    </row>
    <row r="119">
      <c r="A119" s="97"/>
      <c r="B119" s="201" t="s">
        <v>435</v>
      </c>
      <c r="C119" s="201" t="s">
        <v>435</v>
      </c>
      <c r="D119" s="201" t="s">
        <v>435</v>
      </c>
      <c r="E119" s="201" t="s">
        <v>435</v>
      </c>
      <c r="F119" s="4"/>
      <c r="G119" s="97"/>
      <c r="H119" s="201" t="s">
        <v>435</v>
      </c>
      <c r="I119" s="500"/>
      <c r="J119" s="201" t="s">
        <v>435</v>
      </c>
      <c r="K119" s="201" t="s">
        <v>435</v>
      </c>
      <c r="L119" s="4"/>
      <c r="M119" s="97"/>
      <c r="N119" s="201" t="s">
        <v>435</v>
      </c>
      <c r="O119" s="201" t="s">
        <v>435</v>
      </c>
      <c r="P119" s="201" t="s">
        <v>435</v>
      </c>
      <c r="Q119" s="164" t="s">
        <v>813</v>
      </c>
      <c r="R119" s="4"/>
      <c r="S119" s="97"/>
      <c r="T119" s="166"/>
      <c r="U119" s="201" t="s">
        <v>435</v>
      </c>
      <c r="V119" s="201" t="s">
        <v>435</v>
      </c>
      <c r="W119" s="201" t="s">
        <v>435</v>
      </c>
      <c r="X119" s="4"/>
      <c r="Y119" s="97"/>
      <c r="Z119" s="490"/>
      <c r="AA119" s="4"/>
      <c r="AB119" s="4"/>
      <c r="AC119" s="4"/>
      <c r="AD119" s="4"/>
    </row>
    <row r="120">
      <c r="A120" s="97"/>
      <c r="B120" s="164" t="s">
        <v>345</v>
      </c>
      <c r="C120" s="194" t="s">
        <v>268</v>
      </c>
      <c r="D120" s="201" t="s">
        <v>435</v>
      </c>
      <c r="E120" s="201" t="s">
        <v>435</v>
      </c>
      <c r="F120" s="4"/>
      <c r="G120" s="97"/>
      <c r="H120" s="201" t="s">
        <v>435</v>
      </c>
      <c r="I120" s="189" t="s">
        <v>299</v>
      </c>
      <c r="J120" s="201" t="s">
        <v>435</v>
      </c>
      <c r="K120" s="201" t="s">
        <v>435</v>
      </c>
      <c r="L120" s="4"/>
      <c r="M120" s="97"/>
      <c r="N120" s="201" t="s">
        <v>435</v>
      </c>
      <c r="O120" s="194" t="s">
        <v>268</v>
      </c>
      <c r="P120" s="201" t="s">
        <v>435</v>
      </c>
      <c r="Q120" s="149" t="s">
        <v>776</v>
      </c>
      <c r="R120" s="4"/>
      <c r="S120" s="97"/>
      <c r="T120" s="501"/>
      <c r="U120" s="201" t="s">
        <v>435</v>
      </c>
      <c r="V120" s="201" t="s">
        <v>435</v>
      </c>
      <c r="W120" s="218" t="s">
        <v>654</v>
      </c>
      <c r="X120" s="4"/>
      <c r="Y120" s="97"/>
      <c r="Z120" s="490"/>
      <c r="AA120" s="4"/>
      <c r="AB120" s="4"/>
      <c r="AC120" s="4"/>
      <c r="AD120" s="4"/>
    </row>
    <row r="121">
      <c r="A121" s="97"/>
      <c r="B121" s="10" t="s">
        <v>40</v>
      </c>
      <c r="C121" s="189" t="s">
        <v>839</v>
      </c>
      <c r="D121" s="201" t="s">
        <v>435</v>
      </c>
      <c r="E121" s="201" t="s">
        <v>435</v>
      </c>
      <c r="F121" s="4"/>
      <c r="G121" s="97"/>
      <c r="H121" s="189" t="s">
        <v>199</v>
      </c>
      <c r="I121" s="274" t="s">
        <v>268</v>
      </c>
      <c r="J121" s="201" t="s">
        <v>435</v>
      </c>
      <c r="K121" s="201" t="s">
        <v>435</v>
      </c>
      <c r="L121" s="4"/>
      <c r="M121" s="97"/>
      <c r="N121" s="201" t="s">
        <v>435</v>
      </c>
      <c r="O121" s="56" t="s">
        <v>865</v>
      </c>
      <c r="P121" s="201" t="s">
        <v>435</v>
      </c>
      <c r="Q121" s="274" t="s">
        <v>915</v>
      </c>
      <c r="R121" s="4"/>
      <c r="S121" s="97"/>
      <c r="T121" s="502" t="s">
        <v>191</v>
      </c>
      <c r="U121" s="274" t="s">
        <v>268</v>
      </c>
      <c r="V121" s="189" t="s">
        <v>299</v>
      </c>
      <c r="W121" s="201" t="s">
        <v>301</v>
      </c>
      <c r="X121" s="4"/>
      <c r="Y121" s="97"/>
      <c r="Z121" s="490"/>
      <c r="AA121" s="4"/>
      <c r="AB121" s="4"/>
      <c r="AC121" s="4"/>
      <c r="AD121" s="4"/>
    </row>
    <row r="122">
      <c r="A122" s="97"/>
      <c r="B122" s="201" t="s">
        <v>435</v>
      </c>
      <c r="C122" s="56" t="s">
        <v>865</v>
      </c>
      <c r="D122" s="201" t="s">
        <v>435</v>
      </c>
      <c r="E122" s="189" t="s">
        <v>955</v>
      </c>
      <c r="F122" s="4"/>
      <c r="G122" s="97"/>
      <c r="H122" s="189" t="s">
        <v>839</v>
      </c>
      <c r="I122" s="156" t="s">
        <v>865</v>
      </c>
      <c r="J122" s="201" t="s">
        <v>435</v>
      </c>
      <c r="K122" s="164" t="s">
        <v>654</v>
      </c>
      <c r="L122" s="4"/>
      <c r="M122" s="97"/>
      <c r="N122" s="10" t="s">
        <v>40</v>
      </c>
      <c r="O122" s="201" t="s">
        <v>435</v>
      </c>
      <c r="P122" s="201" t="s">
        <v>435</v>
      </c>
      <c r="Q122" s="187" t="s">
        <v>914</v>
      </c>
      <c r="R122" s="4"/>
      <c r="S122" s="97"/>
      <c r="T122" s="249" t="s">
        <v>865</v>
      </c>
      <c r="U122" s="201" t="s">
        <v>435</v>
      </c>
      <c r="V122" s="201" t="s">
        <v>435</v>
      </c>
      <c r="W122" s="201" t="s">
        <v>435</v>
      </c>
      <c r="X122" s="4"/>
      <c r="Y122" s="97"/>
      <c r="Z122" s="490"/>
      <c r="AA122" s="4"/>
      <c r="AB122" s="4"/>
      <c r="AC122" s="4"/>
      <c r="AD122" s="4"/>
    </row>
    <row r="123">
      <c r="A123" s="97"/>
      <c r="B123" s="201" t="s">
        <v>435</v>
      </c>
      <c r="C123" s="201" t="s">
        <v>435</v>
      </c>
      <c r="D123" s="201" t="s">
        <v>435</v>
      </c>
      <c r="E123" s="245" t="s">
        <v>305</v>
      </c>
      <c r="F123" s="4"/>
      <c r="G123" s="97"/>
      <c r="H123" s="164" t="s">
        <v>789</v>
      </c>
      <c r="I123" s="187" t="s">
        <v>782</v>
      </c>
      <c r="J123" s="201" t="s">
        <v>435</v>
      </c>
      <c r="K123" s="164" t="s">
        <v>472</v>
      </c>
      <c r="L123" s="4"/>
      <c r="M123" s="97"/>
      <c r="N123" s="164" t="s">
        <v>140</v>
      </c>
      <c r="O123" s="201" t="s">
        <v>435</v>
      </c>
      <c r="P123" s="201" t="s">
        <v>435</v>
      </c>
      <c r="Q123" s="56" t="s">
        <v>627</v>
      </c>
      <c r="R123" s="4"/>
      <c r="S123" s="97"/>
      <c r="T123" s="249" t="s">
        <v>266</v>
      </c>
      <c r="U123" s="201" t="s">
        <v>435</v>
      </c>
      <c r="V123" s="218" t="s">
        <v>487</v>
      </c>
      <c r="W123" s="201" t="s">
        <v>435</v>
      </c>
      <c r="X123" s="4"/>
      <c r="Y123" s="97"/>
      <c r="Z123" s="490"/>
      <c r="AA123" s="4"/>
      <c r="AB123" s="4"/>
      <c r="AC123" s="4"/>
      <c r="AD123" s="4"/>
    </row>
    <row r="124">
      <c r="A124" s="97"/>
      <c r="B124" s="201" t="s">
        <v>435</v>
      </c>
      <c r="C124" s="201" t="s">
        <v>435</v>
      </c>
      <c r="D124" s="201" t="s">
        <v>435</v>
      </c>
      <c r="E124" s="18"/>
      <c r="F124" s="4"/>
      <c r="G124" s="97"/>
      <c r="H124" s="10" t="s">
        <v>51</v>
      </c>
      <c r="I124" s="189" t="s">
        <v>1163</v>
      </c>
      <c r="J124" s="201" t="s">
        <v>435</v>
      </c>
      <c r="K124" s="189" t="s">
        <v>356</v>
      </c>
      <c r="L124" s="4"/>
      <c r="M124" s="97"/>
      <c r="N124" s="238" t="s">
        <v>1069</v>
      </c>
      <c r="O124" s="201" t="s">
        <v>435</v>
      </c>
      <c r="P124" s="201" t="s">
        <v>435</v>
      </c>
      <c r="Q124" s="189" t="s">
        <v>356</v>
      </c>
      <c r="R124" s="4"/>
      <c r="S124" s="97"/>
      <c r="T124" s="249" t="s">
        <v>812</v>
      </c>
      <c r="U124" s="238" t="s">
        <v>1536</v>
      </c>
      <c r="V124" s="218" t="s">
        <v>335</v>
      </c>
      <c r="W124" s="201" t="s">
        <v>435</v>
      </c>
      <c r="X124" s="4"/>
      <c r="Y124" s="97"/>
      <c r="Z124" s="490"/>
      <c r="AA124" s="4"/>
      <c r="AB124" s="4"/>
      <c r="AC124" s="4"/>
      <c r="AD124" s="4"/>
    </row>
    <row r="125">
      <c r="A125" s="479"/>
      <c r="B125" s="201" t="s">
        <v>435</v>
      </c>
      <c r="C125" s="201" t="s">
        <v>435</v>
      </c>
      <c r="D125" s="201" t="s">
        <v>435</v>
      </c>
      <c r="E125" s="201" t="s">
        <v>435</v>
      </c>
      <c r="F125" s="4"/>
      <c r="G125" s="479"/>
      <c r="H125" s="10" t="s">
        <v>1068</v>
      </c>
      <c r="I125" s="224" t="s">
        <v>890</v>
      </c>
      <c r="J125" s="201" t="s">
        <v>435</v>
      </c>
      <c r="K125" s="189" t="s">
        <v>866</v>
      </c>
      <c r="L125" s="4"/>
      <c r="M125" s="479"/>
      <c r="N125" s="201" t="s">
        <v>435</v>
      </c>
      <c r="O125" s="201" t="s">
        <v>435</v>
      </c>
      <c r="P125" s="201" t="s">
        <v>435</v>
      </c>
      <c r="Q125" s="189" t="s">
        <v>866</v>
      </c>
      <c r="R125" s="4"/>
      <c r="S125" s="479"/>
      <c r="T125" s="249" t="s">
        <v>140</v>
      </c>
      <c r="U125" s="224" t="s">
        <v>890</v>
      </c>
      <c r="V125" s="166" t="s">
        <v>866</v>
      </c>
      <c r="W125" s="201" t="s">
        <v>435</v>
      </c>
      <c r="X125" s="4"/>
      <c r="Y125" s="479"/>
      <c r="Z125" s="490"/>
      <c r="AA125" s="4"/>
      <c r="AB125" s="4"/>
      <c r="AC125" s="4"/>
      <c r="AD125" s="4"/>
    </row>
    <row r="126">
      <c r="A126" s="4"/>
      <c r="B126" s="52"/>
      <c r="C126" s="52"/>
      <c r="D126" s="52"/>
      <c r="E126" s="52"/>
      <c r="F126" s="4"/>
      <c r="G126" s="4"/>
      <c r="H126" s="52"/>
      <c r="I126" s="52"/>
      <c r="J126" s="52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5"/>
      <c r="B127" s="5"/>
      <c r="C127" s="52"/>
      <c r="D127" s="52"/>
      <c r="E127" s="5"/>
      <c r="F127" s="4"/>
      <c r="G127" s="4"/>
      <c r="H127" s="52"/>
      <c r="I127" s="52"/>
      <c r="J127" s="52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5"/>
      <c r="B128" s="503">
        <v>45566.0</v>
      </c>
      <c r="C128" s="503">
        <v>45567.0</v>
      </c>
      <c r="D128" s="503">
        <v>45568.0</v>
      </c>
      <c r="E128" s="5"/>
      <c r="F128" s="4"/>
      <c r="G128" s="504"/>
      <c r="H128" s="503">
        <v>45572.0</v>
      </c>
      <c r="I128" s="503">
        <v>45573.0</v>
      </c>
      <c r="J128" s="503">
        <v>45574.0</v>
      </c>
      <c r="K128" s="503">
        <v>45575.0</v>
      </c>
      <c r="L128" s="4"/>
      <c r="M128" s="504"/>
      <c r="N128" s="503">
        <v>45579.0</v>
      </c>
      <c r="O128" s="503">
        <v>45580.0</v>
      </c>
      <c r="P128" s="503">
        <v>45581.0</v>
      </c>
      <c r="Q128" s="503">
        <v>45582.0</v>
      </c>
      <c r="R128" s="4"/>
      <c r="S128" s="4"/>
      <c r="T128" s="503">
        <v>45586.0</v>
      </c>
      <c r="U128" s="503">
        <v>45587.0</v>
      </c>
      <c r="V128" s="503">
        <v>45588.0</v>
      </c>
      <c r="W128" s="503">
        <v>45589.0</v>
      </c>
      <c r="X128" s="4"/>
      <c r="Y128" s="4"/>
      <c r="Z128" s="503">
        <v>45593.0</v>
      </c>
      <c r="AA128" s="503">
        <v>45594.0</v>
      </c>
      <c r="AB128" s="503">
        <v>45595.0</v>
      </c>
      <c r="AC128" s="503">
        <v>45596.0</v>
      </c>
      <c r="AD128" s="4"/>
    </row>
    <row r="129">
      <c r="A129" s="5"/>
      <c r="B129" s="201" t="s">
        <v>435</v>
      </c>
      <c r="C129" s="201" t="s">
        <v>435</v>
      </c>
      <c r="D129" s="166" t="s">
        <v>512</v>
      </c>
      <c r="E129" s="5"/>
      <c r="F129" s="4"/>
      <c r="G129" s="504"/>
      <c r="H129" s="201" t="s">
        <v>435</v>
      </c>
      <c r="I129" s="201" t="s">
        <v>435</v>
      </c>
      <c r="J129" s="189"/>
      <c r="K129" s="166" t="s">
        <v>134</v>
      </c>
      <c r="L129" s="4"/>
      <c r="M129" s="504"/>
      <c r="N129" s="201" t="s">
        <v>435</v>
      </c>
      <c r="O129" s="201" t="s">
        <v>435</v>
      </c>
      <c r="P129" s="201" t="s">
        <v>435</v>
      </c>
      <c r="Q129" s="191" t="s">
        <v>512</v>
      </c>
      <c r="R129" s="4"/>
      <c r="S129" s="504"/>
      <c r="T129" s="201" t="s">
        <v>435</v>
      </c>
      <c r="U129" s="201" t="s">
        <v>435</v>
      </c>
      <c r="V129" s="201" t="s">
        <v>435</v>
      </c>
      <c r="W129" s="201" t="s">
        <v>435</v>
      </c>
      <c r="X129" s="4"/>
      <c r="Y129" s="504"/>
      <c r="Z129" s="201" t="s">
        <v>435</v>
      </c>
      <c r="AA129" s="201" t="s">
        <v>435</v>
      </c>
      <c r="AB129" s="201" t="s">
        <v>435</v>
      </c>
      <c r="AC129" s="201" t="s">
        <v>435</v>
      </c>
      <c r="AD129" s="4"/>
    </row>
    <row r="130">
      <c r="A130" s="5"/>
      <c r="B130" s="164" t="s">
        <v>140</v>
      </c>
      <c r="C130" s="201" t="s">
        <v>435</v>
      </c>
      <c r="D130" s="166" t="s">
        <v>956</v>
      </c>
      <c r="E130" s="5"/>
      <c r="F130" s="4"/>
      <c r="G130" s="504"/>
      <c r="H130" s="201" t="s">
        <v>435</v>
      </c>
      <c r="I130" s="201" t="s">
        <v>435</v>
      </c>
      <c r="J130" s="189"/>
      <c r="K130" s="213" t="s">
        <v>169</v>
      </c>
      <c r="L130" s="4"/>
      <c r="M130" s="504"/>
      <c r="N130" s="201" t="s">
        <v>435</v>
      </c>
      <c r="O130" s="201" t="s">
        <v>435</v>
      </c>
      <c r="P130" s="201" t="s">
        <v>435</v>
      </c>
      <c r="Q130" s="191" t="s">
        <v>302</v>
      </c>
      <c r="R130" s="4"/>
      <c r="S130" s="504"/>
      <c r="T130" s="201" t="s">
        <v>435</v>
      </c>
      <c r="U130" s="201" t="s">
        <v>435</v>
      </c>
      <c r="V130" s="201" t="s">
        <v>435</v>
      </c>
      <c r="W130" s="213" t="s">
        <v>169</v>
      </c>
      <c r="X130" s="4"/>
      <c r="Y130" s="504"/>
      <c r="Z130" s="201" t="s">
        <v>435</v>
      </c>
      <c r="AA130" s="220" t="s">
        <v>936</v>
      </c>
      <c r="AB130" s="201" t="s">
        <v>435</v>
      </c>
      <c r="AC130" s="166" t="s">
        <v>512</v>
      </c>
      <c r="AD130" s="4"/>
    </row>
    <row r="131">
      <c r="A131" s="5"/>
      <c r="B131" s="164" t="s">
        <v>763</v>
      </c>
      <c r="C131" s="201" t="s">
        <v>435</v>
      </c>
      <c r="D131" s="166" t="s">
        <v>302</v>
      </c>
      <c r="E131" s="5"/>
      <c r="F131" s="4"/>
      <c r="G131" s="504"/>
      <c r="H131" s="201" t="s">
        <v>435</v>
      </c>
      <c r="I131" s="164" t="s">
        <v>763</v>
      </c>
      <c r="J131" s="189"/>
      <c r="K131" s="194"/>
      <c r="L131" s="4"/>
      <c r="M131" s="504"/>
      <c r="N131" s="201" t="s">
        <v>435</v>
      </c>
      <c r="P131" s="201" t="s">
        <v>435</v>
      </c>
      <c r="Q131" s="191" t="s">
        <v>201</v>
      </c>
      <c r="R131" s="4"/>
      <c r="S131" s="504"/>
      <c r="T131" s="201" t="s">
        <v>435</v>
      </c>
      <c r="U131" s="164" t="s">
        <v>763</v>
      </c>
      <c r="V131" s="201" t="s">
        <v>435</v>
      </c>
      <c r="W131" s="164" t="s">
        <v>29</v>
      </c>
      <c r="X131" s="4"/>
      <c r="Y131" s="504"/>
      <c r="Z131" s="201" t="s">
        <v>435</v>
      </c>
      <c r="AA131" s="166" t="s">
        <v>363</v>
      </c>
      <c r="AB131" s="201" t="s">
        <v>435</v>
      </c>
      <c r="AC131" s="166" t="s">
        <v>134</v>
      </c>
      <c r="AD131" s="4"/>
    </row>
    <row r="132">
      <c r="A132" s="5"/>
      <c r="B132" s="194" t="s">
        <v>345</v>
      </c>
      <c r="C132" s="201" t="s">
        <v>435</v>
      </c>
      <c r="D132" s="194" t="s">
        <v>96</v>
      </c>
      <c r="E132" s="5"/>
      <c r="F132" s="4"/>
      <c r="G132" s="504"/>
      <c r="H132" s="201" t="s">
        <v>435</v>
      </c>
      <c r="I132" s="201" t="s">
        <v>435</v>
      </c>
      <c r="J132" s="189"/>
      <c r="K132" s="201" t="s">
        <v>435</v>
      </c>
      <c r="L132" s="4"/>
      <c r="M132" s="504"/>
      <c r="N132" s="201" t="s">
        <v>435</v>
      </c>
      <c r="O132" s="194" t="s">
        <v>345</v>
      </c>
      <c r="P132" s="201" t="s">
        <v>435</v>
      </c>
      <c r="Q132" s="201" t="s">
        <v>435</v>
      </c>
      <c r="R132" s="4"/>
      <c r="S132" s="504"/>
      <c r="T132" s="201" t="s">
        <v>435</v>
      </c>
      <c r="U132" s="166" t="s">
        <v>192</v>
      </c>
      <c r="V132" s="201" t="s">
        <v>435</v>
      </c>
      <c r="W132" s="166" t="s">
        <v>363</v>
      </c>
      <c r="X132" s="4"/>
      <c r="Y132" s="504"/>
      <c r="Z132" s="201" t="s">
        <v>435</v>
      </c>
      <c r="AA132" s="194" t="s">
        <v>1045</v>
      </c>
      <c r="AB132" s="201" t="s">
        <v>435</v>
      </c>
      <c r="AC132" s="218" t="s">
        <v>201</v>
      </c>
      <c r="AD132" s="4"/>
    </row>
    <row r="133">
      <c r="A133" s="5"/>
      <c r="B133" s="201" t="s">
        <v>435</v>
      </c>
      <c r="C133" s="201" t="s">
        <v>435</v>
      </c>
      <c r="D133" s="201" t="s">
        <v>435</v>
      </c>
      <c r="E133" s="5"/>
      <c r="F133" s="4"/>
      <c r="G133" s="504"/>
      <c r="H133" s="201" t="s">
        <v>435</v>
      </c>
      <c r="I133" s="201" t="s">
        <v>435</v>
      </c>
      <c r="J133" s="189"/>
      <c r="K133" s="201" t="s">
        <v>435</v>
      </c>
      <c r="L133" s="4"/>
      <c r="M133" s="504"/>
      <c r="N133" s="201" t="s">
        <v>435</v>
      </c>
      <c r="O133" s="201" t="s">
        <v>435</v>
      </c>
      <c r="P133" s="201" t="s">
        <v>435</v>
      </c>
      <c r="Q133" s="201" t="s">
        <v>435</v>
      </c>
      <c r="R133" s="4"/>
      <c r="S133" s="504"/>
      <c r="T133" s="201" t="s">
        <v>435</v>
      </c>
      <c r="U133" s="201" t="s">
        <v>435</v>
      </c>
      <c r="V133" s="201" t="s">
        <v>435</v>
      </c>
      <c r="W133" s="201" t="s">
        <v>435</v>
      </c>
      <c r="X133" s="4"/>
      <c r="Y133" s="504"/>
      <c r="Z133" s="189" t="s">
        <v>525</v>
      </c>
      <c r="AA133" s="201" t="s">
        <v>435</v>
      </c>
      <c r="AB133" s="201" t="s">
        <v>435</v>
      </c>
      <c r="AC133" s="10" t="s">
        <v>173</v>
      </c>
      <c r="AD133" s="4"/>
    </row>
    <row r="134">
      <c r="A134" s="5"/>
      <c r="B134" s="194" t="s">
        <v>813</v>
      </c>
      <c r="C134" s="201" t="s">
        <v>435</v>
      </c>
      <c r="D134" s="238" t="s">
        <v>1069</v>
      </c>
      <c r="E134" s="5"/>
      <c r="F134" s="4"/>
      <c r="G134" s="504"/>
      <c r="H134" s="201" t="s">
        <v>435</v>
      </c>
      <c r="I134" s="201" t="s">
        <v>435</v>
      </c>
      <c r="J134" s="189"/>
      <c r="K134" s="201" t="s">
        <v>435</v>
      </c>
      <c r="L134" s="4"/>
      <c r="M134" s="504"/>
      <c r="N134" s="201" t="s">
        <v>435</v>
      </c>
      <c r="O134" s="201" t="s">
        <v>435</v>
      </c>
      <c r="P134" s="10" t="s">
        <v>1330</v>
      </c>
      <c r="Q134" s="201" t="s">
        <v>435</v>
      </c>
      <c r="R134" s="4"/>
      <c r="S134" s="504"/>
      <c r="T134" s="189" t="s">
        <v>91</v>
      </c>
      <c r="U134" s="201" t="s">
        <v>435</v>
      </c>
      <c r="V134" s="201" t="s">
        <v>435</v>
      </c>
      <c r="W134" s="194" t="s">
        <v>313</v>
      </c>
      <c r="X134" s="4"/>
      <c r="Y134" s="504"/>
      <c r="Z134" s="201" t="s">
        <v>435</v>
      </c>
      <c r="AA134" s="189" t="s">
        <v>299</v>
      </c>
      <c r="AB134" s="201" t="s">
        <v>435</v>
      </c>
      <c r="AC134" s="149" t="s">
        <v>164</v>
      </c>
      <c r="AD134" s="4"/>
    </row>
    <row r="135">
      <c r="A135" s="5"/>
      <c r="B135" s="274" t="s">
        <v>268</v>
      </c>
      <c r="C135" s="201" t="s">
        <v>435</v>
      </c>
      <c r="D135" s="149" t="s">
        <v>776</v>
      </c>
      <c r="E135" s="5"/>
      <c r="F135" s="4"/>
      <c r="G135" s="504"/>
      <c r="H135" s="201" t="s">
        <v>435</v>
      </c>
      <c r="I135" s="274" t="s">
        <v>268</v>
      </c>
      <c r="J135" s="189"/>
      <c r="K135" s="201" t="s">
        <v>435</v>
      </c>
      <c r="L135" s="4"/>
      <c r="M135" s="504"/>
      <c r="N135" s="164" t="s">
        <v>813</v>
      </c>
      <c r="O135" s="274" t="s">
        <v>1283</v>
      </c>
      <c r="Q135" s="203" t="s">
        <v>956</v>
      </c>
      <c r="R135" s="4"/>
      <c r="S135" s="504"/>
      <c r="T135" s="164" t="s">
        <v>174</v>
      </c>
      <c r="U135" s="274" t="s">
        <v>268</v>
      </c>
      <c r="V135" s="201" t="s">
        <v>435</v>
      </c>
      <c r="W135" s="189" t="s">
        <v>167</v>
      </c>
      <c r="X135" s="4"/>
      <c r="Y135" s="504"/>
      <c r="Z135" s="164" t="s">
        <v>174</v>
      </c>
      <c r="AA135" s="274" t="s">
        <v>268</v>
      </c>
      <c r="AB135" s="201" t="s">
        <v>435</v>
      </c>
      <c r="AC135" s="164" t="s">
        <v>267</v>
      </c>
      <c r="AD135" s="4"/>
    </row>
    <row r="136">
      <c r="A136" s="5"/>
      <c r="B136" s="156" t="s">
        <v>865</v>
      </c>
      <c r="C136" s="201" t="s">
        <v>435</v>
      </c>
      <c r="D136" s="189" t="s">
        <v>305</v>
      </c>
      <c r="E136" s="5"/>
      <c r="F136" s="4"/>
      <c r="G136" s="504"/>
      <c r="H136" s="10" t="s">
        <v>40</v>
      </c>
      <c r="I136" s="249" t="s">
        <v>865</v>
      </c>
      <c r="J136" s="189"/>
      <c r="K136" s="201" t="s">
        <v>435</v>
      </c>
      <c r="L136" s="4"/>
      <c r="M136" s="504"/>
      <c r="N136" s="201" t="s">
        <v>435</v>
      </c>
      <c r="O136" s="249" t="s">
        <v>865</v>
      </c>
      <c r="P136" s="164" t="s">
        <v>174</v>
      </c>
      <c r="Q136" s="69" t="s">
        <v>955</v>
      </c>
      <c r="R136" s="4"/>
      <c r="S136" s="504"/>
      <c r="T136" s="10" t="s">
        <v>40</v>
      </c>
      <c r="U136" s="249" t="s">
        <v>865</v>
      </c>
      <c r="V136" s="189" t="s">
        <v>182</v>
      </c>
      <c r="W136" s="10" t="s">
        <v>173</v>
      </c>
      <c r="X136" s="4"/>
      <c r="Y136" s="504"/>
      <c r="Z136" s="187" t="s">
        <v>914</v>
      </c>
      <c r="AA136" s="201" t="s">
        <v>435</v>
      </c>
      <c r="AB136" s="189" t="s">
        <v>182</v>
      </c>
      <c r="AC136" s="149" t="s">
        <v>1447</v>
      </c>
      <c r="AD136" s="4"/>
    </row>
    <row r="137">
      <c r="A137" s="5"/>
      <c r="B137" s="164" t="s">
        <v>789</v>
      </c>
      <c r="C137" s="201" t="s">
        <v>435</v>
      </c>
      <c r="D137" s="189" t="s">
        <v>866</v>
      </c>
      <c r="E137" s="5"/>
      <c r="F137" s="4"/>
      <c r="G137" s="504"/>
      <c r="H137" s="201" t="s">
        <v>435</v>
      </c>
      <c r="I137" s="249" t="s">
        <v>266</v>
      </c>
      <c r="J137" s="189"/>
      <c r="K137" s="166" t="s">
        <v>1689</v>
      </c>
      <c r="L137" s="4"/>
      <c r="M137" s="504"/>
      <c r="N137" s="201" t="s">
        <v>435</v>
      </c>
      <c r="O137" s="238" t="s">
        <v>1069</v>
      </c>
      <c r="P137" s="218" t="s">
        <v>487</v>
      </c>
      <c r="Q137" s="212" t="s">
        <v>305</v>
      </c>
      <c r="R137" s="4"/>
      <c r="S137" s="504"/>
      <c r="T137" s="164" t="s">
        <v>840</v>
      </c>
      <c r="U137" s="189" t="s">
        <v>356</v>
      </c>
      <c r="V137" s="238" t="s">
        <v>1069</v>
      </c>
      <c r="W137" s="164" t="s">
        <v>624</v>
      </c>
      <c r="X137" s="4"/>
      <c r="Y137" s="504"/>
      <c r="Z137" s="10" t="s">
        <v>361</v>
      </c>
      <c r="AA137" s="164" t="s">
        <v>266</v>
      </c>
      <c r="AB137" s="149" t="s">
        <v>813</v>
      </c>
      <c r="AC137" s="245" t="s">
        <v>1737</v>
      </c>
      <c r="AD137" s="4"/>
    </row>
    <row r="138">
      <c r="A138" s="5"/>
      <c r="B138" s="189" t="s">
        <v>916</v>
      </c>
      <c r="C138" s="201" t="s">
        <v>435</v>
      </c>
      <c r="D138" s="149" t="s">
        <v>165</v>
      </c>
      <c r="E138" s="5"/>
      <c r="F138" s="4"/>
      <c r="G138" s="504"/>
      <c r="H138" s="10" t="s">
        <v>361</v>
      </c>
      <c r="I138" s="505"/>
      <c r="J138" s="189"/>
      <c r="K138" s="218"/>
      <c r="L138" s="4"/>
      <c r="M138" s="504"/>
      <c r="N138" s="201" t="s">
        <v>435</v>
      </c>
      <c r="O138" s="201" t="s">
        <v>435</v>
      </c>
      <c r="P138" s="218" t="s">
        <v>335</v>
      </c>
      <c r="Q138" s="220" t="s">
        <v>936</v>
      </c>
      <c r="R138" s="4"/>
      <c r="S138" s="504"/>
      <c r="T138" s="166" t="s">
        <v>866</v>
      </c>
      <c r="U138" s="224" t="s">
        <v>890</v>
      </c>
      <c r="V138" s="189" t="s">
        <v>870</v>
      </c>
      <c r="W138" s="189" t="s">
        <v>366</v>
      </c>
      <c r="X138" s="4"/>
      <c r="Y138" s="504"/>
      <c r="Z138" s="10" t="s">
        <v>1681</v>
      </c>
      <c r="AA138" s="164" t="s">
        <v>1717</v>
      </c>
      <c r="AB138" s="201" t="s">
        <v>435</v>
      </c>
      <c r="AC138" s="166" t="s">
        <v>866</v>
      </c>
      <c r="AD138" s="4"/>
    </row>
    <row r="139">
      <c r="A139" s="5"/>
      <c r="B139" s="506" t="s">
        <v>890</v>
      </c>
      <c r="C139" s="201" t="s">
        <v>435</v>
      </c>
      <c r="D139" s="201" t="s">
        <v>124</v>
      </c>
      <c r="E139" s="5"/>
      <c r="F139" s="4"/>
      <c r="G139" s="504"/>
      <c r="H139" s="164" t="s">
        <v>140</v>
      </c>
      <c r="I139" s="224" t="s">
        <v>890</v>
      </c>
      <c r="J139" s="189"/>
      <c r="K139" s="189"/>
      <c r="L139" s="4"/>
      <c r="M139" s="504"/>
      <c r="N139" s="201" t="s">
        <v>435</v>
      </c>
      <c r="O139" s="201" t="s">
        <v>435</v>
      </c>
      <c r="P139" s="201" t="s">
        <v>435</v>
      </c>
      <c r="Q139" s="220" t="s">
        <v>1463</v>
      </c>
      <c r="R139" s="4"/>
      <c r="S139" s="504"/>
      <c r="T139" s="164" t="s">
        <v>140</v>
      </c>
      <c r="U139" s="201" t="s">
        <v>435</v>
      </c>
      <c r="V139" s="201" t="s">
        <v>435</v>
      </c>
      <c r="W139" s="166" t="s">
        <v>362</v>
      </c>
      <c r="X139" s="4"/>
      <c r="Y139" s="504"/>
      <c r="Z139" s="164" t="s">
        <v>140</v>
      </c>
      <c r="AA139" s="224" t="s">
        <v>890</v>
      </c>
      <c r="AB139" s="201" t="s">
        <v>435</v>
      </c>
      <c r="AC139" s="164" t="s">
        <v>1339</v>
      </c>
      <c r="AD139" s="4"/>
    </row>
    <row r="140">
      <c r="A140" s="4"/>
      <c r="B140" s="52"/>
      <c r="C140" s="52"/>
      <c r="D140" s="52"/>
      <c r="E140" s="5"/>
      <c r="F140" s="4"/>
      <c r="G140" s="4"/>
      <c r="H140" s="52"/>
      <c r="I140" s="52"/>
      <c r="J140" s="52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52"/>
      <c r="C141" s="52"/>
      <c r="D141" s="52"/>
      <c r="E141" s="5"/>
      <c r="F141" s="4"/>
      <c r="G141" s="4"/>
      <c r="H141" s="52"/>
      <c r="I141" s="52"/>
      <c r="J141" s="52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507">
        <v>45600.0</v>
      </c>
      <c r="C142" s="507">
        <v>45601.0</v>
      </c>
      <c r="D142" s="507">
        <v>45602.0</v>
      </c>
      <c r="E142" s="507">
        <v>45603.0</v>
      </c>
      <c r="F142" s="4"/>
      <c r="G142" s="4"/>
      <c r="H142" s="507">
        <v>45607.0</v>
      </c>
      <c r="I142" s="507">
        <v>45608.0</v>
      </c>
      <c r="J142" s="507">
        <v>45609.0</v>
      </c>
      <c r="K142" s="507">
        <v>45610.0</v>
      </c>
      <c r="L142" s="4"/>
      <c r="M142" s="4"/>
      <c r="N142" s="507">
        <v>45614.0</v>
      </c>
      <c r="O142" s="507">
        <v>45615.0</v>
      </c>
      <c r="P142" s="507">
        <v>45616.0</v>
      </c>
      <c r="Q142" s="507">
        <v>45617.0</v>
      </c>
      <c r="R142" s="4"/>
      <c r="S142" s="4"/>
      <c r="T142" s="507">
        <v>45621.0</v>
      </c>
      <c r="U142" s="507">
        <v>45622.0</v>
      </c>
      <c r="V142" s="507">
        <v>45623.0</v>
      </c>
      <c r="W142" s="507">
        <v>45624.0</v>
      </c>
      <c r="X142" s="4"/>
      <c r="Y142" s="4"/>
      <c r="Z142" s="4"/>
      <c r="AA142" s="4"/>
      <c r="AB142" s="4"/>
      <c r="AC142" s="4"/>
      <c r="AD142" s="4"/>
    </row>
    <row r="143">
      <c r="A143" s="504"/>
      <c r="B143" s="152"/>
      <c r="C143" s="166" t="s">
        <v>363</v>
      </c>
      <c r="D143" s="135" t="s">
        <v>435</v>
      </c>
      <c r="E143" s="135" t="s">
        <v>435</v>
      </c>
      <c r="F143" s="4"/>
      <c r="G143" s="504"/>
      <c r="H143" s="189"/>
      <c r="I143" s="166" t="s">
        <v>363</v>
      </c>
      <c r="J143" s="166"/>
      <c r="K143" s="166" t="s">
        <v>1557</v>
      </c>
      <c r="L143" s="4"/>
      <c r="M143" s="504"/>
      <c r="N143" s="206" t="s">
        <v>435</v>
      </c>
      <c r="O143" s="166" t="s">
        <v>363</v>
      </c>
      <c r="P143" s="135" t="s">
        <v>435</v>
      </c>
      <c r="Q143" s="245" t="s">
        <v>1705</v>
      </c>
      <c r="R143" s="4"/>
      <c r="S143" s="504"/>
      <c r="T143" s="189" t="s">
        <v>435</v>
      </c>
      <c r="U143" s="189" t="s">
        <v>435</v>
      </c>
      <c r="V143" s="189" t="s">
        <v>435</v>
      </c>
      <c r="W143" s="189" t="s">
        <v>435</v>
      </c>
      <c r="X143" s="4"/>
      <c r="Y143" s="4"/>
      <c r="Z143" s="4"/>
      <c r="AA143" s="4"/>
      <c r="AB143" s="4"/>
      <c r="AC143" s="4"/>
      <c r="AD143" s="4"/>
    </row>
    <row r="144">
      <c r="A144" s="504"/>
      <c r="B144" s="164"/>
      <c r="C144" s="220" t="s">
        <v>936</v>
      </c>
      <c r="D144" s="135" t="s">
        <v>435</v>
      </c>
      <c r="E144" s="213" t="s">
        <v>169</v>
      </c>
      <c r="F144" s="4"/>
      <c r="G144" s="504"/>
      <c r="H144" s="189"/>
      <c r="I144" s="220" t="s">
        <v>936</v>
      </c>
      <c r="J144" s="166"/>
      <c r="K144" s="166" t="s">
        <v>512</v>
      </c>
      <c r="L144" s="4"/>
      <c r="M144" s="504"/>
      <c r="N144" s="206" t="s">
        <v>435</v>
      </c>
      <c r="O144" s="166" t="s">
        <v>1049</v>
      </c>
      <c r="P144" s="135" t="s">
        <v>435</v>
      </c>
      <c r="Q144" s="213" t="s">
        <v>169</v>
      </c>
      <c r="R144" s="4"/>
      <c r="S144" s="504"/>
      <c r="T144" s="189" t="s">
        <v>435</v>
      </c>
      <c r="U144" s="220" t="s">
        <v>936</v>
      </c>
      <c r="V144" s="189" t="s">
        <v>435</v>
      </c>
      <c r="W144" s="508"/>
      <c r="X144" s="4"/>
      <c r="Y144" s="4"/>
      <c r="Z144" s="4"/>
      <c r="AA144" s="4"/>
      <c r="AB144" s="4"/>
      <c r="AC144" s="4"/>
      <c r="AD144" s="4"/>
    </row>
    <row r="145">
      <c r="A145" s="504"/>
      <c r="B145" s="164"/>
      <c r="C145" s="164" t="s">
        <v>763</v>
      </c>
      <c r="D145" s="135" t="s">
        <v>435</v>
      </c>
      <c r="E145" s="189" t="s">
        <v>129</v>
      </c>
      <c r="F145" s="4"/>
      <c r="G145" s="504"/>
      <c r="H145" s="189"/>
      <c r="I145" s="166"/>
      <c r="J145" s="166"/>
      <c r="K145" s="149" t="s">
        <v>129</v>
      </c>
      <c r="L145" s="4"/>
      <c r="M145" s="504"/>
      <c r="N145" s="206" t="s">
        <v>435</v>
      </c>
      <c r="O145" s="218" t="s">
        <v>763</v>
      </c>
      <c r="P145" s="135" t="s">
        <v>435</v>
      </c>
      <c r="Q145" s="166" t="s">
        <v>134</v>
      </c>
      <c r="R145" s="4"/>
      <c r="S145" s="504"/>
      <c r="T145" s="189" t="s">
        <v>435</v>
      </c>
      <c r="U145" s="189" t="s">
        <v>1049</v>
      </c>
      <c r="V145" s="189" t="s">
        <v>435</v>
      </c>
      <c r="W145" s="166" t="s">
        <v>1745</v>
      </c>
      <c r="X145" s="4"/>
      <c r="Y145" s="4"/>
      <c r="Z145" s="4"/>
      <c r="AA145" s="4"/>
      <c r="AB145" s="4"/>
      <c r="AC145" s="4"/>
      <c r="AD145" s="4"/>
    </row>
    <row r="146">
      <c r="A146" s="504"/>
      <c r="B146" s="164"/>
      <c r="C146" s="166" t="s">
        <v>192</v>
      </c>
      <c r="D146" s="135" t="s">
        <v>435</v>
      </c>
      <c r="E146" s="149" t="s">
        <v>96</v>
      </c>
      <c r="F146" s="4"/>
      <c r="G146" s="504"/>
      <c r="H146" s="189"/>
      <c r="I146" s="223"/>
      <c r="J146" s="166"/>
      <c r="K146" s="218" t="s">
        <v>201</v>
      </c>
      <c r="L146" s="4"/>
      <c r="M146" s="504"/>
      <c r="N146" s="206" t="s">
        <v>435</v>
      </c>
      <c r="O146" s="166" t="s">
        <v>192</v>
      </c>
      <c r="P146" s="135" t="s">
        <v>435</v>
      </c>
      <c r="Q146" s="245" t="s">
        <v>814</v>
      </c>
      <c r="R146" s="4"/>
      <c r="S146" s="504"/>
      <c r="T146" s="189" t="s">
        <v>435</v>
      </c>
      <c r="U146" s="223"/>
      <c r="V146" s="189" t="s">
        <v>435</v>
      </c>
      <c r="W146" s="218" t="s">
        <v>201</v>
      </c>
      <c r="X146" s="4"/>
      <c r="Y146" s="4"/>
      <c r="Z146" s="4"/>
      <c r="AA146" s="4"/>
      <c r="AB146" s="4"/>
      <c r="AC146" s="4"/>
      <c r="AD146" s="4"/>
    </row>
    <row r="147">
      <c r="A147" s="504"/>
      <c r="B147" s="189" t="s">
        <v>525</v>
      </c>
      <c r="C147" s="189" t="s">
        <v>91</v>
      </c>
      <c r="D147" s="61" t="s">
        <v>313</v>
      </c>
      <c r="E147" s="135" t="s">
        <v>435</v>
      </c>
      <c r="F147" s="4"/>
      <c r="G147" s="504"/>
      <c r="H147" s="189" t="s">
        <v>1341</v>
      </c>
      <c r="I147" s="164" t="s">
        <v>624</v>
      </c>
      <c r="J147" s="218" t="s">
        <v>69</v>
      </c>
      <c r="K147" s="10" t="s">
        <v>173</v>
      </c>
      <c r="L147" s="4"/>
      <c r="M147" s="504"/>
      <c r="N147" s="166" t="s">
        <v>1609</v>
      </c>
      <c r="O147" s="166"/>
      <c r="P147" s="135" t="s">
        <v>435</v>
      </c>
      <c r="Q147" s="135" t="s">
        <v>435</v>
      </c>
      <c r="R147" s="4"/>
      <c r="S147" s="504"/>
      <c r="T147" s="189" t="s">
        <v>435</v>
      </c>
      <c r="U147" s="164" t="s">
        <v>624</v>
      </c>
      <c r="V147" s="194" t="s">
        <v>868</v>
      </c>
      <c r="W147" s="245"/>
      <c r="X147" s="4"/>
      <c r="Y147" s="4"/>
      <c r="Z147" s="4"/>
      <c r="AA147" s="4"/>
      <c r="AB147" s="4"/>
      <c r="AC147" s="4"/>
      <c r="AD147" s="4"/>
    </row>
    <row r="148">
      <c r="A148" s="504"/>
      <c r="B148" s="189" t="s">
        <v>129</v>
      </c>
      <c r="C148" s="164" t="s">
        <v>624</v>
      </c>
      <c r="D148" s="164" t="s">
        <v>69</v>
      </c>
      <c r="E148" s="135" t="s">
        <v>435</v>
      </c>
      <c r="F148" s="4"/>
      <c r="G148" s="504"/>
      <c r="H148" s="149" t="s">
        <v>813</v>
      </c>
      <c r="I148" s="189" t="s">
        <v>299</v>
      </c>
      <c r="J148" s="149" t="s">
        <v>96</v>
      </c>
      <c r="K148" s="509" t="s">
        <v>776</v>
      </c>
      <c r="L148" s="4"/>
      <c r="M148" s="504"/>
      <c r="N148" s="475"/>
      <c r="O148" s="218" t="s">
        <v>624</v>
      </c>
      <c r="P148" s="135" t="s">
        <v>435</v>
      </c>
      <c r="Q148" s="194" t="s">
        <v>191</v>
      </c>
      <c r="R148" s="4"/>
      <c r="S148" s="504"/>
      <c r="T148" s="149" t="s">
        <v>813</v>
      </c>
      <c r="U148" s="469"/>
      <c r="V148" s="189" t="s">
        <v>435</v>
      </c>
      <c r="W148" s="194" t="s">
        <v>1750</v>
      </c>
      <c r="X148" s="4"/>
      <c r="Y148" s="4"/>
      <c r="Z148" s="4"/>
      <c r="AA148" s="4"/>
      <c r="AB148" s="4"/>
      <c r="AC148" s="4"/>
      <c r="AD148" s="4"/>
    </row>
    <row r="149">
      <c r="A149" s="504"/>
      <c r="B149" s="164" t="s">
        <v>790</v>
      </c>
      <c r="C149" s="274" t="s">
        <v>268</v>
      </c>
      <c r="D149" s="245" t="s">
        <v>1142</v>
      </c>
      <c r="E149" s="194" t="s">
        <v>191</v>
      </c>
      <c r="F149" s="4"/>
      <c r="G149" s="504"/>
      <c r="H149" s="245" t="s">
        <v>814</v>
      </c>
      <c r="I149" s="274" t="s">
        <v>268</v>
      </c>
      <c r="J149" s="245" t="s">
        <v>1142</v>
      </c>
      <c r="K149" s="218" t="s">
        <v>1422</v>
      </c>
      <c r="L149" s="4"/>
      <c r="M149" s="504"/>
      <c r="N149" s="166" t="s">
        <v>91</v>
      </c>
      <c r="O149" s="274" t="s">
        <v>268</v>
      </c>
      <c r="P149" s="189" t="s">
        <v>1284</v>
      </c>
      <c r="Q149" s="245" t="s">
        <v>151</v>
      </c>
      <c r="R149" s="4"/>
      <c r="S149" s="504"/>
      <c r="T149" s="189" t="s">
        <v>435</v>
      </c>
      <c r="U149" s="249" t="s">
        <v>865</v>
      </c>
      <c r="V149" s="164" t="s">
        <v>1743</v>
      </c>
      <c r="W149" s="245"/>
      <c r="X149" s="4"/>
      <c r="Y149" s="4"/>
      <c r="Z149" s="4"/>
      <c r="AA149" s="4"/>
      <c r="AB149" s="4"/>
      <c r="AC149" s="4"/>
      <c r="AD149" s="4"/>
    </row>
    <row r="150">
      <c r="A150" s="504"/>
      <c r="B150" s="10" t="s">
        <v>40</v>
      </c>
      <c r="C150" s="249" t="s">
        <v>865</v>
      </c>
      <c r="D150" s="187" t="s">
        <v>914</v>
      </c>
      <c r="E150" s="189" t="s">
        <v>955</v>
      </c>
      <c r="F150" s="4"/>
      <c r="G150" s="504"/>
      <c r="H150" s="189" t="s">
        <v>182</v>
      </c>
      <c r="I150" s="249" t="s">
        <v>865</v>
      </c>
      <c r="J150" s="245" t="s">
        <v>1002</v>
      </c>
      <c r="K150" s="10" t="s">
        <v>1601</v>
      </c>
      <c r="L150" s="4"/>
      <c r="M150" s="504"/>
      <c r="N150" s="10" t="s">
        <v>40</v>
      </c>
      <c r="O150" s="249" t="s">
        <v>865</v>
      </c>
      <c r="P150" s="218" t="s">
        <v>487</v>
      </c>
      <c r="Q150" s="286"/>
      <c r="R150" s="4"/>
      <c r="S150" s="504"/>
      <c r="T150" s="189" t="s">
        <v>435</v>
      </c>
      <c r="U150" s="189" t="s">
        <v>435</v>
      </c>
      <c r="V150" s="187" t="s">
        <v>914</v>
      </c>
      <c r="W150" s="245" t="s">
        <v>151</v>
      </c>
      <c r="X150" s="4"/>
      <c r="Y150" s="4"/>
      <c r="Z150" s="4"/>
      <c r="AA150" s="4"/>
      <c r="AB150" s="4"/>
      <c r="AC150" s="4"/>
      <c r="AD150" s="4"/>
    </row>
    <row r="151">
      <c r="A151" s="504"/>
      <c r="B151" s="164" t="s">
        <v>840</v>
      </c>
      <c r="C151" s="238" t="s">
        <v>1069</v>
      </c>
      <c r="D151" s="218" t="s">
        <v>487</v>
      </c>
      <c r="F151" s="4"/>
      <c r="G151" s="504"/>
      <c r="H151" s="164" t="s">
        <v>790</v>
      </c>
      <c r="I151" s="164" t="s">
        <v>266</v>
      </c>
      <c r="J151" s="218" t="s">
        <v>917</v>
      </c>
      <c r="K151" s="212"/>
      <c r="L151" s="4"/>
      <c r="M151" s="504"/>
      <c r="N151" s="218" t="s">
        <v>782</v>
      </c>
      <c r="O151" s="238" t="s">
        <v>1069</v>
      </c>
      <c r="P151" s="218" t="s">
        <v>335</v>
      </c>
      <c r="Q151" s="166" t="s">
        <v>917</v>
      </c>
      <c r="R151" s="4"/>
      <c r="S151" s="504"/>
      <c r="T151" s="189" t="s">
        <v>435</v>
      </c>
      <c r="U151" s="189" t="s">
        <v>435</v>
      </c>
      <c r="V151" s="189" t="s">
        <v>435</v>
      </c>
      <c r="W151" s="166" t="s">
        <v>917</v>
      </c>
      <c r="X151" s="4"/>
      <c r="Y151" s="4"/>
      <c r="Z151" s="4"/>
      <c r="AA151" s="4"/>
      <c r="AB151" s="4"/>
      <c r="AC151" s="4"/>
      <c r="AD151" s="4"/>
    </row>
    <row r="152">
      <c r="A152" s="504"/>
      <c r="B152" s="166" t="s">
        <v>866</v>
      </c>
      <c r="C152" s="135" t="s">
        <v>435</v>
      </c>
      <c r="D152" s="218" t="s">
        <v>335</v>
      </c>
      <c r="E152" s="218" t="s">
        <v>870</v>
      </c>
      <c r="F152" s="4"/>
      <c r="G152" s="504"/>
      <c r="H152" s="166" t="s">
        <v>866</v>
      </c>
      <c r="I152" s="189" t="s">
        <v>366</v>
      </c>
      <c r="J152" s="218" t="s">
        <v>1250</v>
      </c>
      <c r="K152" s="166"/>
      <c r="L152" s="4"/>
      <c r="M152" s="504"/>
      <c r="N152" s="166" t="s">
        <v>866</v>
      </c>
      <c r="O152" s="166" t="s">
        <v>890</v>
      </c>
      <c r="P152" s="135" t="s">
        <v>435</v>
      </c>
      <c r="Q152" s="218" t="s">
        <v>870</v>
      </c>
      <c r="R152" s="4"/>
      <c r="S152" s="504"/>
      <c r="T152" s="166" t="s">
        <v>866</v>
      </c>
      <c r="U152" s="189" t="s">
        <v>435</v>
      </c>
      <c r="V152" s="189" t="s">
        <v>435</v>
      </c>
      <c r="W152" s="166"/>
      <c r="X152" s="4"/>
      <c r="Y152" s="4"/>
      <c r="Z152" s="4"/>
      <c r="AA152" s="4"/>
      <c r="AB152" s="4"/>
      <c r="AC152" s="4"/>
      <c r="AD152" s="4"/>
    </row>
    <row r="153">
      <c r="A153" s="504"/>
      <c r="B153" s="164" t="s">
        <v>867</v>
      </c>
      <c r="C153" s="224" t="s">
        <v>890</v>
      </c>
      <c r="D153" s="238" t="s">
        <v>1209</v>
      </c>
      <c r="E153" s="166" t="s">
        <v>917</v>
      </c>
      <c r="F153" s="4"/>
      <c r="G153" s="504"/>
      <c r="H153" s="164" t="s">
        <v>174</v>
      </c>
      <c r="I153" s="224" t="s">
        <v>890</v>
      </c>
      <c r="J153" s="218"/>
      <c r="K153" s="218"/>
      <c r="L153" s="4"/>
      <c r="M153" s="504"/>
      <c r="N153" s="218" t="s">
        <v>867</v>
      </c>
      <c r="O153" s="224"/>
      <c r="P153" s="135" t="s">
        <v>435</v>
      </c>
      <c r="Q153" s="189" t="s">
        <v>838</v>
      </c>
      <c r="R153" s="4"/>
      <c r="S153" s="504"/>
      <c r="T153" s="164" t="s">
        <v>867</v>
      </c>
      <c r="U153" s="189" t="s">
        <v>435</v>
      </c>
      <c r="V153" s="189" t="s">
        <v>435</v>
      </c>
      <c r="W153" s="508"/>
      <c r="X153" s="4"/>
      <c r="Y153" s="4"/>
      <c r="Z153" s="4"/>
      <c r="AA153" s="4"/>
      <c r="AB153" s="4"/>
      <c r="AC153" s="4"/>
      <c r="AD153" s="4"/>
    </row>
    <row r="154">
      <c r="A154" s="4"/>
      <c r="B154" s="52"/>
      <c r="C154" s="52"/>
      <c r="D154" s="52"/>
      <c r="E154" s="52"/>
      <c r="F154" s="4"/>
      <c r="G154" s="4"/>
      <c r="H154" s="52"/>
      <c r="I154" s="52"/>
      <c r="J154" s="52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52"/>
      <c r="C155" s="52"/>
      <c r="D155" s="52"/>
      <c r="E155" s="52"/>
      <c r="F155" s="4"/>
      <c r="G155" s="4"/>
      <c r="H155" s="52"/>
      <c r="I155" s="52"/>
      <c r="J155" s="52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510">
        <v>45628.0</v>
      </c>
      <c r="C156" s="510">
        <v>45629.0</v>
      </c>
      <c r="D156" s="510">
        <v>45630.0</v>
      </c>
      <c r="E156" s="510">
        <v>45631.0</v>
      </c>
      <c r="F156" s="4"/>
      <c r="G156" s="4"/>
      <c r="H156" s="510">
        <v>45635.0</v>
      </c>
      <c r="I156" s="510">
        <v>45636.0</v>
      </c>
      <c r="J156" s="510">
        <v>45637.0</v>
      </c>
      <c r="K156" s="510">
        <v>45638.0</v>
      </c>
      <c r="L156" s="4"/>
      <c r="M156" s="4"/>
      <c r="N156" s="510">
        <v>45642.0</v>
      </c>
      <c r="O156" s="510">
        <v>45643.0</v>
      </c>
      <c r="P156" s="510">
        <v>45644.0</v>
      </c>
      <c r="Q156" s="510">
        <v>45645.0</v>
      </c>
      <c r="R156" s="4"/>
      <c r="S156" s="4"/>
      <c r="T156" s="510">
        <v>45649.0</v>
      </c>
      <c r="U156" s="510">
        <v>45650.0</v>
      </c>
      <c r="V156" s="510">
        <v>45651.0</v>
      </c>
      <c r="W156" s="510">
        <v>45652.0</v>
      </c>
      <c r="X156" s="4"/>
      <c r="Y156" s="4"/>
      <c r="Z156" s="510">
        <v>45656.0</v>
      </c>
      <c r="AA156" s="510">
        <v>45657.0</v>
      </c>
      <c r="AB156" s="4"/>
      <c r="AC156" s="4"/>
      <c r="AD156" s="4"/>
    </row>
    <row r="157">
      <c r="A157" s="504"/>
      <c r="B157" s="511"/>
      <c r="C157" s="189" t="s">
        <v>435</v>
      </c>
      <c r="D157" s="189" t="s">
        <v>435</v>
      </c>
      <c r="E157" s="512"/>
      <c r="F157" s="4"/>
      <c r="G157" s="504"/>
      <c r="H157" s="189" t="s">
        <v>435</v>
      </c>
      <c r="I157" s="166" t="s">
        <v>363</v>
      </c>
      <c r="J157" s="189" t="s">
        <v>435</v>
      </c>
      <c r="K157" s="189" t="s">
        <v>970</v>
      </c>
      <c r="L157" s="4"/>
      <c r="M157" s="504"/>
      <c r="N157" s="513"/>
      <c r="O157" s="166"/>
      <c r="P157" s="514"/>
      <c r="Q157" s="514"/>
      <c r="R157" s="4"/>
      <c r="S157" s="504"/>
      <c r="T157" s="189"/>
      <c r="U157" s="515"/>
      <c r="V157" s="515"/>
      <c r="W157" s="515"/>
      <c r="X157" s="4"/>
      <c r="Y157" s="504"/>
      <c r="Z157" s="515"/>
      <c r="AA157" s="515"/>
      <c r="AB157" s="4"/>
      <c r="AC157" s="4"/>
      <c r="AD157" s="4"/>
    </row>
    <row r="158">
      <c r="A158" s="504"/>
      <c r="B158" s="511"/>
      <c r="C158" s="189" t="s">
        <v>435</v>
      </c>
      <c r="D158" s="189" t="s">
        <v>435</v>
      </c>
      <c r="E158" s="221"/>
      <c r="F158" s="4"/>
      <c r="G158" s="504"/>
      <c r="H158" s="189" t="s">
        <v>435</v>
      </c>
      <c r="I158" s="220" t="s">
        <v>936</v>
      </c>
      <c r="J158" s="189" t="s">
        <v>435</v>
      </c>
      <c r="K158" s="189" t="s">
        <v>677</v>
      </c>
      <c r="L158" s="4"/>
      <c r="M158" s="504"/>
      <c r="N158" s="513"/>
      <c r="O158" s="220"/>
      <c r="P158" s="514"/>
      <c r="Q158" s="516"/>
      <c r="R158" s="4"/>
      <c r="S158" s="504"/>
      <c r="T158" s="166" t="s">
        <v>512</v>
      </c>
      <c r="U158" s="515"/>
      <c r="V158" s="515"/>
      <c r="W158" s="515"/>
      <c r="X158" s="4"/>
      <c r="Y158" s="504"/>
      <c r="Z158" s="515"/>
      <c r="AA158" s="515"/>
      <c r="AB158" s="4"/>
      <c r="AC158" s="4"/>
      <c r="AD158" s="4"/>
    </row>
    <row r="159">
      <c r="A159" s="504"/>
      <c r="B159" s="511"/>
      <c r="C159" s="166" t="s">
        <v>512</v>
      </c>
      <c r="D159" s="189" t="s">
        <v>435</v>
      </c>
      <c r="E159" s="221"/>
      <c r="F159" s="4"/>
      <c r="G159" s="504"/>
      <c r="H159" s="189" t="s">
        <v>435</v>
      </c>
      <c r="I159" s="218" t="s">
        <v>763</v>
      </c>
      <c r="J159" s="189" t="s">
        <v>435</v>
      </c>
      <c r="K159" s="189" t="s">
        <v>1049</v>
      </c>
      <c r="L159" s="4"/>
      <c r="M159" s="504"/>
      <c r="N159" s="513"/>
      <c r="O159" s="166" t="s">
        <v>512</v>
      </c>
      <c r="P159" s="514"/>
      <c r="Q159" s="166" t="s">
        <v>91</v>
      </c>
      <c r="R159" s="4"/>
      <c r="S159" s="504"/>
      <c r="T159" s="220"/>
      <c r="U159" s="515"/>
      <c r="V159" s="515"/>
      <c r="W159" s="515"/>
      <c r="X159" s="4"/>
      <c r="Y159" s="504"/>
      <c r="Z159" s="515"/>
      <c r="AA159" s="515"/>
      <c r="AB159" s="4"/>
      <c r="AC159" s="4"/>
      <c r="AD159" s="4"/>
    </row>
    <row r="160">
      <c r="A160" s="504"/>
      <c r="B160" s="511"/>
      <c r="C160" s="189" t="s">
        <v>435</v>
      </c>
      <c r="D160" s="189" t="s">
        <v>435</v>
      </c>
      <c r="E160" s="221"/>
      <c r="F160" s="4"/>
      <c r="G160" s="504"/>
      <c r="H160" s="189" t="s">
        <v>435</v>
      </c>
      <c r="I160" s="166" t="s">
        <v>345</v>
      </c>
      <c r="J160" s="189" t="s">
        <v>435</v>
      </c>
      <c r="K160" s="218" t="s">
        <v>201</v>
      </c>
      <c r="L160" s="4"/>
      <c r="M160" s="504"/>
      <c r="N160" s="513"/>
      <c r="O160" s="149"/>
      <c r="P160" s="514"/>
      <c r="Q160" s="166"/>
      <c r="R160" s="4"/>
      <c r="S160" s="504"/>
      <c r="T160" s="213" t="s">
        <v>169</v>
      </c>
      <c r="U160" s="515"/>
      <c r="V160" s="515"/>
      <c r="W160" s="515"/>
      <c r="X160" s="4"/>
      <c r="Y160" s="504"/>
      <c r="Z160" s="515"/>
      <c r="AA160" s="515"/>
      <c r="AB160" s="4"/>
      <c r="AC160" s="4"/>
      <c r="AD160" s="4"/>
    </row>
    <row r="161">
      <c r="A161" s="504"/>
      <c r="B161" s="511"/>
      <c r="C161" s="189" t="s">
        <v>435</v>
      </c>
      <c r="D161" s="189" t="s">
        <v>435</v>
      </c>
      <c r="E161" s="221"/>
      <c r="F161" s="4"/>
      <c r="G161" s="504"/>
      <c r="H161" s="189" t="s">
        <v>435</v>
      </c>
      <c r="I161" s="189" t="s">
        <v>435</v>
      </c>
      <c r="J161" s="468"/>
      <c r="K161" s="189" t="s">
        <v>435</v>
      </c>
      <c r="L161" s="4"/>
      <c r="M161" s="504"/>
      <c r="N161" s="189"/>
      <c r="O161" s="514"/>
      <c r="P161" s="514"/>
      <c r="Q161" s="10" t="s">
        <v>173</v>
      </c>
      <c r="R161" s="4"/>
      <c r="S161" s="504"/>
      <c r="T161" s="228" t="s">
        <v>1882</v>
      </c>
      <c r="U161" s="515"/>
      <c r="V161" s="515"/>
      <c r="W161" s="515"/>
      <c r="X161" s="4"/>
      <c r="Y161" s="504"/>
      <c r="Z161" s="515"/>
      <c r="AA161" s="515"/>
      <c r="AB161" s="4"/>
      <c r="AC161" s="4"/>
      <c r="AD161" s="4"/>
    </row>
    <row r="162">
      <c r="A162" s="504"/>
      <c r="B162" s="511"/>
      <c r="C162" s="189" t="s">
        <v>299</v>
      </c>
      <c r="D162" s="189" t="s">
        <v>435</v>
      </c>
      <c r="E162" s="221"/>
      <c r="F162" s="4"/>
      <c r="G162" s="504"/>
      <c r="H162" s="189" t="s">
        <v>435</v>
      </c>
      <c r="I162" s="189" t="s">
        <v>435</v>
      </c>
      <c r="J162" s="194" t="s">
        <v>868</v>
      </c>
      <c r="K162" s="194" t="s">
        <v>96</v>
      </c>
      <c r="L162" s="4"/>
      <c r="M162" s="504"/>
      <c r="N162" s="166"/>
      <c r="O162" s="514"/>
      <c r="P162" s="514"/>
      <c r="Q162" s="149"/>
      <c r="R162" s="4"/>
      <c r="S162" s="504"/>
      <c r="T162" s="492" t="s">
        <v>151</v>
      </c>
      <c r="U162" s="515"/>
      <c r="V162" s="515"/>
      <c r="W162" s="515"/>
      <c r="X162" s="4"/>
      <c r="Y162" s="504"/>
      <c r="Z162" s="515"/>
      <c r="AA162" s="515"/>
      <c r="AB162" s="4"/>
      <c r="AC162" s="4"/>
      <c r="AD162" s="4"/>
    </row>
    <row r="163">
      <c r="A163" s="504"/>
      <c r="B163" s="511"/>
      <c r="C163" s="10" t="s">
        <v>40</v>
      </c>
      <c r="D163" s="189" t="s">
        <v>182</v>
      </c>
      <c r="E163" s="221"/>
      <c r="F163" s="4"/>
      <c r="G163" s="504"/>
      <c r="H163" s="149" t="s">
        <v>813</v>
      </c>
      <c r="I163" s="189" t="s">
        <v>435</v>
      </c>
      <c r="J163" s="189" t="s">
        <v>435</v>
      </c>
      <c r="K163" s="245"/>
      <c r="L163" s="4"/>
      <c r="M163" s="504"/>
      <c r="N163" s="10" t="s">
        <v>1300</v>
      </c>
      <c r="O163" s="189"/>
      <c r="P163" s="514"/>
      <c r="Q163" s="149"/>
      <c r="R163" s="4"/>
      <c r="S163" s="504"/>
      <c r="T163" s="149" t="s">
        <v>813</v>
      </c>
      <c r="U163" s="515"/>
      <c r="V163" s="515"/>
      <c r="W163" s="515"/>
      <c r="X163" s="4"/>
      <c r="Y163" s="504"/>
      <c r="Z163" s="515"/>
      <c r="AA163" s="515"/>
      <c r="AB163" s="4"/>
      <c r="AC163" s="4"/>
      <c r="AD163" s="4"/>
    </row>
    <row r="164">
      <c r="A164" s="504"/>
      <c r="B164" s="511"/>
      <c r="C164" s="194" t="s">
        <v>814</v>
      </c>
      <c r="D164" s="218" t="s">
        <v>335</v>
      </c>
      <c r="E164" s="221"/>
      <c r="F164" s="4"/>
      <c r="G164" s="504"/>
      <c r="H164" s="189" t="s">
        <v>182</v>
      </c>
      <c r="I164" s="249" t="s">
        <v>865</v>
      </c>
      <c r="J164" s="189" t="s">
        <v>435</v>
      </c>
      <c r="K164" s="354" t="s">
        <v>151</v>
      </c>
      <c r="L164" s="4"/>
      <c r="M164" s="504"/>
      <c r="N164" s="10" t="s">
        <v>1300</v>
      </c>
      <c r="O164" s="517"/>
      <c r="P164" s="218" t="s">
        <v>335</v>
      </c>
      <c r="Q164" s="189"/>
      <c r="R164" s="4"/>
      <c r="S164" s="504"/>
      <c r="T164" s="249"/>
      <c r="U164" s="515"/>
      <c r="V164" s="515"/>
      <c r="W164" s="515"/>
      <c r="X164" s="4"/>
      <c r="Y164" s="504"/>
      <c r="Z164" s="515"/>
      <c r="AA164" s="515"/>
      <c r="AB164" s="4"/>
      <c r="AC164" s="4"/>
      <c r="AD164" s="4"/>
    </row>
    <row r="165">
      <c r="A165" s="504"/>
      <c r="B165" s="511"/>
      <c r="C165" s="164" t="s">
        <v>782</v>
      </c>
      <c r="D165" s="166" t="s">
        <v>487</v>
      </c>
      <c r="E165" s="221"/>
      <c r="F165" s="4"/>
      <c r="G165" s="504"/>
      <c r="H165" s="218" t="s">
        <v>782</v>
      </c>
      <c r="I165" s="189" t="s">
        <v>435</v>
      </c>
      <c r="J165" s="189" t="s">
        <v>1197</v>
      </c>
      <c r="K165" s="166" t="s">
        <v>917</v>
      </c>
      <c r="L165" s="4"/>
      <c r="M165" s="504"/>
      <c r="N165" s="218"/>
      <c r="O165" s="135" t="s">
        <v>1364</v>
      </c>
      <c r="P165" s="166" t="s">
        <v>487</v>
      </c>
      <c r="Q165" s="189"/>
      <c r="R165" s="4"/>
      <c r="S165" s="504"/>
      <c r="T165" s="218" t="s">
        <v>782</v>
      </c>
      <c r="U165" s="515"/>
      <c r="V165" s="515"/>
      <c r="W165" s="515"/>
      <c r="X165" s="4"/>
      <c r="Y165" s="504"/>
      <c r="Z165" s="515"/>
      <c r="AA165" s="515"/>
      <c r="AB165" s="4"/>
      <c r="AC165" s="4"/>
      <c r="AD165" s="4"/>
    </row>
    <row r="166">
      <c r="A166" s="504"/>
      <c r="B166" s="511"/>
      <c r="C166" s="166" t="s">
        <v>840</v>
      </c>
      <c r="D166" s="189" t="s">
        <v>91</v>
      </c>
      <c r="E166" s="221"/>
      <c r="F166" s="4"/>
      <c r="G166" s="504"/>
      <c r="H166" s="166" t="s">
        <v>866</v>
      </c>
      <c r="I166" s="189" t="s">
        <v>435</v>
      </c>
      <c r="J166" s="189" t="s">
        <v>435</v>
      </c>
      <c r="K166" s="189" t="s">
        <v>435</v>
      </c>
      <c r="L166" s="4"/>
      <c r="M166" s="504"/>
      <c r="N166" s="166" t="s">
        <v>841</v>
      </c>
      <c r="O166" s="189" t="s">
        <v>174</v>
      </c>
      <c r="P166" s="514"/>
      <c r="Q166" s="189"/>
      <c r="R166" s="4"/>
      <c r="S166" s="504"/>
      <c r="T166" s="189" t="s">
        <v>174</v>
      </c>
      <c r="U166" s="515"/>
      <c r="V166" s="515"/>
      <c r="W166" s="515"/>
      <c r="X166" s="4"/>
      <c r="Y166" s="504"/>
      <c r="Z166" s="515"/>
      <c r="AA166" s="515"/>
      <c r="AB166" s="4"/>
      <c r="AC166" s="4"/>
      <c r="AD166" s="4"/>
    </row>
    <row r="167">
      <c r="A167" s="504"/>
      <c r="B167" s="511"/>
      <c r="C167" s="189" t="s">
        <v>890</v>
      </c>
      <c r="D167" s="189" t="s">
        <v>435</v>
      </c>
      <c r="E167" s="221"/>
      <c r="F167" s="4"/>
      <c r="G167" s="504"/>
      <c r="H167" s="164" t="s">
        <v>867</v>
      </c>
      <c r="I167" s="189" t="s">
        <v>435</v>
      </c>
      <c r="J167" s="189" t="s">
        <v>435</v>
      </c>
      <c r="K167" s="189" t="s">
        <v>435</v>
      </c>
      <c r="L167" s="4"/>
      <c r="M167" s="504"/>
      <c r="N167" s="469"/>
      <c r="O167" s="189" t="s">
        <v>890</v>
      </c>
      <c r="P167" s="514"/>
      <c r="Q167" s="218"/>
      <c r="R167" s="4"/>
      <c r="S167" s="504"/>
      <c r="T167" s="189" t="s">
        <v>890</v>
      </c>
      <c r="U167" s="515"/>
      <c r="V167" s="515"/>
      <c r="W167" s="515"/>
      <c r="X167" s="4"/>
      <c r="Y167" s="504"/>
      <c r="Z167" s="515"/>
      <c r="AA167" s="515"/>
      <c r="AB167" s="4"/>
      <c r="AC167" s="4"/>
      <c r="AD167" s="4"/>
    </row>
    <row r="168">
      <c r="A168" s="4"/>
      <c r="B168" s="52"/>
      <c r="C168" s="52"/>
      <c r="D168" s="52"/>
      <c r="E168" s="52"/>
      <c r="F168" s="4"/>
      <c r="G168" s="4"/>
      <c r="H168" s="52"/>
      <c r="I168" s="52"/>
      <c r="J168" s="52"/>
      <c r="K168" s="4"/>
      <c r="L168" s="4"/>
      <c r="M168" s="4"/>
      <c r="N168" s="4"/>
      <c r="O168" s="4"/>
      <c r="P168" s="4"/>
      <c r="Q168" s="4"/>
      <c r="R168" s="4"/>
      <c r="S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52"/>
      <c r="C169" s="52"/>
      <c r="D169" s="52"/>
      <c r="E169" s="52"/>
      <c r="F169" s="4"/>
      <c r="G169" s="4"/>
      <c r="H169" s="52"/>
      <c r="I169" s="52"/>
      <c r="J169" s="52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52"/>
      <c r="C170" s="52"/>
      <c r="D170" s="52"/>
      <c r="E170" s="52"/>
      <c r="F170" s="4"/>
      <c r="G170" s="4"/>
      <c r="H170" s="52"/>
      <c r="I170" s="52"/>
      <c r="J170" s="52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52"/>
      <c r="C171" s="52"/>
      <c r="D171" s="52"/>
      <c r="E171" s="52"/>
      <c r="F171" s="4"/>
      <c r="G171" s="4"/>
      <c r="H171" s="52"/>
      <c r="I171" s="52"/>
      <c r="J171" s="52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52"/>
      <c r="C172" s="52"/>
      <c r="D172" s="52"/>
      <c r="E172" s="52"/>
      <c r="F172" s="4"/>
      <c r="G172" s="4"/>
      <c r="H172" s="52"/>
      <c r="I172" s="52"/>
      <c r="J172" s="52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52"/>
      <c r="C173" s="52"/>
      <c r="D173" s="52"/>
      <c r="E173" s="52"/>
      <c r="F173" s="4"/>
      <c r="G173" s="4"/>
      <c r="H173" s="52"/>
      <c r="I173" s="52"/>
      <c r="J173" s="52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52"/>
      <c r="C174" s="52"/>
      <c r="D174" s="52"/>
      <c r="E174" s="52"/>
      <c r="F174" s="4"/>
      <c r="G174" s="4"/>
      <c r="H174" s="52"/>
      <c r="I174" s="52"/>
      <c r="J174" s="52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52"/>
      <c r="C175" s="52"/>
      <c r="D175" s="52"/>
      <c r="E175" s="52"/>
      <c r="F175" s="4"/>
      <c r="G175" s="4"/>
      <c r="H175" s="52"/>
      <c r="I175" s="52"/>
      <c r="J175" s="52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52"/>
      <c r="C176" s="52"/>
      <c r="D176" s="52"/>
      <c r="E176" s="52"/>
      <c r="F176" s="4"/>
      <c r="G176" s="4"/>
      <c r="H176" s="52"/>
      <c r="I176" s="52"/>
      <c r="J176" s="52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52"/>
      <c r="C177" s="52"/>
      <c r="D177" s="52"/>
      <c r="E177" s="52"/>
      <c r="F177" s="4"/>
      <c r="G177" s="4"/>
      <c r="H177" s="52"/>
      <c r="I177" s="52"/>
      <c r="J177" s="52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52"/>
      <c r="C178" s="52"/>
      <c r="D178" s="52"/>
      <c r="E178" s="52"/>
      <c r="F178" s="4"/>
      <c r="G178" s="4"/>
      <c r="H178" s="52"/>
      <c r="I178" s="52"/>
      <c r="J178" s="52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52"/>
      <c r="C179" s="52"/>
      <c r="D179" s="52"/>
      <c r="E179" s="52"/>
      <c r="F179" s="4"/>
      <c r="G179" s="4"/>
      <c r="H179" s="52"/>
      <c r="I179" s="52"/>
      <c r="J179" s="52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52"/>
      <c r="C180" s="52"/>
      <c r="D180" s="52"/>
      <c r="E180" s="52"/>
      <c r="F180" s="4"/>
      <c r="G180" s="4"/>
      <c r="H180" s="52"/>
      <c r="I180" s="52"/>
      <c r="J180" s="52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52"/>
      <c r="C181" s="52"/>
      <c r="D181" s="52"/>
      <c r="E181" s="52"/>
      <c r="F181" s="4"/>
      <c r="G181" s="4"/>
      <c r="H181" s="52"/>
      <c r="I181" s="52"/>
      <c r="J181" s="52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52"/>
      <c r="C182" s="52"/>
      <c r="D182" s="52"/>
      <c r="E182" s="52"/>
      <c r="F182" s="4"/>
      <c r="G182" s="4"/>
      <c r="H182" s="52"/>
      <c r="I182" s="52"/>
      <c r="J182" s="52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52"/>
      <c r="C183" s="52"/>
      <c r="D183" s="52"/>
      <c r="E183" s="52"/>
      <c r="F183" s="4"/>
      <c r="G183" s="4"/>
      <c r="H183" s="52"/>
      <c r="I183" s="52"/>
      <c r="J183" s="52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52"/>
      <c r="C184" s="52"/>
      <c r="D184" s="52"/>
      <c r="E184" s="52"/>
      <c r="F184" s="4"/>
      <c r="G184" s="4"/>
      <c r="H184" s="52"/>
      <c r="I184" s="52"/>
      <c r="J184" s="52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52"/>
      <c r="C185" s="52"/>
      <c r="D185" s="52"/>
      <c r="E185" s="52"/>
      <c r="F185" s="4"/>
      <c r="G185" s="4"/>
      <c r="H185" s="52"/>
      <c r="I185" s="52"/>
      <c r="J185" s="52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52"/>
      <c r="C186" s="52"/>
      <c r="D186" s="52"/>
      <c r="E186" s="52"/>
      <c r="F186" s="4"/>
      <c r="G186" s="4"/>
      <c r="H186" s="52"/>
      <c r="I186" s="52"/>
      <c r="J186" s="52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52"/>
      <c r="C187" s="52"/>
      <c r="D187" s="52"/>
      <c r="E187" s="52"/>
      <c r="F187" s="4"/>
      <c r="G187" s="4"/>
      <c r="H187" s="52"/>
      <c r="I187" s="52"/>
      <c r="J187" s="52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52"/>
      <c r="C188" s="52"/>
      <c r="D188" s="52"/>
      <c r="E188" s="52"/>
      <c r="F188" s="4"/>
      <c r="G188" s="4"/>
      <c r="H188" s="52"/>
      <c r="I188" s="52"/>
      <c r="J188" s="52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52"/>
      <c r="C189" s="52"/>
      <c r="D189" s="52"/>
      <c r="E189" s="52"/>
      <c r="F189" s="4"/>
      <c r="G189" s="4"/>
      <c r="H189" s="52"/>
      <c r="I189" s="52"/>
      <c r="J189" s="52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52"/>
      <c r="C190" s="52"/>
      <c r="D190" s="52"/>
      <c r="E190" s="52"/>
      <c r="F190" s="4"/>
      <c r="G190" s="4"/>
      <c r="H190" s="52"/>
      <c r="I190" s="52"/>
      <c r="J190" s="52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52"/>
      <c r="C191" s="52"/>
      <c r="D191" s="52"/>
      <c r="E191" s="52"/>
      <c r="F191" s="4"/>
      <c r="G191" s="4"/>
      <c r="H191" s="52"/>
      <c r="I191" s="52"/>
      <c r="J191" s="52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52"/>
      <c r="C192" s="52"/>
      <c r="D192" s="52"/>
      <c r="E192" s="52"/>
      <c r="F192" s="4"/>
      <c r="G192" s="4"/>
      <c r="H192" s="52"/>
      <c r="I192" s="52"/>
      <c r="J192" s="52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52"/>
      <c r="C193" s="52"/>
      <c r="D193" s="52"/>
      <c r="E193" s="52"/>
      <c r="F193" s="4"/>
      <c r="G193" s="4"/>
      <c r="H193" s="52"/>
      <c r="I193" s="52"/>
      <c r="J193" s="52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52"/>
      <c r="C194" s="52"/>
      <c r="D194" s="52"/>
      <c r="E194" s="52"/>
      <c r="F194" s="4"/>
      <c r="G194" s="4"/>
      <c r="H194" s="52"/>
      <c r="I194" s="52"/>
      <c r="J194" s="52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52"/>
      <c r="C195" s="52"/>
      <c r="D195" s="52"/>
      <c r="E195" s="52"/>
      <c r="F195" s="4"/>
      <c r="G195" s="4"/>
      <c r="H195" s="52"/>
      <c r="I195" s="52"/>
      <c r="J195" s="52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52"/>
      <c r="C196" s="52"/>
      <c r="D196" s="52"/>
      <c r="E196" s="52"/>
      <c r="F196" s="4"/>
      <c r="G196" s="4"/>
      <c r="H196" s="52"/>
      <c r="I196" s="52"/>
      <c r="J196" s="52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52"/>
      <c r="C197" s="52"/>
      <c r="D197" s="52"/>
      <c r="E197" s="52"/>
      <c r="F197" s="4"/>
      <c r="G197" s="4"/>
      <c r="H197" s="52"/>
      <c r="I197" s="52"/>
      <c r="J197" s="52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52"/>
      <c r="C198" s="52"/>
      <c r="D198" s="52"/>
      <c r="E198" s="52"/>
      <c r="F198" s="4"/>
      <c r="G198" s="4"/>
      <c r="H198" s="52"/>
      <c r="I198" s="52"/>
      <c r="J198" s="52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52"/>
      <c r="C199" s="52"/>
      <c r="D199" s="52"/>
      <c r="E199" s="52"/>
      <c r="F199" s="4"/>
      <c r="G199" s="4"/>
      <c r="H199" s="52"/>
      <c r="I199" s="52"/>
      <c r="J199" s="52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52"/>
      <c r="C200" s="52"/>
      <c r="D200" s="52"/>
      <c r="E200" s="52"/>
      <c r="F200" s="4"/>
      <c r="G200" s="4"/>
      <c r="H200" s="52"/>
      <c r="I200" s="52"/>
      <c r="J200" s="52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52"/>
      <c r="C201" s="52"/>
      <c r="D201" s="52"/>
      <c r="E201" s="52"/>
      <c r="F201" s="4"/>
      <c r="G201" s="4"/>
      <c r="H201" s="52"/>
      <c r="I201" s="52"/>
      <c r="J201" s="52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52"/>
      <c r="C202" s="52"/>
      <c r="D202" s="52"/>
      <c r="E202" s="52"/>
      <c r="F202" s="4"/>
      <c r="G202" s="4"/>
      <c r="H202" s="52"/>
      <c r="I202" s="52"/>
      <c r="J202" s="52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52"/>
      <c r="C203" s="52"/>
      <c r="D203" s="52"/>
      <c r="E203" s="52"/>
      <c r="F203" s="4"/>
      <c r="G203" s="4"/>
      <c r="H203" s="52"/>
      <c r="I203" s="52"/>
      <c r="J203" s="52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52"/>
      <c r="C204" s="52"/>
      <c r="D204" s="52"/>
      <c r="E204" s="52"/>
      <c r="F204" s="4"/>
      <c r="G204" s="4"/>
      <c r="H204" s="52"/>
      <c r="I204" s="52"/>
      <c r="J204" s="52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52"/>
      <c r="C205" s="52"/>
      <c r="D205" s="52"/>
      <c r="E205" s="52"/>
      <c r="F205" s="4"/>
      <c r="G205" s="4"/>
      <c r="H205" s="52"/>
      <c r="I205" s="52"/>
      <c r="J205" s="52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52"/>
      <c r="C206" s="52"/>
      <c r="D206" s="52"/>
      <c r="E206" s="52"/>
      <c r="F206" s="4"/>
      <c r="G206" s="4"/>
      <c r="H206" s="52"/>
      <c r="I206" s="52"/>
      <c r="J206" s="52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52"/>
      <c r="C207" s="52"/>
      <c r="D207" s="52"/>
      <c r="E207" s="52"/>
      <c r="F207" s="4"/>
      <c r="G207" s="4"/>
      <c r="H207" s="52"/>
      <c r="I207" s="52"/>
      <c r="J207" s="52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52"/>
      <c r="C208" s="52"/>
      <c r="D208" s="52"/>
      <c r="E208" s="52"/>
      <c r="F208" s="4"/>
      <c r="G208" s="4"/>
      <c r="H208" s="52"/>
      <c r="I208" s="52"/>
      <c r="J208" s="52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52"/>
      <c r="C209" s="52"/>
      <c r="D209" s="52"/>
      <c r="E209" s="52"/>
      <c r="F209" s="4"/>
      <c r="G209" s="4"/>
      <c r="H209" s="52"/>
      <c r="I209" s="52"/>
      <c r="J209" s="52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52"/>
      <c r="C210" s="52"/>
      <c r="D210" s="52"/>
      <c r="E210" s="52"/>
      <c r="F210" s="4"/>
      <c r="G210" s="4"/>
      <c r="H210" s="52"/>
      <c r="I210" s="52"/>
      <c r="J210" s="52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52"/>
      <c r="C211" s="52"/>
      <c r="D211" s="52"/>
      <c r="E211" s="52"/>
      <c r="F211" s="4"/>
      <c r="G211" s="4"/>
      <c r="H211" s="52"/>
      <c r="I211" s="52"/>
      <c r="J211" s="52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52"/>
      <c r="C212" s="52"/>
      <c r="D212" s="52"/>
      <c r="E212" s="52"/>
      <c r="F212" s="4"/>
      <c r="G212" s="4"/>
      <c r="H212" s="52"/>
      <c r="I212" s="52"/>
      <c r="J212" s="52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52"/>
      <c r="C213" s="52"/>
      <c r="D213" s="52"/>
      <c r="E213" s="52"/>
      <c r="F213" s="4"/>
      <c r="G213" s="4"/>
      <c r="H213" s="52"/>
      <c r="I213" s="52"/>
      <c r="J213" s="52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52"/>
      <c r="C214" s="52"/>
      <c r="D214" s="52"/>
      <c r="E214" s="52"/>
      <c r="F214" s="4"/>
      <c r="G214" s="4"/>
      <c r="H214" s="52"/>
      <c r="I214" s="52"/>
      <c r="J214" s="52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52"/>
      <c r="C215" s="52"/>
      <c r="D215" s="52"/>
      <c r="E215" s="52"/>
      <c r="F215" s="4"/>
      <c r="G215" s="4"/>
      <c r="H215" s="52"/>
      <c r="I215" s="52"/>
      <c r="J215" s="52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52"/>
      <c r="C216" s="52"/>
      <c r="D216" s="52"/>
      <c r="E216" s="52"/>
      <c r="F216" s="4"/>
      <c r="G216" s="4"/>
      <c r="H216" s="52"/>
      <c r="I216" s="52"/>
      <c r="J216" s="52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52"/>
      <c r="C217" s="52"/>
      <c r="D217" s="52"/>
      <c r="E217" s="52"/>
      <c r="F217" s="4"/>
      <c r="G217" s="4"/>
      <c r="H217" s="52"/>
      <c r="I217" s="52"/>
      <c r="J217" s="52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52"/>
      <c r="C218" s="52"/>
      <c r="D218" s="52"/>
      <c r="E218" s="52"/>
      <c r="F218" s="4"/>
      <c r="G218" s="4"/>
      <c r="H218" s="52"/>
      <c r="I218" s="52"/>
      <c r="J218" s="52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52"/>
      <c r="C219" s="52"/>
      <c r="D219" s="52"/>
      <c r="E219" s="52"/>
      <c r="F219" s="4"/>
      <c r="G219" s="4"/>
      <c r="H219" s="52"/>
      <c r="I219" s="52"/>
      <c r="J219" s="52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52"/>
      <c r="C220" s="52"/>
      <c r="D220" s="52"/>
      <c r="E220" s="52"/>
      <c r="F220" s="4"/>
      <c r="G220" s="4"/>
      <c r="H220" s="52"/>
      <c r="I220" s="52"/>
      <c r="J220" s="52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52"/>
      <c r="C221" s="52"/>
      <c r="D221" s="52"/>
      <c r="E221" s="52"/>
      <c r="F221" s="4"/>
      <c r="G221" s="4"/>
      <c r="H221" s="52"/>
      <c r="I221" s="52"/>
      <c r="J221" s="52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52"/>
      <c r="C222" s="52"/>
      <c r="D222" s="52"/>
      <c r="E222" s="52"/>
      <c r="F222" s="4"/>
      <c r="G222" s="4"/>
      <c r="H222" s="52"/>
      <c r="I222" s="52"/>
      <c r="J222" s="52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52"/>
      <c r="C223" s="52"/>
      <c r="D223" s="52"/>
      <c r="E223" s="52"/>
      <c r="F223" s="4"/>
      <c r="G223" s="4"/>
      <c r="H223" s="52"/>
      <c r="I223" s="52"/>
      <c r="J223" s="52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52"/>
      <c r="C224" s="52"/>
      <c r="D224" s="52"/>
      <c r="E224" s="52"/>
      <c r="F224" s="4"/>
      <c r="G224" s="4"/>
      <c r="H224" s="52"/>
      <c r="I224" s="52"/>
      <c r="J224" s="52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52"/>
      <c r="C225" s="52"/>
      <c r="D225" s="52"/>
      <c r="E225" s="52"/>
      <c r="F225" s="4"/>
      <c r="G225" s="4"/>
      <c r="H225" s="52"/>
      <c r="I225" s="52"/>
      <c r="J225" s="52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52"/>
      <c r="C226" s="52"/>
      <c r="D226" s="52"/>
      <c r="E226" s="52"/>
      <c r="F226" s="4"/>
      <c r="G226" s="4"/>
      <c r="H226" s="52"/>
      <c r="I226" s="52"/>
      <c r="J226" s="52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52"/>
      <c r="C227" s="52"/>
      <c r="D227" s="52"/>
      <c r="E227" s="52"/>
      <c r="F227" s="4"/>
      <c r="G227" s="4"/>
      <c r="H227" s="52"/>
      <c r="I227" s="52"/>
      <c r="J227" s="52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52"/>
      <c r="C228" s="52"/>
      <c r="D228" s="52"/>
      <c r="E228" s="52"/>
      <c r="F228" s="4"/>
      <c r="G228" s="4"/>
      <c r="H228" s="52"/>
      <c r="I228" s="52"/>
      <c r="J228" s="52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52"/>
      <c r="C229" s="52"/>
      <c r="D229" s="52"/>
      <c r="E229" s="52"/>
      <c r="F229" s="4"/>
      <c r="G229" s="4"/>
      <c r="H229" s="52"/>
      <c r="I229" s="52"/>
      <c r="J229" s="52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52"/>
      <c r="C230" s="52"/>
      <c r="D230" s="52"/>
      <c r="E230" s="52"/>
      <c r="F230" s="4"/>
      <c r="G230" s="4"/>
      <c r="H230" s="52"/>
      <c r="I230" s="52"/>
      <c r="J230" s="52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52"/>
      <c r="C231" s="52"/>
      <c r="D231" s="52"/>
      <c r="E231" s="52"/>
      <c r="F231" s="4"/>
      <c r="G231" s="4"/>
      <c r="H231" s="52"/>
      <c r="I231" s="52"/>
      <c r="J231" s="52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52"/>
      <c r="C232" s="52"/>
      <c r="D232" s="52"/>
      <c r="E232" s="52"/>
      <c r="F232" s="4"/>
      <c r="G232" s="4"/>
      <c r="H232" s="52"/>
      <c r="I232" s="52"/>
      <c r="J232" s="52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52"/>
      <c r="C233" s="52"/>
      <c r="D233" s="52"/>
      <c r="E233" s="52"/>
      <c r="F233" s="4"/>
      <c r="G233" s="4"/>
      <c r="H233" s="52"/>
      <c r="I233" s="52"/>
      <c r="J233" s="52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52"/>
      <c r="C234" s="52"/>
      <c r="D234" s="52"/>
      <c r="E234" s="52"/>
      <c r="F234" s="4"/>
      <c r="G234" s="4"/>
      <c r="H234" s="52"/>
      <c r="I234" s="52"/>
      <c r="J234" s="52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52"/>
      <c r="C235" s="52"/>
      <c r="D235" s="52"/>
      <c r="E235" s="52"/>
      <c r="F235" s="4"/>
      <c r="G235" s="4"/>
      <c r="H235" s="52"/>
      <c r="I235" s="52"/>
      <c r="J235" s="52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52"/>
      <c r="C236" s="52"/>
      <c r="D236" s="52"/>
      <c r="E236" s="52"/>
      <c r="F236" s="4"/>
      <c r="G236" s="4"/>
      <c r="H236" s="52"/>
      <c r="I236" s="52"/>
      <c r="J236" s="52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52"/>
      <c r="C237" s="52"/>
      <c r="D237" s="52"/>
      <c r="E237" s="52"/>
      <c r="F237" s="4"/>
      <c r="G237" s="4"/>
      <c r="H237" s="52"/>
      <c r="I237" s="52"/>
      <c r="J237" s="52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52"/>
      <c r="C238" s="52"/>
      <c r="D238" s="52"/>
      <c r="E238" s="52"/>
      <c r="F238" s="4"/>
      <c r="G238" s="4"/>
      <c r="H238" s="52"/>
      <c r="I238" s="52"/>
      <c r="J238" s="52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52"/>
      <c r="C239" s="52"/>
      <c r="D239" s="52"/>
      <c r="E239" s="52"/>
      <c r="F239" s="4"/>
      <c r="G239" s="4"/>
      <c r="H239" s="52"/>
      <c r="I239" s="52"/>
      <c r="J239" s="52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52"/>
      <c r="C240" s="52"/>
      <c r="D240" s="52"/>
      <c r="E240" s="52"/>
      <c r="F240" s="4"/>
      <c r="G240" s="4"/>
      <c r="H240" s="52"/>
      <c r="I240" s="52"/>
      <c r="J240" s="52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52"/>
      <c r="C241" s="52"/>
      <c r="D241" s="52"/>
      <c r="E241" s="52"/>
      <c r="F241" s="4"/>
      <c r="G241" s="4"/>
      <c r="H241" s="52"/>
      <c r="I241" s="52"/>
      <c r="J241" s="52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52"/>
      <c r="C242" s="52"/>
      <c r="D242" s="52"/>
      <c r="E242" s="52"/>
      <c r="F242" s="4"/>
      <c r="G242" s="4"/>
      <c r="H242" s="52"/>
      <c r="I242" s="52"/>
      <c r="J242" s="52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52"/>
      <c r="C243" s="52"/>
      <c r="D243" s="52"/>
      <c r="E243" s="52"/>
      <c r="F243" s="4"/>
      <c r="G243" s="4"/>
      <c r="H243" s="52"/>
      <c r="I243" s="52"/>
      <c r="J243" s="52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52"/>
      <c r="C244" s="52"/>
      <c r="D244" s="52"/>
      <c r="E244" s="52"/>
      <c r="F244" s="4"/>
      <c r="G244" s="4"/>
      <c r="H244" s="52"/>
      <c r="I244" s="52"/>
      <c r="J244" s="52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52"/>
      <c r="C245" s="52"/>
      <c r="D245" s="52"/>
      <c r="E245" s="52"/>
      <c r="F245" s="4"/>
      <c r="G245" s="4"/>
      <c r="H245" s="52"/>
      <c r="I245" s="52"/>
      <c r="J245" s="52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52"/>
      <c r="C246" s="52"/>
      <c r="D246" s="52"/>
      <c r="E246" s="52"/>
      <c r="F246" s="4"/>
      <c r="G246" s="4"/>
      <c r="H246" s="52"/>
      <c r="I246" s="52"/>
      <c r="J246" s="52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52"/>
      <c r="C247" s="52"/>
      <c r="D247" s="52"/>
      <c r="E247" s="52"/>
      <c r="F247" s="4"/>
      <c r="G247" s="4"/>
      <c r="H247" s="52"/>
      <c r="I247" s="52"/>
      <c r="J247" s="52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52"/>
      <c r="C248" s="52"/>
      <c r="D248" s="52"/>
      <c r="E248" s="52"/>
      <c r="F248" s="4"/>
      <c r="G248" s="4"/>
      <c r="H248" s="52"/>
      <c r="I248" s="52"/>
      <c r="J248" s="52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52"/>
      <c r="C249" s="52"/>
      <c r="D249" s="52"/>
      <c r="E249" s="52"/>
      <c r="F249" s="4"/>
      <c r="G249" s="4"/>
      <c r="H249" s="52"/>
      <c r="I249" s="52"/>
      <c r="J249" s="52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52"/>
      <c r="C250" s="52"/>
      <c r="D250" s="52"/>
      <c r="E250" s="52"/>
      <c r="F250" s="4"/>
      <c r="G250" s="4"/>
      <c r="H250" s="52"/>
      <c r="I250" s="52"/>
      <c r="J250" s="52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52"/>
      <c r="C251" s="52"/>
      <c r="D251" s="52"/>
      <c r="E251" s="52"/>
      <c r="F251" s="4"/>
      <c r="G251" s="4"/>
      <c r="H251" s="52"/>
      <c r="I251" s="52"/>
      <c r="J251" s="52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52"/>
      <c r="C252" s="52"/>
      <c r="D252" s="52"/>
      <c r="E252" s="52"/>
      <c r="F252" s="4"/>
      <c r="G252" s="4"/>
      <c r="H252" s="52"/>
      <c r="I252" s="52"/>
      <c r="J252" s="52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52"/>
      <c r="C253" s="52"/>
      <c r="D253" s="52"/>
      <c r="E253" s="52"/>
      <c r="F253" s="4"/>
      <c r="G253" s="4"/>
      <c r="H253" s="52"/>
      <c r="I253" s="52"/>
      <c r="J253" s="52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52"/>
      <c r="C254" s="52"/>
      <c r="D254" s="52"/>
      <c r="E254" s="52"/>
      <c r="F254" s="4"/>
      <c r="G254" s="4"/>
      <c r="H254" s="52"/>
      <c r="I254" s="52"/>
      <c r="J254" s="52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52"/>
      <c r="C255" s="52"/>
      <c r="D255" s="52"/>
      <c r="E255" s="52"/>
      <c r="F255" s="4"/>
      <c r="G255" s="4"/>
      <c r="H255" s="52"/>
      <c r="I255" s="52"/>
      <c r="J255" s="52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52"/>
      <c r="C256" s="52"/>
      <c r="D256" s="52"/>
      <c r="E256" s="52"/>
      <c r="F256" s="4"/>
      <c r="G256" s="4"/>
      <c r="H256" s="52"/>
      <c r="I256" s="52"/>
      <c r="J256" s="52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52"/>
      <c r="C257" s="52"/>
      <c r="D257" s="52"/>
      <c r="E257" s="52"/>
      <c r="F257" s="4"/>
      <c r="G257" s="4"/>
      <c r="H257" s="52"/>
      <c r="I257" s="52"/>
      <c r="J257" s="52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52"/>
      <c r="C258" s="52"/>
      <c r="D258" s="52"/>
      <c r="E258" s="52"/>
      <c r="F258" s="4"/>
      <c r="G258" s="4"/>
      <c r="H258" s="52"/>
      <c r="I258" s="52"/>
      <c r="J258" s="52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52"/>
      <c r="C259" s="52"/>
      <c r="D259" s="52"/>
      <c r="E259" s="52"/>
      <c r="F259" s="4"/>
      <c r="G259" s="4"/>
      <c r="H259" s="52"/>
      <c r="I259" s="52"/>
      <c r="J259" s="52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52"/>
      <c r="C260" s="52"/>
      <c r="D260" s="52"/>
      <c r="E260" s="52"/>
      <c r="F260" s="4"/>
      <c r="G260" s="4"/>
      <c r="H260" s="52"/>
      <c r="I260" s="52"/>
      <c r="J260" s="52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52"/>
      <c r="C261" s="52"/>
      <c r="D261" s="52"/>
      <c r="E261" s="52"/>
      <c r="F261" s="4"/>
      <c r="G261" s="4"/>
      <c r="H261" s="52"/>
      <c r="I261" s="52"/>
      <c r="J261" s="52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52"/>
      <c r="C262" s="52"/>
      <c r="D262" s="52"/>
      <c r="E262" s="52"/>
      <c r="F262" s="4"/>
      <c r="G262" s="4"/>
      <c r="H262" s="52"/>
      <c r="I262" s="52"/>
      <c r="J262" s="52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52"/>
      <c r="C263" s="52"/>
      <c r="D263" s="52"/>
      <c r="E263" s="52"/>
      <c r="F263" s="4"/>
      <c r="G263" s="4"/>
      <c r="H263" s="52"/>
      <c r="I263" s="52"/>
      <c r="J263" s="52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52"/>
      <c r="C264" s="52"/>
      <c r="D264" s="52"/>
      <c r="E264" s="52"/>
      <c r="F264" s="4"/>
      <c r="G264" s="4"/>
      <c r="H264" s="52"/>
      <c r="I264" s="52"/>
      <c r="J264" s="52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52"/>
      <c r="C265" s="52"/>
      <c r="D265" s="52"/>
      <c r="E265" s="52"/>
      <c r="F265" s="4"/>
      <c r="G265" s="4"/>
      <c r="H265" s="52"/>
      <c r="I265" s="52"/>
      <c r="J265" s="52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52"/>
      <c r="C266" s="52"/>
      <c r="D266" s="52"/>
      <c r="E266" s="52"/>
      <c r="F266" s="4"/>
      <c r="G266" s="4"/>
      <c r="H266" s="52"/>
      <c r="I266" s="52"/>
      <c r="J266" s="52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52"/>
      <c r="C267" s="52"/>
      <c r="D267" s="52"/>
      <c r="E267" s="52"/>
      <c r="F267" s="4"/>
      <c r="G267" s="4"/>
      <c r="H267" s="52"/>
      <c r="I267" s="52"/>
      <c r="J267" s="52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52"/>
      <c r="C268" s="52"/>
      <c r="D268" s="52"/>
      <c r="E268" s="52"/>
      <c r="F268" s="4"/>
      <c r="G268" s="4"/>
      <c r="H268" s="52"/>
      <c r="I268" s="52"/>
      <c r="J268" s="52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52"/>
      <c r="C269" s="52"/>
      <c r="D269" s="52"/>
      <c r="E269" s="52"/>
      <c r="F269" s="4"/>
      <c r="G269" s="4"/>
      <c r="H269" s="52"/>
      <c r="I269" s="52"/>
      <c r="J269" s="52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52"/>
      <c r="C270" s="52"/>
      <c r="D270" s="52"/>
      <c r="E270" s="52"/>
      <c r="F270" s="4"/>
      <c r="G270" s="4"/>
      <c r="H270" s="52"/>
      <c r="I270" s="52"/>
      <c r="J270" s="52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52"/>
      <c r="C271" s="52"/>
      <c r="D271" s="52"/>
      <c r="E271" s="52"/>
      <c r="F271" s="4"/>
      <c r="G271" s="4"/>
      <c r="H271" s="52"/>
      <c r="I271" s="52"/>
      <c r="J271" s="52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52"/>
      <c r="C272" s="52"/>
      <c r="D272" s="52"/>
      <c r="E272" s="52"/>
      <c r="F272" s="4"/>
      <c r="G272" s="4"/>
      <c r="H272" s="52"/>
      <c r="I272" s="52"/>
      <c r="J272" s="52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52"/>
      <c r="C273" s="52"/>
      <c r="D273" s="52"/>
      <c r="E273" s="52"/>
      <c r="F273" s="4"/>
      <c r="G273" s="4"/>
      <c r="H273" s="52"/>
      <c r="I273" s="52"/>
      <c r="J273" s="52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52"/>
      <c r="C274" s="52"/>
      <c r="D274" s="52"/>
      <c r="E274" s="52"/>
      <c r="F274" s="4"/>
      <c r="G274" s="4"/>
      <c r="H274" s="52"/>
      <c r="I274" s="52"/>
      <c r="J274" s="52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52"/>
      <c r="C275" s="52"/>
      <c r="D275" s="52"/>
      <c r="E275" s="52"/>
      <c r="F275" s="4"/>
      <c r="G275" s="4"/>
      <c r="H275" s="52"/>
      <c r="I275" s="52"/>
      <c r="J275" s="52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52"/>
      <c r="C276" s="52"/>
      <c r="D276" s="52"/>
      <c r="E276" s="52"/>
      <c r="F276" s="4"/>
      <c r="G276" s="4"/>
      <c r="H276" s="52"/>
      <c r="I276" s="52"/>
      <c r="J276" s="52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52"/>
      <c r="C277" s="52"/>
      <c r="D277" s="52"/>
      <c r="E277" s="52"/>
      <c r="F277" s="4"/>
      <c r="G277" s="4"/>
      <c r="H277" s="52"/>
      <c r="I277" s="52"/>
      <c r="J277" s="52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52"/>
      <c r="C278" s="52"/>
      <c r="D278" s="52"/>
      <c r="E278" s="52"/>
      <c r="F278" s="4"/>
      <c r="G278" s="4"/>
      <c r="H278" s="52"/>
      <c r="I278" s="52"/>
      <c r="J278" s="52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52"/>
      <c r="C279" s="52"/>
      <c r="D279" s="52"/>
      <c r="E279" s="52"/>
      <c r="F279" s="4"/>
      <c r="G279" s="4"/>
      <c r="H279" s="52"/>
      <c r="I279" s="52"/>
      <c r="J279" s="52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52"/>
      <c r="C280" s="52"/>
      <c r="D280" s="52"/>
      <c r="E280" s="52"/>
      <c r="F280" s="4"/>
      <c r="G280" s="4"/>
      <c r="H280" s="52"/>
      <c r="I280" s="52"/>
      <c r="J280" s="52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52"/>
      <c r="C281" s="52"/>
      <c r="D281" s="52"/>
      <c r="E281" s="52"/>
      <c r="F281" s="4"/>
      <c r="G281" s="4"/>
      <c r="H281" s="52"/>
      <c r="I281" s="52"/>
      <c r="J281" s="52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52"/>
      <c r="C282" s="52"/>
      <c r="D282" s="52"/>
      <c r="E282" s="52"/>
      <c r="F282" s="4"/>
      <c r="G282" s="4"/>
      <c r="H282" s="52"/>
      <c r="I282" s="52"/>
      <c r="J282" s="52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52"/>
      <c r="C283" s="52"/>
      <c r="D283" s="52"/>
      <c r="E283" s="52"/>
      <c r="F283" s="4"/>
      <c r="G283" s="4"/>
      <c r="H283" s="52"/>
      <c r="I283" s="52"/>
      <c r="J283" s="52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52"/>
      <c r="C284" s="52"/>
      <c r="D284" s="52"/>
      <c r="E284" s="52"/>
      <c r="F284" s="4"/>
      <c r="G284" s="4"/>
      <c r="H284" s="52"/>
      <c r="I284" s="52"/>
      <c r="J284" s="52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52"/>
      <c r="C285" s="52"/>
      <c r="D285" s="52"/>
      <c r="E285" s="52"/>
      <c r="F285" s="4"/>
      <c r="G285" s="4"/>
      <c r="H285" s="52"/>
      <c r="I285" s="52"/>
      <c r="J285" s="52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52"/>
      <c r="C286" s="52"/>
      <c r="D286" s="52"/>
      <c r="E286" s="52"/>
      <c r="F286" s="4"/>
      <c r="G286" s="4"/>
      <c r="H286" s="52"/>
      <c r="I286" s="52"/>
      <c r="J286" s="52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52"/>
      <c r="C287" s="52"/>
      <c r="D287" s="52"/>
      <c r="E287" s="52"/>
      <c r="F287" s="4"/>
      <c r="G287" s="4"/>
      <c r="H287" s="52"/>
      <c r="I287" s="52"/>
      <c r="J287" s="52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52"/>
      <c r="C288" s="52"/>
      <c r="D288" s="52"/>
      <c r="E288" s="52"/>
      <c r="F288" s="4"/>
      <c r="G288" s="4"/>
      <c r="H288" s="52"/>
      <c r="I288" s="52"/>
      <c r="J288" s="52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52"/>
      <c r="C289" s="52"/>
      <c r="D289" s="52"/>
      <c r="E289" s="52"/>
      <c r="F289" s="4"/>
      <c r="G289" s="4"/>
      <c r="H289" s="52"/>
      <c r="I289" s="52"/>
      <c r="J289" s="52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52"/>
      <c r="C290" s="52"/>
      <c r="D290" s="52"/>
      <c r="E290" s="52"/>
      <c r="F290" s="4"/>
      <c r="G290" s="4"/>
      <c r="H290" s="52"/>
      <c r="I290" s="52"/>
      <c r="J290" s="52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52"/>
      <c r="C291" s="52"/>
      <c r="D291" s="52"/>
      <c r="E291" s="52"/>
      <c r="F291" s="4"/>
      <c r="G291" s="4"/>
      <c r="H291" s="52"/>
      <c r="I291" s="52"/>
      <c r="J291" s="52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52"/>
      <c r="C292" s="52"/>
      <c r="D292" s="52"/>
      <c r="E292" s="52"/>
      <c r="F292" s="4"/>
      <c r="G292" s="4"/>
      <c r="H292" s="52"/>
      <c r="I292" s="52"/>
      <c r="J292" s="52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52"/>
      <c r="C293" s="52"/>
      <c r="D293" s="52"/>
      <c r="E293" s="52"/>
      <c r="F293" s="4"/>
      <c r="G293" s="4"/>
      <c r="H293" s="52"/>
      <c r="I293" s="52"/>
      <c r="J293" s="52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52"/>
      <c r="C294" s="52"/>
      <c r="D294" s="52"/>
      <c r="E294" s="52"/>
      <c r="F294" s="4"/>
      <c r="G294" s="4"/>
      <c r="H294" s="52"/>
      <c r="I294" s="52"/>
      <c r="J294" s="52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52"/>
      <c r="C295" s="52"/>
      <c r="D295" s="52"/>
      <c r="E295" s="52"/>
      <c r="F295" s="4"/>
      <c r="G295" s="4"/>
      <c r="H295" s="52"/>
      <c r="I295" s="52"/>
      <c r="J295" s="52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52"/>
      <c r="C296" s="52"/>
      <c r="D296" s="52"/>
      <c r="E296" s="52"/>
      <c r="F296" s="4"/>
      <c r="G296" s="4"/>
      <c r="H296" s="52"/>
      <c r="I296" s="52"/>
      <c r="J296" s="52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52"/>
      <c r="C297" s="52"/>
      <c r="D297" s="52"/>
      <c r="E297" s="52"/>
      <c r="F297" s="4"/>
      <c r="G297" s="4"/>
      <c r="H297" s="52"/>
      <c r="I297" s="52"/>
      <c r="J297" s="52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52"/>
      <c r="C298" s="52"/>
      <c r="D298" s="52"/>
      <c r="E298" s="52"/>
      <c r="F298" s="4"/>
      <c r="G298" s="4"/>
      <c r="H298" s="52"/>
      <c r="I298" s="52"/>
      <c r="J298" s="52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52"/>
      <c r="C299" s="52"/>
      <c r="D299" s="52"/>
      <c r="E299" s="52"/>
      <c r="F299" s="4"/>
      <c r="G299" s="4"/>
      <c r="H299" s="52"/>
      <c r="I299" s="52"/>
      <c r="J299" s="52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52"/>
      <c r="C300" s="52"/>
      <c r="D300" s="52"/>
      <c r="E300" s="52"/>
      <c r="F300" s="4"/>
      <c r="G300" s="4"/>
      <c r="H300" s="52"/>
      <c r="I300" s="52"/>
      <c r="J300" s="52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52"/>
      <c r="C301" s="52"/>
      <c r="D301" s="52"/>
      <c r="E301" s="52"/>
      <c r="F301" s="4"/>
      <c r="G301" s="4"/>
      <c r="H301" s="52"/>
      <c r="I301" s="52"/>
      <c r="J301" s="52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52"/>
      <c r="C302" s="52"/>
      <c r="D302" s="52"/>
      <c r="E302" s="52"/>
      <c r="F302" s="4"/>
      <c r="G302" s="4"/>
      <c r="H302" s="52"/>
      <c r="I302" s="52"/>
      <c r="J302" s="52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52"/>
      <c r="C303" s="52"/>
      <c r="D303" s="52"/>
      <c r="E303" s="52"/>
      <c r="F303" s="4"/>
      <c r="G303" s="4"/>
      <c r="H303" s="52"/>
      <c r="I303" s="52"/>
      <c r="J303" s="52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52"/>
      <c r="C304" s="52"/>
      <c r="D304" s="52"/>
      <c r="E304" s="52"/>
      <c r="F304" s="4"/>
      <c r="G304" s="4"/>
      <c r="H304" s="52"/>
      <c r="I304" s="52"/>
      <c r="J304" s="52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52"/>
      <c r="C305" s="52"/>
      <c r="D305" s="52"/>
      <c r="E305" s="52"/>
      <c r="F305" s="4"/>
      <c r="G305" s="4"/>
      <c r="H305" s="52"/>
      <c r="I305" s="52"/>
      <c r="J305" s="52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52"/>
      <c r="C306" s="52"/>
      <c r="D306" s="52"/>
      <c r="E306" s="52"/>
      <c r="F306" s="4"/>
      <c r="G306" s="4"/>
      <c r="H306" s="52"/>
      <c r="I306" s="52"/>
      <c r="J306" s="52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52"/>
      <c r="C307" s="52"/>
      <c r="D307" s="52"/>
      <c r="E307" s="52"/>
      <c r="F307" s="4"/>
      <c r="G307" s="4"/>
      <c r="H307" s="52"/>
      <c r="I307" s="52"/>
      <c r="J307" s="52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52"/>
      <c r="C308" s="52"/>
      <c r="D308" s="52"/>
      <c r="E308" s="52"/>
      <c r="F308" s="4"/>
      <c r="G308" s="4"/>
      <c r="H308" s="52"/>
      <c r="I308" s="52"/>
      <c r="J308" s="52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52"/>
      <c r="C309" s="52"/>
      <c r="D309" s="52"/>
      <c r="E309" s="52"/>
      <c r="F309" s="4"/>
      <c r="G309" s="4"/>
      <c r="H309" s="52"/>
      <c r="I309" s="52"/>
      <c r="J309" s="52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52"/>
      <c r="C310" s="52"/>
      <c r="D310" s="52"/>
      <c r="E310" s="52"/>
      <c r="F310" s="4"/>
      <c r="G310" s="4"/>
      <c r="H310" s="52"/>
      <c r="I310" s="52"/>
      <c r="J310" s="52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52"/>
      <c r="C311" s="52"/>
      <c r="D311" s="52"/>
      <c r="E311" s="52"/>
      <c r="F311" s="4"/>
      <c r="G311" s="4"/>
      <c r="H311" s="52"/>
      <c r="I311" s="52"/>
      <c r="J311" s="52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52"/>
      <c r="C312" s="52"/>
      <c r="D312" s="52"/>
      <c r="E312" s="52"/>
      <c r="F312" s="4"/>
      <c r="G312" s="4"/>
      <c r="H312" s="52"/>
      <c r="I312" s="52"/>
      <c r="J312" s="52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52"/>
      <c r="C313" s="52"/>
      <c r="D313" s="52"/>
      <c r="E313" s="52"/>
      <c r="F313" s="4"/>
      <c r="G313" s="4"/>
      <c r="H313" s="52"/>
      <c r="I313" s="52"/>
      <c r="J313" s="52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52"/>
      <c r="C314" s="52"/>
      <c r="D314" s="52"/>
      <c r="E314" s="52"/>
      <c r="F314" s="4"/>
      <c r="G314" s="4"/>
      <c r="H314" s="52"/>
      <c r="I314" s="52"/>
      <c r="J314" s="52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52"/>
      <c r="C315" s="52"/>
      <c r="D315" s="52"/>
      <c r="E315" s="52"/>
      <c r="F315" s="4"/>
      <c r="G315" s="4"/>
      <c r="H315" s="52"/>
      <c r="I315" s="52"/>
      <c r="J315" s="52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52"/>
      <c r="C316" s="52"/>
      <c r="D316" s="52"/>
      <c r="E316" s="52"/>
      <c r="F316" s="4"/>
      <c r="G316" s="4"/>
      <c r="H316" s="52"/>
      <c r="I316" s="52"/>
      <c r="J316" s="52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52"/>
      <c r="C317" s="52"/>
      <c r="D317" s="52"/>
      <c r="E317" s="52"/>
      <c r="F317" s="4"/>
      <c r="G317" s="4"/>
      <c r="H317" s="52"/>
      <c r="I317" s="52"/>
      <c r="J317" s="52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52"/>
      <c r="C318" s="52"/>
      <c r="D318" s="52"/>
      <c r="E318" s="52"/>
      <c r="F318" s="4"/>
      <c r="G318" s="4"/>
      <c r="H318" s="52"/>
      <c r="I318" s="52"/>
      <c r="J318" s="52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52"/>
      <c r="C319" s="52"/>
      <c r="D319" s="52"/>
      <c r="E319" s="52"/>
      <c r="F319" s="4"/>
      <c r="G319" s="4"/>
      <c r="H319" s="52"/>
      <c r="I319" s="52"/>
      <c r="J319" s="52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52"/>
      <c r="C320" s="52"/>
      <c r="D320" s="52"/>
      <c r="E320" s="52"/>
      <c r="F320" s="4"/>
      <c r="G320" s="4"/>
      <c r="H320" s="52"/>
      <c r="I320" s="52"/>
      <c r="J320" s="52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52"/>
      <c r="C321" s="52"/>
      <c r="D321" s="52"/>
      <c r="E321" s="52"/>
      <c r="F321" s="4"/>
      <c r="G321" s="4"/>
      <c r="H321" s="52"/>
      <c r="I321" s="52"/>
      <c r="J321" s="52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52"/>
      <c r="C322" s="52"/>
      <c r="D322" s="52"/>
      <c r="E322" s="52"/>
      <c r="F322" s="4"/>
      <c r="G322" s="4"/>
      <c r="H322" s="52"/>
      <c r="I322" s="52"/>
      <c r="J322" s="52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52"/>
      <c r="C323" s="52"/>
      <c r="D323" s="52"/>
      <c r="E323" s="52"/>
      <c r="F323" s="4"/>
      <c r="G323" s="4"/>
      <c r="H323" s="52"/>
      <c r="I323" s="52"/>
      <c r="J323" s="52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52"/>
      <c r="C324" s="52"/>
      <c r="D324" s="52"/>
      <c r="E324" s="52"/>
      <c r="F324" s="4"/>
      <c r="G324" s="4"/>
      <c r="H324" s="52"/>
      <c r="I324" s="52"/>
      <c r="J324" s="52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52"/>
      <c r="C325" s="52"/>
      <c r="D325" s="52"/>
      <c r="E325" s="52"/>
      <c r="F325" s="4"/>
      <c r="G325" s="4"/>
      <c r="H325" s="52"/>
      <c r="I325" s="52"/>
      <c r="J325" s="52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52"/>
      <c r="C326" s="52"/>
      <c r="D326" s="52"/>
      <c r="E326" s="52"/>
      <c r="F326" s="4"/>
      <c r="G326" s="4"/>
      <c r="H326" s="52"/>
      <c r="I326" s="52"/>
      <c r="J326" s="52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52"/>
      <c r="C327" s="52"/>
      <c r="D327" s="52"/>
      <c r="E327" s="52"/>
      <c r="F327" s="4"/>
      <c r="G327" s="4"/>
      <c r="H327" s="52"/>
      <c r="I327" s="52"/>
      <c r="J327" s="52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52"/>
      <c r="C328" s="52"/>
      <c r="D328" s="52"/>
      <c r="E328" s="52"/>
      <c r="F328" s="4"/>
      <c r="G328" s="4"/>
      <c r="H328" s="52"/>
      <c r="I328" s="52"/>
      <c r="J328" s="52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52"/>
      <c r="C329" s="52"/>
      <c r="D329" s="52"/>
      <c r="E329" s="52"/>
      <c r="F329" s="4"/>
      <c r="G329" s="4"/>
      <c r="H329" s="52"/>
      <c r="I329" s="52"/>
      <c r="J329" s="52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52"/>
      <c r="C330" s="52"/>
      <c r="D330" s="52"/>
      <c r="E330" s="52"/>
      <c r="F330" s="4"/>
      <c r="G330" s="4"/>
      <c r="H330" s="52"/>
      <c r="I330" s="52"/>
      <c r="J330" s="52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52"/>
      <c r="C331" s="52"/>
      <c r="D331" s="52"/>
      <c r="E331" s="52"/>
      <c r="F331" s="4"/>
      <c r="G331" s="4"/>
      <c r="H331" s="52"/>
      <c r="I331" s="52"/>
      <c r="J331" s="52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52"/>
      <c r="C332" s="52"/>
      <c r="D332" s="52"/>
      <c r="E332" s="52"/>
      <c r="F332" s="4"/>
      <c r="G332" s="4"/>
      <c r="H332" s="52"/>
      <c r="I332" s="52"/>
      <c r="J332" s="52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52"/>
      <c r="C333" s="52"/>
      <c r="D333" s="52"/>
      <c r="E333" s="52"/>
      <c r="F333" s="4"/>
      <c r="G333" s="4"/>
      <c r="H333" s="52"/>
      <c r="I333" s="52"/>
      <c r="J333" s="52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52"/>
      <c r="C334" s="52"/>
      <c r="D334" s="52"/>
      <c r="E334" s="52"/>
      <c r="F334" s="4"/>
      <c r="G334" s="4"/>
      <c r="H334" s="52"/>
      <c r="I334" s="52"/>
      <c r="J334" s="52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52"/>
      <c r="C335" s="52"/>
      <c r="D335" s="52"/>
      <c r="E335" s="52"/>
      <c r="F335" s="4"/>
      <c r="G335" s="4"/>
      <c r="H335" s="52"/>
      <c r="I335" s="52"/>
      <c r="J335" s="52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52"/>
      <c r="C336" s="52"/>
      <c r="D336" s="52"/>
      <c r="E336" s="52"/>
      <c r="F336" s="4"/>
      <c r="G336" s="4"/>
      <c r="H336" s="52"/>
      <c r="I336" s="52"/>
      <c r="J336" s="52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52"/>
      <c r="C337" s="52"/>
      <c r="D337" s="52"/>
      <c r="E337" s="52"/>
      <c r="F337" s="4"/>
      <c r="G337" s="4"/>
      <c r="H337" s="52"/>
      <c r="I337" s="52"/>
      <c r="J337" s="52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52"/>
      <c r="C338" s="52"/>
      <c r="D338" s="52"/>
      <c r="E338" s="52"/>
      <c r="F338" s="4"/>
      <c r="G338" s="4"/>
      <c r="H338" s="52"/>
      <c r="I338" s="52"/>
      <c r="J338" s="52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52"/>
      <c r="C339" s="52"/>
      <c r="D339" s="52"/>
      <c r="E339" s="52"/>
      <c r="F339" s="4"/>
      <c r="G339" s="4"/>
      <c r="H339" s="52"/>
      <c r="I339" s="52"/>
      <c r="J339" s="52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52"/>
      <c r="C340" s="52"/>
      <c r="D340" s="52"/>
      <c r="E340" s="52"/>
      <c r="F340" s="4"/>
      <c r="G340" s="4"/>
      <c r="H340" s="52"/>
      <c r="I340" s="52"/>
      <c r="J340" s="52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52"/>
      <c r="C341" s="52"/>
      <c r="D341" s="52"/>
      <c r="E341" s="52"/>
      <c r="F341" s="4"/>
      <c r="G341" s="4"/>
      <c r="H341" s="52"/>
      <c r="I341" s="52"/>
      <c r="J341" s="52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52"/>
      <c r="C342" s="52"/>
      <c r="D342" s="52"/>
      <c r="E342" s="52"/>
      <c r="F342" s="4"/>
      <c r="G342" s="4"/>
      <c r="H342" s="52"/>
      <c r="I342" s="52"/>
      <c r="J342" s="52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52"/>
      <c r="C343" s="52"/>
      <c r="D343" s="52"/>
      <c r="E343" s="52"/>
      <c r="F343" s="4"/>
      <c r="G343" s="4"/>
      <c r="H343" s="52"/>
      <c r="I343" s="52"/>
      <c r="J343" s="52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52"/>
      <c r="C344" s="52"/>
      <c r="D344" s="52"/>
      <c r="E344" s="52"/>
      <c r="F344" s="4"/>
      <c r="G344" s="4"/>
      <c r="H344" s="52"/>
      <c r="I344" s="52"/>
      <c r="J344" s="52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52"/>
      <c r="C345" s="52"/>
      <c r="D345" s="52"/>
      <c r="E345" s="52"/>
      <c r="F345" s="4"/>
      <c r="G345" s="4"/>
      <c r="H345" s="52"/>
      <c r="I345" s="52"/>
      <c r="J345" s="52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52"/>
      <c r="C346" s="52"/>
      <c r="D346" s="52"/>
      <c r="E346" s="52"/>
      <c r="F346" s="4"/>
      <c r="G346" s="4"/>
      <c r="H346" s="52"/>
      <c r="I346" s="52"/>
      <c r="J346" s="52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52"/>
      <c r="C347" s="52"/>
      <c r="D347" s="52"/>
      <c r="E347" s="52"/>
      <c r="F347" s="4"/>
      <c r="G347" s="4"/>
      <c r="H347" s="52"/>
      <c r="I347" s="52"/>
      <c r="J347" s="52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52"/>
      <c r="C348" s="52"/>
      <c r="D348" s="52"/>
      <c r="E348" s="52"/>
      <c r="F348" s="4"/>
      <c r="G348" s="4"/>
      <c r="H348" s="52"/>
      <c r="I348" s="52"/>
      <c r="J348" s="52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52"/>
      <c r="C349" s="52"/>
      <c r="D349" s="52"/>
      <c r="E349" s="52"/>
      <c r="F349" s="4"/>
      <c r="G349" s="4"/>
      <c r="H349" s="52"/>
      <c r="I349" s="52"/>
      <c r="J349" s="52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52"/>
      <c r="C350" s="52"/>
      <c r="D350" s="52"/>
      <c r="E350" s="52"/>
      <c r="F350" s="4"/>
      <c r="G350" s="4"/>
      <c r="H350" s="52"/>
      <c r="I350" s="52"/>
      <c r="J350" s="52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52"/>
      <c r="C351" s="52"/>
      <c r="D351" s="52"/>
      <c r="E351" s="52"/>
      <c r="F351" s="4"/>
      <c r="G351" s="4"/>
      <c r="H351" s="52"/>
      <c r="I351" s="52"/>
      <c r="J351" s="52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52"/>
      <c r="C352" s="52"/>
      <c r="D352" s="52"/>
      <c r="E352" s="52"/>
      <c r="F352" s="4"/>
      <c r="G352" s="4"/>
      <c r="H352" s="52"/>
      <c r="I352" s="52"/>
      <c r="J352" s="52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52"/>
      <c r="C353" s="52"/>
      <c r="D353" s="52"/>
      <c r="E353" s="52"/>
      <c r="F353" s="4"/>
      <c r="G353" s="4"/>
      <c r="H353" s="52"/>
      <c r="I353" s="52"/>
      <c r="J353" s="52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52"/>
      <c r="C354" s="52"/>
      <c r="D354" s="52"/>
      <c r="E354" s="52"/>
      <c r="F354" s="4"/>
      <c r="G354" s="4"/>
      <c r="H354" s="52"/>
      <c r="I354" s="52"/>
      <c r="J354" s="52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52"/>
      <c r="C355" s="52"/>
      <c r="D355" s="52"/>
      <c r="E355" s="52"/>
      <c r="F355" s="4"/>
      <c r="G355" s="4"/>
      <c r="H355" s="52"/>
      <c r="I355" s="52"/>
      <c r="J355" s="52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52"/>
      <c r="C356" s="52"/>
      <c r="D356" s="52"/>
      <c r="E356" s="52"/>
      <c r="F356" s="4"/>
      <c r="G356" s="4"/>
      <c r="H356" s="52"/>
      <c r="I356" s="52"/>
      <c r="J356" s="52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52"/>
      <c r="C357" s="52"/>
      <c r="D357" s="52"/>
      <c r="E357" s="52"/>
      <c r="F357" s="4"/>
      <c r="G357" s="4"/>
      <c r="H357" s="52"/>
      <c r="I357" s="52"/>
      <c r="J357" s="52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52"/>
      <c r="C358" s="52"/>
      <c r="D358" s="52"/>
      <c r="E358" s="52"/>
      <c r="F358" s="4"/>
      <c r="G358" s="4"/>
      <c r="H358" s="52"/>
      <c r="I358" s="52"/>
      <c r="J358" s="52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52"/>
      <c r="C359" s="52"/>
      <c r="D359" s="52"/>
      <c r="E359" s="52"/>
      <c r="F359" s="4"/>
      <c r="G359" s="4"/>
      <c r="H359" s="52"/>
      <c r="I359" s="52"/>
      <c r="J359" s="52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52"/>
      <c r="C360" s="52"/>
      <c r="D360" s="52"/>
      <c r="E360" s="52"/>
      <c r="F360" s="4"/>
      <c r="G360" s="4"/>
      <c r="H360" s="52"/>
      <c r="I360" s="52"/>
      <c r="J360" s="52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52"/>
      <c r="C361" s="52"/>
      <c r="D361" s="52"/>
      <c r="E361" s="52"/>
      <c r="F361" s="4"/>
      <c r="G361" s="4"/>
      <c r="H361" s="52"/>
      <c r="I361" s="52"/>
      <c r="J361" s="52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52"/>
      <c r="C362" s="52"/>
      <c r="D362" s="52"/>
      <c r="E362" s="52"/>
      <c r="F362" s="4"/>
      <c r="G362" s="4"/>
      <c r="H362" s="52"/>
      <c r="I362" s="52"/>
      <c r="J362" s="52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52"/>
      <c r="C363" s="52"/>
      <c r="D363" s="52"/>
      <c r="E363" s="52"/>
      <c r="F363" s="4"/>
      <c r="G363" s="4"/>
      <c r="H363" s="52"/>
      <c r="I363" s="52"/>
      <c r="J363" s="52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52"/>
      <c r="C364" s="52"/>
      <c r="D364" s="52"/>
      <c r="E364" s="52"/>
      <c r="F364" s="4"/>
      <c r="G364" s="4"/>
      <c r="H364" s="52"/>
      <c r="I364" s="52"/>
      <c r="J364" s="52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52"/>
      <c r="C365" s="52"/>
      <c r="D365" s="52"/>
      <c r="E365" s="52"/>
      <c r="F365" s="4"/>
      <c r="G365" s="4"/>
      <c r="H365" s="52"/>
      <c r="I365" s="52"/>
      <c r="J365" s="52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52"/>
      <c r="C366" s="52"/>
      <c r="D366" s="52"/>
      <c r="E366" s="52"/>
      <c r="F366" s="4"/>
      <c r="G366" s="4"/>
      <c r="H366" s="52"/>
      <c r="I366" s="52"/>
      <c r="J366" s="52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52"/>
      <c r="C367" s="52"/>
      <c r="D367" s="52"/>
      <c r="E367" s="52"/>
      <c r="F367" s="4"/>
      <c r="G367" s="4"/>
      <c r="H367" s="52"/>
      <c r="I367" s="52"/>
      <c r="J367" s="52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52"/>
      <c r="C368" s="52"/>
      <c r="D368" s="52"/>
      <c r="E368" s="52"/>
      <c r="F368" s="4"/>
      <c r="G368" s="4"/>
      <c r="H368" s="52"/>
      <c r="I368" s="52"/>
      <c r="J368" s="52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52"/>
      <c r="C369" s="52"/>
      <c r="D369" s="52"/>
      <c r="E369" s="52"/>
      <c r="F369" s="4"/>
      <c r="G369" s="4"/>
      <c r="H369" s="52"/>
      <c r="I369" s="52"/>
      <c r="J369" s="52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52"/>
      <c r="C370" s="52"/>
      <c r="D370" s="52"/>
      <c r="E370" s="52"/>
      <c r="F370" s="4"/>
      <c r="G370" s="4"/>
      <c r="H370" s="52"/>
      <c r="I370" s="52"/>
      <c r="J370" s="52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52"/>
      <c r="C371" s="52"/>
      <c r="D371" s="52"/>
      <c r="E371" s="52"/>
      <c r="F371" s="4"/>
      <c r="G371" s="4"/>
      <c r="H371" s="52"/>
      <c r="I371" s="52"/>
      <c r="J371" s="52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52"/>
      <c r="C372" s="52"/>
      <c r="D372" s="52"/>
      <c r="E372" s="52"/>
      <c r="F372" s="4"/>
      <c r="G372" s="4"/>
      <c r="H372" s="52"/>
      <c r="I372" s="52"/>
      <c r="J372" s="52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52"/>
      <c r="C373" s="52"/>
      <c r="D373" s="52"/>
      <c r="E373" s="52"/>
      <c r="F373" s="4"/>
      <c r="G373" s="4"/>
      <c r="H373" s="52"/>
      <c r="I373" s="52"/>
      <c r="J373" s="52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52"/>
      <c r="C374" s="52"/>
      <c r="D374" s="52"/>
      <c r="E374" s="52"/>
      <c r="F374" s="4"/>
      <c r="G374" s="4"/>
      <c r="H374" s="52"/>
      <c r="I374" s="52"/>
      <c r="J374" s="52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52"/>
      <c r="C375" s="52"/>
      <c r="D375" s="52"/>
      <c r="E375" s="52"/>
      <c r="F375" s="4"/>
      <c r="G375" s="4"/>
      <c r="H375" s="52"/>
      <c r="I375" s="52"/>
      <c r="J375" s="52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52"/>
      <c r="C376" s="52"/>
      <c r="D376" s="52"/>
      <c r="E376" s="52"/>
      <c r="F376" s="4"/>
      <c r="G376" s="4"/>
      <c r="H376" s="52"/>
      <c r="I376" s="52"/>
      <c r="J376" s="52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52"/>
      <c r="C377" s="52"/>
      <c r="D377" s="52"/>
      <c r="E377" s="52"/>
      <c r="F377" s="4"/>
      <c r="G377" s="4"/>
      <c r="H377" s="52"/>
      <c r="I377" s="52"/>
      <c r="J377" s="52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52"/>
      <c r="C378" s="52"/>
      <c r="D378" s="52"/>
      <c r="E378" s="52"/>
      <c r="F378" s="4"/>
      <c r="G378" s="4"/>
      <c r="H378" s="52"/>
      <c r="I378" s="52"/>
      <c r="J378" s="52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52"/>
      <c r="C379" s="52"/>
      <c r="D379" s="52"/>
      <c r="E379" s="52"/>
      <c r="F379" s="4"/>
      <c r="G379" s="4"/>
      <c r="H379" s="52"/>
      <c r="I379" s="52"/>
      <c r="J379" s="52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52"/>
      <c r="C380" s="52"/>
      <c r="D380" s="52"/>
      <c r="E380" s="52"/>
      <c r="F380" s="4"/>
      <c r="G380" s="4"/>
      <c r="H380" s="52"/>
      <c r="I380" s="52"/>
      <c r="J380" s="52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52"/>
      <c r="C381" s="52"/>
      <c r="D381" s="52"/>
      <c r="E381" s="52"/>
      <c r="F381" s="4"/>
      <c r="G381" s="4"/>
      <c r="H381" s="52"/>
      <c r="I381" s="52"/>
      <c r="J381" s="52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52"/>
      <c r="C382" s="52"/>
      <c r="D382" s="52"/>
      <c r="E382" s="52"/>
      <c r="F382" s="4"/>
      <c r="G382" s="4"/>
      <c r="H382" s="52"/>
      <c r="I382" s="52"/>
      <c r="J382" s="52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52"/>
      <c r="C383" s="52"/>
      <c r="D383" s="52"/>
      <c r="E383" s="52"/>
      <c r="F383" s="4"/>
      <c r="G383" s="4"/>
      <c r="H383" s="52"/>
      <c r="I383" s="52"/>
      <c r="J383" s="52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52"/>
      <c r="C384" s="52"/>
      <c r="D384" s="52"/>
      <c r="E384" s="52"/>
      <c r="F384" s="4"/>
      <c r="G384" s="4"/>
      <c r="H384" s="52"/>
      <c r="I384" s="52"/>
      <c r="J384" s="52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52"/>
      <c r="C385" s="52"/>
      <c r="D385" s="52"/>
      <c r="E385" s="52"/>
      <c r="F385" s="4"/>
      <c r="G385" s="4"/>
      <c r="H385" s="52"/>
      <c r="I385" s="52"/>
      <c r="J385" s="52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52"/>
      <c r="C386" s="52"/>
      <c r="D386" s="52"/>
      <c r="E386" s="52"/>
      <c r="F386" s="4"/>
      <c r="G386" s="4"/>
      <c r="H386" s="52"/>
      <c r="I386" s="52"/>
      <c r="J386" s="52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52"/>
      <c r="C387" s="52"/>
      <c r="D387" s="52"/>
      <c r="E387" s="52"/>
      <c r="F387" s="4"/>
      <c r="G387" s="4"/>
      <c r="H387" s="52"/>
      <c r="I387" s="52"/>
      <c r="J387" s="52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52"/>
      <c r="C388" s="52"/>
      <c r="D388" s="52"/>
      <c r="E388" s="52"/>
      <c r="F388" s="4"/>
      <c r="G388" s="4"/>
      <c r="H388" s="52"/>
      <c r="I388" s="52"/>
      <c r="J388" s="52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52"/>
      <c r="C389" s="52"/>
      <c r="D389" s="52"/>
      <c r="E389" s="52"/>
      <c r="F389" s="4"/>
      <c r="G389" s="4"/>
      <c r="H389" s="52"/>
      <c r="I389" s="52"/>
      <c r="J389" s="52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52"/>
      <c r="C390" s="52"/>
      <c r="D390" s="52"/>
      <c r="E390" s="52"/>
      <c r="F390" s="4"/>
      <c r="G390" s="4"/>
      <c r="H390" s="52"/>
      <c r="I390" s="52"/>
      <c r="J390" s="52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52"/>
      <c r="C391" s="52"/>
      <c r="D391" s="52"/>
      <c r="E391" s="52"/>
      <c r="F391" s="4"/>
      <c r="G391" s="4"/>
      <c r="H391" s="52"/>
      <c r="I391" s="52"/>
      <c r="J391" s="52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52"/>
      <c r="C392" s="52"/>
      <c r="D392" s="52"/>
      <c r="E392" s="52"/>
      <c r="F392" s="4"/>
      <c r="G392" s="4"/>
      <c r="H392" s="52"/>
      <c r="I392" s="52"/>
      <c r="J392" s="52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52"/>
      <c r="C393" s="52"/>
      <c r="D393" s="52"/>
      <c r="E393" s="52"/>
      <c r="F393" s="4"/>
      <c r="G393" s="4"/>
      <c r="H393" s="52"/>
      <c r="I393" s="52"/>
      <c r="J393" s="52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52"/>
      <c r="C394" s="52"/>
      <c r="D394" s="52"/>
      <c r="E394" s="52"/>
      <c r="F394" s="4"/>
      <c r="G394" s="4"/>
      <c r="H394" s="52"/>
      <c r="I394" s="52"/>
      <c r="J394" s="52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52"/>
      <c r="C395" s="52"/>
      <c r="D395" s="52"/>
      <c r="E395" s="52"/>
      <c r="F395" s="4"/>
      <c r="G395" s="4"/>
      <c r="H395" s="52"/>
      <c r="I395" s="52"/>
      <c r="J395" s="52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52"/>
      <c r="C396" s="52"/>
      <c r="D396" s="52"/>
      <c r="E396" s="52"/>
      <c r="F396" s="4"/>
      <c r="G396" s="4"/>
      <c r="H396" s="52"/>
      <c r="I396" s="52"/>
      <c r="J396" s="52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52"/>
      <c r="C397" s="52"/>
      <c r="D397" s="52"/>
      <c r="E397" s="52"/>
      <c r="F397" s="4"/>
      <c r="G397" s="4"/>
      <c r="H397" s="52"/>
      <c r="I397" s="52"/>
      <c r="J397" s="52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52"/>
      <c r="C398" s="52"/>
      <c r="D398" s="52"/>
      <c r="E398" s="52"/>
      <c r="F398" s="4"/>
      <c r="G398" s="4"/>
      <c r="H398" s="52"/>
      <c r="I398" s="52"/>
      <c r="J398" s="52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52"/>
      <c r="C399" s="52"/>
      <c r="D399" s="52"/>
      <c r="E399" s="52"/>
      <c r="F399" s="4"/>
      <c r="G399" s="4"/>
      <c r="H399" s="52"/>
      <c r="I399" s="52"/>
      <c r="J399" s="52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52"/>
      <c r="C400" s="52"/>
      <c r="D400" s="52"/>
      <c r="E400" s="52"/>
      <c r="F400" s="4"/>
      <c r="G400" s="4"/>
      <c r="H400" s="52"/>
      <c r="I400" s="52"/>
      <c r="J400" s="52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52"/>
      <c r="C401" s="52"/>
      <c r="D401" s="52"/>
      <c r="E401" s="52"/>
      <c r="F401" s="4"/>
      <c r="G401" s="4"/>
      <c r="H401" s="52"/>
      <c r="I401" s="52"/>
      <c r="J401" s="52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52"/>
      <c r="C402" s="52"/>
      <c r="D402" s="52"/>
      <c r="E402" s="52"/>
      <c r="F402" s="4"/>
      <c r="G402" s="4"/>
      <c r="H402" s="52"/>
      <c r="I402" s="52"/>
      <c r="J402" s="52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52"/>
      <c r="C403" s="52"/>
      <c r="D403" s="52"/>
      <c r="E403" s="52"/>
      <c r="F403" s="4"/>
      <c r="G403" s="4"/>
      <c r="H403" s="52"/>
      <c r="I403" s="52"/>
      <c r="J403" s="52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52"/>
      <c r="C404" s="52"/>
      <c r="D404" s="52"/>
      <c r="E404" s="52"/>
      <c r="F404" s="4"/>
      <c r="G404" s="4"/>
      <c r="H404" s="52"/>
      <c r="I404" s="52"/>
      <c r="J404" s="52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52"/>
      <c r="C405" s="52"/>
      <c r="D405" s="52"/>
      <c r="E405" s="52"/>
      <c r="F405" s="4"/>
      <c r="G405" s="4"/>
      <c r="H405" s="52"/>
      <c r="I405" s="52"/>
      <c r="J405" s="52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52"/>
      <c r="C406" s="52"/>
      <c r="D406" s="52"/>
      <c r="E406" s="52"/>
      <c r="F406" s="4"/>
      <c r="G406" s="4"/>
      <c r="H406" s="52"/>
      <c r="I406" s="52"/>
      <c r="J406" s="52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52"/>
      <c r="C407" s="52"/>
      <c r="D407" s="52"/>
      <c r="E407" s="52"/>
      <c r="F407" s="4"/>
      <c r="G407" s="4"/>
      <c r="H407" s="52"/>
      <c r="I407" s="52"/>
      <c r="J407" s="52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52"/>
      <c r="C408" s="52"/>
      <c r="D408" s="52"/>
      <c r="E408" s="52"/>
      <c r="F408" s="4"/>
      <c r="G408" s="4"/>
      <c r="H408" s="52"/>
      <c r="I408" s="52"/>
      <c r="J408" s="52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52"/>
      <c r="C409" s="52"/>
      <c r="D409" s="52"/>
      <c r="E409" s="52"/>
      <c r="F409" s="4"/>
      <c r="G409" s="4"/>
      <c r="H409" s="52"/>
      <c r="I409" s="52"/>
      <c r="J409" s="52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52"/>
      <c r="C410" s="52"/>
      <c r="D410" s="52"/>
      <c r="E410" s="52"/>
      <c r="F410" s="4"/>
      <c r="G410" s="4"/>
      <c r="H410" s="52"/>
      <c r="I410" s="52"/>
      <c r="J410" s="52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52"/>
      <c r="C411" s="52"/>
      <c r="D411" s="52"/>
      <c r="E411" s="52"/>
      <c r="F411" s="4"/>
      <c r="G411" s="4"/>
      <c r="H411" s="52"/>
      <c r="I411" s="52"/>
      <c r="J411" s="52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52"/>
      <c r="C412" s="52"/>
      <c r="D412" s="52"/>
      <c r="E412" s="52"/>
      <c r="F412" s="4"/>
      <c r="G412" s="4"/>
      <c r="H412" s="52"/>
      <c r="I412" s="52"/>
      <c r="J412" s="52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52"/>
      <c r="C413" s="52"/>
      <c r="D413" s="52"/>
      <c r="E413" s="52"/>
      <c r="F413" s="4"/>
      <c r="G413" s="4"/>
      <c r="H413" s="52"/>
      <c r="I413" s="52"/>
      <c r="J413" s="52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52"/>
      <c r="C414" s="52"/>
      <c r="D414" s="52"/>
      <c r="E414" s="52"/>
      <c r="F414" s="4"/>
      <c r="G414" s="4"/>
      <c r="H414" s="52"/>
      <c r="I414" s="52"/>
      <c r="J414" s="52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52"/>
      <c r="C415" s="52"/>
      <c r="D415" s="52"/>
      <c r="E415" s="52"/>
      <c r="F415" s="4"/>
      <c r="G415" s="4"/>
      <c r="H415" s="52"/>
      <c r="I415" s="52"/>
      <c r="J415" s="52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52"/>
      <c r="C416" s="52"/>
      <c r="D416" s="52"/>
      <c r="E416" s="52"/>
      <c r="F416" s="4"/>
      <c r="G416" s="4"/>
      <c r="H416" s="52"/>
      <c r="I416" s="52"/>
      <c r="J416" s="52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52"/>
      <c r="C417" s="52"/>
      <c r="D417" s="52"/>
      <c r="E417" s="52"/>
      <c r="F417" s="4"/>
      <c r="G417" s="4"/>
      <c r="H417" s="52"/>
      <c r="I417" s="52"/>
      <c r="J417" s="52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52"/>
      <c r="C418" s="52"/>
      <c r="D418" s="52"/>
      <c r="E418" s="52"/>
      <c r="F418" s="4"/>
      <c r="G418" s="4"/>
      <c r="H418" s="52"/>
      <c r="I418" s="52"/>
      <c r="J418" s="52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52"/>
      <c r="C419" s="52"/>
      <c r="D419" s="52"/>
      <c r="E419" s="52"/>
      <c r="F419" s="4"/>
      <c r="G419" s="4"/>
      <c r="H419" s="52"/>
      <c r="I419" s="52"/>
      <c r="J419" s="52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52"/>
      <c r="C420" s="52"/>
      <c r="D420" s="52"/>
      <c r="E420" s="52"/>
      <c r="F420" s="4"/>
      <c r="G420" s="4"/>
      <c r="H420" s="52"/>
      <c r="I420" s="52"/>
      <c r="J420" s="52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52"/>
      <c r="C421" s="52"/>
      <c r="D421" s="52"/>
      <c r="E421" s="52"/>
      <c r="F421" s="4"/>
      <c r="G421" s="4"/>
      <c r="H421" s="52"/>
      <c r="I421" s="52"/>
      <c r="J421" s="52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52"/>
      <c r="C422" s="52"/>
      <c r="D422" s="52"/>
      <c r="E422" s="52"/>
      <c r="F422" s="4"/>
      <c r="G422" s="4"/>
      <c r="H422" s="52"/>
      <c r="I422" s="52"/>
      <c r="J422" s="52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52"/>
      <c r="C423" s="52"/>
      <c r="D423" s="52"/>
      <c r="E423" s="52"/>
      <c r="F423" s="4"/>
      <c r="G423" s="4"/>
      <c r="H423" s="52"/>
      <c r="I423" s="52"/>
      <c r="J423" s="52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52"/>
      <c r="C424" s="52"/>
      <c r="D424" s="52"/>
      <c r="E424" s="52"/>
      <c r="F424" s="4"/>
      <c r="G424" s="4"/>
      <c r="H424" s="52"/>
      <c r="I424" s="52"/>
      <c r="J424" s="52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52"/>
      <c r="C425" s="52"/>
      <c r="D425" s="52"/>
      <c r="E425" s="52"/>
      <c r="F425" s="4"/>
      <c r="G425" s="4"/>
      <c r="H425" s="52"/>
      <c r="I425" s="52"/>
      <c r="J425" s="52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52"/>
      <c r="C426" s="52"/>
      <c r="D426" s="52"/>
      <c r="E426" s="52"/>
      <c r="F426" s="4"/>
      <c r="G426" s="4"/>
      <c r="H426" s="52"/>
      <c r="I426" s="52"/>
      <c r="J426" s="52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52"/>
      <c r="C427" s="52"/>
      <c r="D427" s="52"/>
      <c r="E427" s="52"/>
      <c r="F427" s="4"/>
      <c r="G427" s="4"/>
      <c r="H427" s="52"/>
      <c r="I427" s="52"/>
      <c r="J427" s="52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52"/>
      <c r="C428" s="52"/>
      <c r="D428" s="52"/>
      <c r="E428" s="52"/>
      <c r="F428" s="4"/>
      <c r="G428" s="4"/>
      <c r="H428" s="52"/>
      <c r="I428" s="52"/>
      <c r="J428" s="52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52"/>
      <c r="C429" s="52"/>
      <c r="D429" s="52"/>
      <c r="E429" s="52"/>
      <c r="F429" s="4"/>
      <c r="G429" s="4"/>
      <c r="H429" s="52"/>
      <c r="I429" s="52"/>
      <c r="J429" s="52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52"/>
      <c r="C430" s="52"/>
      <c r="D430" s="52"/>
      <c r="E430" s="52"/>
      <c r="F430" s="4"/>
      <c r="G430" s="4"/>
      <c r="H430" s="52"/>
      <c r="I430" s="52"/>
      <c r="J430" s="52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52"/>
      <c r="C431" s="52"/>
      <c r="D431" s="52"/>
      <c r="E431" s="52"/>
      <c r="F431" s="4"/>
      <c r="G431" s="4"/>
      <c r="H431" s="52"/>
      <c r="I431" s="52"/>
      <c r="J431" s="52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52"/>
      <c r="C432" s="52"/>
      <c r="D432" s="52"/>
      <c r="E432" s="52"/>
      <c r="F432" s="4"/>
      <c r="G432" s="4"/>
      <c r="H432" s="52"/>
      <c r="I432" s="52"/>
      <c r="J432" s="52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52"/>
      <c r="C433" s="52"/>
      <c r="D433" s="52"/>
      <c r="E433" s="52"/>
      <c r="F433" s="4"/>
      <c r="G433" s="4"/>
      <c r="H433" s="52"/>
      <c r="I433" s="52"/>
      <c r="J433" s="52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52"/>
      <c r="C434" s="52"/>
      <c r="D434" s="52"/>
      <c r="E434" s="52"/>
      <c r="F434" s="4"/>
      <c r="G434" s="4"/>
      <c r="H434" s="52"/>
      <c r="I434" s="52"/>
      <c r="J434" s="52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52"/>
      <c r="C435" s="52"/>
      <c r="D435" s="52"/>
      <c r="E435" s="52"/>
      <c r="F435" s="4"/>
      <c r="G435" s="4"/>
      <c r="H435" s="52"/>
      <c r="I435" s="52"/>
      <c r="J435" s="52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52"/>
      <c r="C436" s="52"/>
      <c r="D436" s="52"/>
      <c r="E436" s="52"/>
      <c r="F436" s="4"/>
      <c r="G436" s="4"/>
      <c r="H436" s="52"/>
      <c r="I436" s="52"/>
      <c r="J436" s="52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52"/>
      <c r="C437" s="52"/>
      <c r="D437" s="52"/>
      <c r="E437" s="52"/>
      <c r="F437" s="4"/>
      <c r="G437" s="4"/>
      <c r="H437" s="52"/>
      <c r="I437" s="52"/>
      <c r="J437" s="52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52"/>
      <c r="C438" s="52"/>
      <c r="D438" s="52"/>
      <c r="E438" s="52"/>
      <c r="F438" s="4"/>
      <c r="G438" s="4"/>
      <c r="H438" s="52"/>
      <c r="I438" s="52"/>
      <c r="J438" s="52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52"/>
      <c r="C439" s="52"/>
      <c r="D439" s="52"/>
      <c r="E439" s="52"/>
      <c r="F439" s="4"/>
      <c r="G439" s="4"/>
      <c r="H439" s="52"/>
      <c r="I439" s="52"/>
      <c r="J439" s="52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52"/>
      <c r="C440" s="52"/>
      <c r="D440" s="52"/>
      <c r="E440" s="52"/>
      <c r="F440" s="4"/>
      <c r="G440" s="4"/>
      <c r="H440" s="52"/>
      <c r="I440" s="52"/>
      <c r="J440" s="52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52"/>
      <c r="C441" s="52"/>
      <c r="D441" s="52"/>
      <c r="E441" s="52"/>
      <c r="F441" s="4"/>
      <c r="G441" s="4"/>
      <c r="H441" s="52"/>
      <c r="I441" s="52"/>
      <c r="J441" s="52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52"/>
      <c r="C442" s="52"/>
      <c r="D442" s="52"/>
      <c r="E442" s="52"/>
      <c r="F442" s="4"/>
      <c r="G442" s="4"/>
      <c r="H442" s="52"/>
      <c r="I442" s="52"/>
      <c r="J442" s="52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52"/>
      <c r="C443" s="52"/>
      <c r="D443" s="52"/>
      <c r="E443" s="52"/>
      <c r="F443" s="4"/>
      <c r="G443" s="4"/>
      <c r="H443" s="52"/>
      <c r="I443" s="52"/>
      <c r="J443" s="52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52"/>
      <c r="C444" s="52"/>
      <c r="D444" s="52"/>
      <c r="E444" s="52"/>
      <c r="F444" s="4"/>
      <c r="G444" s="4"/>
      <c r="H444" s="52"/>
      <c r="I444" s="52"/>
      <c r="J444" s="52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52"/>
      <c r="C445" s="52"/>
      <c r="D445" s="52"/>
      <c r="E445" s="52"/>
      <c r="F445" s="4"/>
      <c r="G445" s="4"/>
      <c r="H445" s="52"/>
      <c r="I445" s="52"/>
      <c r="J445" s="52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52"/>
      <c r="C446" s="52"/>
      <c r="D446" s="52"/>
      <c r="E446" s="52"/>
      <c r="F446" s="4"/>
      <c r="G446" s="4"/>
      <c r="H446" s="52"/>
      <c r="I446" s="52"/>
      <c r="J446" s="52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52"/>
      <c r="C447" s="52"/>
      <c r="D447" s="52"/>
      <c r="E447" s="52"/>
      <c r="F447" s="4"/>
      <c r="G447" s="4"/>
      <c r="H447" s="52"/>
      <c r="I447" s="52"/>
      <c r="J447" s="52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52"/>
      <c r="C448" s="52"/>
      <c r="D448" s="52"/>
      <c r="E448" s="52"/>
      <c r="F448" s="4"/>
      <c r="G448" s="4"/>
      <c r="H448" s="52"/>
      <c r="I448" s="52"/>
      <c r="J448" s="52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52"/>
      <c r="C449" s="52"/>
      <c r="D449" s="52"/>
      <c r="E449" s="52"/>
      <c r="F449" s="4"/>
      <c r="G449" s="4"/>
      <c r="H449" s="52"/>
      <c r="I449" s="52"/>
      <c r="J449" s="52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52"/>
      <c r="C450" s="52"/>
      <c r="D450" s="52"/>
      <c r="E450" s="52"/>
      <c r="F450" s="4"/>
      <c r="G450" s="4"/>
      <c r="H450" s="52"/>
      <c r="I450" s="52"/>
      <c r="J450" s="52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52"/>
      <c r="C451" s="52"/>
      <c r="D451" s="52"/>
      <c r="E451" s="52"/>
      <c r="F451" s="4"/>
      <c r="G451" s="4"/>
      <c r="H451" s="52"/>
      <c r="I451" s="52"/>
      <c r="J451" s="52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52"/>
      <c r="C452" s="52"/>
      <c r="D452" s="52"/>
      <c r="E452" s="52"/>
      <c r="F452" s="4"/>
      <c r="G452" s="4"/>
      <c r="H452" s="52"/>
      <c r="I452" s="52"/>
      <c r="J452" s="52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52"/>
      <c r="C453" s="52"/>
      <c r="D453" s="52"/>
      <c r="E453" s="52"/>
      <c r="F453" s="4"/>
      <c r="G453" s="4"/>
      <c r="H453" s="52"/>
      <c r="I453" s="52"/>
      <c r="J453" s="52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52"/>
      <c r="C454" s="52"/>
      <c r="D454" s="52"/>
      <c r="E454" s="52"/>
      <c r="F454" s="4"/>
      <c r="G454" s="4"/>
      <c r="H454" s="52"/>
      <c r="I454" s="52"/>
      <c r="J454" s="52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52"/>
      <c r="C455" s="52"/>
      <c r="D455" s="52"/>
      <c r="E455" s="52"/>
      <c r="F455" s="4"/>
      <c r="G455" s="4"/>
      <c r="H455" s="52"/>
      <c r="I455" s="52"/>
      <c r="J455" s="52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52"/>
      <c r="C456" s="52"/>
      <c r="D456" s="52"/>
      <c r="E456" s="52"/>
      <c r="F456" s="4"/>
      <c r="G456" s="4"/>
      <c r="H456" s="52"/>
      <c r="I456" s="52"/>
      <c r="J456" s="52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52"/>
      <c r="C457" s="52"/>
      <c r="D457" s="52"/>
      <c r="E457" s="52"/>
      <c r="F457" s="4"/>
      <c r="G457" s="4"/>
      <c r="H457" s="52"/>
      <c r="I457" s="52"/>
      <c r="J457" s="52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52"/>
      <c r="C458" s="52"/>
      <c r="D458" s="52"/>
      <c r="E458" s="52"/>
      <c r="F458" s="4"/>
      <c r="G458" s="4"/>
      <c r="H458" s="52"/>
      <c r="I458" s="52"/>
      <c r="J458" s="52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52"/>
      <c r="C459" s="52"/>
      <c r="D459" s="52"/>
      <c r="E459" s="52"/>
      <c r="F459" s="4"/>
      <c r="G459" s="4"/>
      <c r="H459" s="52"/>
      <c r="I459" s="52"/>
      <c r="J459" s="52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52"/>
      <c r="C460" s="52"/>
      <c r="D460" s="52"/>
      <c r="E460" s="52"/>
      <c r="F460" s="4"/>
      <c r="G460" s="4"/>
      <c r="H460" s="52"/>
      <c r="I460" s="52"/>
      <c r="J460" s="52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52"/>
      <c r="C461" s="52"/>
      <c r="D461" s="52"/>
      <c r="E461" s="52"/>
      <c r="F461" s="4"/>
      <c r="G461" s="4"/>
      <c r="H461" s="52"/>
      <c r="I461" s="52"/>
      <c r="J461" s="52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52"/>
      <c r="C462" s="52"/>
      <c r="D462" s="52"/>
      <c r="E462" s="52"/>
      <c r="F462" s="4"/>
      <c r="G462" s="4"/>
      <c r="H462" s="52"/>
      <c r="I462" s="52"/>
      <c r="J462" s="52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52"/>
      <c r="C463" s="52"/>
      <c r="D463" s="52"/>
      <c r="E463" s="52"/>
      <c r="F463" s="4"/>
      <c r="G463" s="4"/>
      <c r="H463" s="52"/>
      <c r="I463" s="52"/>
      <c r="J463" s="52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52"/>
      <c r="C464" s="52"/>
      <c r="D464" s="52"/>
      <c r="E464" s="52"/>
      <c r="F464" s="4"/>
      <c r="G464" s="4"/>
      <c r="H464" s="52"/>
      <c r="I464" s="52"/>
      <c r="J464" s="52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52"/>
      <c r="C465" s="52"/>
      <c r="D465" s="52"/>
      <c r="E465" s="52"/>
      <c r="F465" s="4"/>
      <c r="G465" s="4"/>
      <c r="H465" s="52"/>
      <c r="I465" s="52"/>
      <c r="J465" s="52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52"/>
      <c r="C466" s="52"/>
      <c r="D466" s="52"/>
      <c r="E466" s="52"/>
      <c r="F466" s="4"/>
      <c r="G466" s="4"/>
      <c r="H466" s="52"/>
      <c r="I466" s="52"/>
      <c r="J466" s="52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52"/>
      <c r="C467" s="52"/>
      <c r="D467" s="52"/>
      <c r="E467" s="52"/>
      <c r="F467" s="4"/>
      <c r="G467" s="4"/>
      <c r="H467" s="52"/>
      <c r="I467" s="52"/>
      <c r="J467" s="52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52"/>
      <c r="C468" s="52"/>
      <c r="D468" s="52"/>
      <c r="E468" s="52"/>
      <c r="F468" s="4"/>
      <c r="G468" s="4"/>
      <c r="H468" s="52"/>
      <c r="I468" s="52"/>
      <c r="J468" s="52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52"/>
      <c r="C469" s="52"/>
      <c r="D469" s="52"/>
      <c r="E469" s="52"/>
      <c r="F469" s="4"/>
      <c r="G469" s="4"/>
      <c r="H469" s="52"/>
      <c r="I469" s="52"/>
      <c r="J469" s="52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52"/>
      <c r="C470" s="52"/>
      <c r="D470" s="52"/>
      <c r="E470" s="52"/>
      <c r="F470" s="4"/>
      <c r="G470" s="4"/>
      <c r="H470" s="52"/>
      <c r="I470" s="52"/>
      <c r="J470" s="52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52"/>
      <c r="C471" s="52"/>
      <c r="D471" s="52"/>
      <c r="E471" s="52"/>
      <c r="F471" s="4"/>
      <c r="G471" s="4"/>
      <c r="H471" s="52"/>
      <c r="I471" s="52"/>
      <c r="J471" s="52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52"/>
      <c r="C472" s="52"/>
      <c r="D472" s="52"/>
      <c r="E472" s="52"/>
      <c r="F472" s="4"/>
      <c r="G472" s="4"/>
      <c r="H472" s="52"/>
      <c r="I472" s="52"/>
      <c r="J472" s="52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52"/>
      <c r="C473" s="52"/>
      <c r="D473" s="52"/>
      <c r="E473" s="52"/>
      <c r="F473" s="4"/>
      <c r="G473" s="4"/>
      <c r="H473" s="52"/>
      <c r="I473" s="52"/>
      <c r="J473" s="52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52"/>
      <c r="C474" s="52"/>
      <c r="D474" s="52"/>
      <c r="E474" s="52"/>
      <c r="F474" s="4"/>
      <c r="G474" s="4"/>
      <c r="H474" s="52"/>
      <c r="I474" s="52"/>
      <c r="J474" s="52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52"/>
      <c r="C475" s="52"/>
      <c r="D475" s="52"/>
      <c r="E475" s="52"/>
      <c r="F475" s="4"/>
      <c r="G475" s="4"/>
      <c r="H475" s="52"/>
      <c r="I475" s="52"/>
      <c r="J475" s="52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52"/>
      <c r="C476" s="52"/>
      <c r="D476" s="52"/>
      <c r="E476" s="52"/>
      <c r="F476" s="4"/>
      <c r="G476" s="4"/>
      <c r="H476" s="52"/>
      <c r="I476" s="52"/>
      <c r="J476" s="52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52"/>
      <c r="C477" s="52"/>
      <c r="D477" s="52"/>
      <c r="E477" s="52"/>
      <c r="F477" s="4"/>
      <c r="G477" s="4"/>
      <c r="H477" s="52"/>
      <c r="I477" s="52"/>
      <c r="J477" s="52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52"/>
      <c r="C478" s="52"/>
      <c r="D478" s="52"/>
      <c r="E478" s="52"/>
      <c r="F478" s="4"/>
      <c r="G478" s="4"/>
      <c r="H478" s="52"/>
      <c r="I478" s="52"/>
      <c r="J478" s="52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52"/>
      <c r="C479" s="52"/>
      <c r="D479" s="52"/>
      <c r="E479" s="52"/>
      <c r="F479" s="4"/>
      <c r="G479" s="4"/>
      <c r="H479" s="52"/>
      <c r="I479" s="52"/>
      <c r="J479" s="52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52"/>
      <c r="C480" s="52"/>
      <c r="D480" s="52"/>
      <c r="E480" s="52"/>
      <c r="F480" s="4"/>
      <c r="G480" s="4"/>
      <c r="H480" s="52"/>
      <c r="I480" s="52"/>
      <c r="J480" s="52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52"/>
      <c r="C481" s="52"/>
      <c r="D481" s="52"/>
      <c r="E481" s="52"/>
      <c r="F481" s="4"/>
      <c r="G481" s="4"/>
      <c r="H481" s="52"/>
      <c r="I481" s="52"/>
      <c r="J481" s="52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52"/>
      <c r="C482" s="52"/>
      <c r="D482" s="52"/>
      <c r="E482" s="52"/>
      <c r="F482" s="4"/>
      <c r="G482" s="4"/>
      <c r="H482" s="52"/>
      <c r="I482" s="52"/>
      <c r="J482" s="52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52"/>
      <c r="C483" s="52"/>
      <c r="D483" s="52"/>
      <c r="E483" s="52"/>
      <c r="F483" s="4"/>
      <c r="G483" s="4"/>
      <c r="H483" s="52"/>
      <c r="I483" s="52"/>
      <c r="J483" s="52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52"/>
      <c r="C484" s="52"/>
      <c r="D484" s="52"/>
      <c r="E484" s="52"/>
      <c r="F484" s="4"/>
      <c r="G484" s="4"/>
      <c r="H484" s="52"/>
      <c r="I484" s="52"/>
      <c r="J484" s="52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52"/>
      <c r="C485" s="52"/>
      <c r="D485" s="52"/>
      <c r="E485" s="52"/>
      <c r="F485" s="4"/>
      <c r="G485" s="4"/>
      <c r="H485" s="52"/>
      <c r="I485" s="52"/>
      <c r="J485" s="52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52"/>
      <c r="C486" s="52"/>
      <c r="D486" s="52"/>
      <c r="E486" s="52"/>
      <c r="F486" s="4"/>
      <c r="G486" s="4"/>
      <c r="H486" s="52"/>
      <c r="I486" s="52"/>
      <c r="J486" s="52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52"/>
      <c r="C487" s="52"/>
      <c r="D487" s="52"/>
      <c r="E487" s="52"/>
      <c r="F487" s="4"/>
      <c r="G487" s="4"/>
      <c r="H487" s="52"/>
      <c r="I487" s="52"/>
      <c r="J487" s="52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52"/>
      <c r="C488" s="52"/>
      <c r="D488" s="52"/>
      <c r="E488" s="52"/>
      <c r="F488" s="4"/>
      <c r="G488" s="4"/>
      <c r="H488" s="52"/>
      <c r="I488" s="52"/>
      <c r="J488" s="52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52"/>
      <c r="C489" s="52"/>
      <c r="D489" s="52"/>
      <c r="E489" s="52"/>
      <c r="F489" s="4"/>
      <c r="G489" s="4"/>
      <c r="H489" s="52"/>
      <c r="I489" s="52"/>
      <c r="J489" s="52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52"/>
      <c r="C490" s="52"/>
      <c r="D490" s="52"/>
      <c r="E490" s="52"/>
      <c r="F490" s="4"/>
      <c r="G490" s="4"/>
      <c r="H490" s="52"/>
      <c r="I490" s="52"/>
      <c r="J490" s="52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52"/>
      <c r="C491" s="52"/>
      <c r="D491" s="52"/>
      <c r="E491" s="52"/>
      <c r="F491" s="4"/>
      <c r="G491" s="4"/>
      <c r="H491" s="52"/>
      <c r="I491" s="52"/>
      <c r="J491" s="52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52"/>
      <c r="C492" s="52"/>
      <c r="D492" s="52"/>
      <c r="E492" s="52"/>
      <c r="F492" s="4"/>
      <c r="G492" s="4"/>
      <c r="H492" s="52"/>
      <c r="I492" s="52"/>
      <c r="J492" s="52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52"/>
      <c r="C493" s="52"/>
      <c r="D493" s="52"/>
      <c r="E493" s="52"/>
      <c r="F493" s="4"/>
      <c r="G493" s="4"/>
      <c r="H493" s="52"/>
      <c r="I493" s="52"/>
      <c r="J493" s="52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52"/>
      <c r="C494" s="52"/>
      <c r="D494" s="52"/>
      <c r="E494" s="52"/>
      <c r="F494" s="4"/>
      <c r="G494" s="4"/>
      <c r="H494" s="52"/>
      <c r="I494" s="52"/>
      <c r="J494" s="52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52"/>
      <c r="C495" s="52"/>
      <c r="D495" s="52"/>
      <c r="E495" s="52"/>
      <c r="F495" s="4"/>
      <c r="G495" s="4"/>
      <c r="H495" s="52"/>
      <c r="I495" s="52"/>
      <c r="J495" s="52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52"/>
      <c r="C496" s="52"/>
      <c r="D496" s="52"/>
      <c r="E496" s="52"/>
      <c r="F496" s="4"/>
      <c r="G496" s="4"/>
      <c r="H496" s="52"/>
      <c r="I496" s="52"/>
      <c r="J496" s="52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52"/>
      <c r="C497" s="52"/>
      <c r="D497" s="52"/>
      <c r="E497" s="52"/>
      <c r="F497" s="4"/>
      <c r="G497" s="4"/>
      <c r="H497" s="52"/>
      <c r="I497" s="52"/>
      <c r="J497" s="52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52"/>
      <c r="C498" s="52"/>
      <c r="D498" s="52"/>
      <c r="E498" s="52"/>
      <c r="F498" s="4"/>
      <c r="G498" s="4"/>
      <c r="H498" s="52"/>
      <c r="I498" s="52"/>
      <c r="J498" s="52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52"/>
      <c r="C499" s="52"/>
      <c r="D499" s="52"/>
      <c r="E499" s="52"/>
      <c r="F499" s="4"/>
      <c r="G499" s="4"/>
      <c r="H499" s="52"/>
      <c r="I499" s="52"/>
      <c r="J499" s="52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52"/>
      <c r="C500" s="52"/>
      <c r="D500" s="52"/>
      <c r="E500" s="52"/>
      <c r="F500" s="4"/>
      <c r="G500" s="4"/>
      <c r="H500" s="52"/>
      <c r="I500" s="52"/>
      <c r="J500" s="52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52"/>
      <c r="C501" s="52"/>
      <c r="D501" s="52"/>
      <c r="E501" s="52"/>
      <c r="F501" s="4"/>
      <c r="G501" s="4"/>
      <c r="H501" s="52"/>
      <c r="I501" s="52"/>
      <c r="J501" s="52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52"/>
      <c r="C502" s="52"/>
      <c r="D502" s="52"/>
      <c r="E502" s="52"/>
      <c r="F502" s="4"/>
      <c r="G502" s="4"/>
      <c r="H502" s="52"/>
      <c r="I502" s="52"/>
      <c r="J502" s="52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52"/>
      <c r="C503" s="52"/>
      <c r="D503" s="52"/>
      <c r="E503" s="52"/>
      <c r="F503" s="4"/>
      <c r="G503" s="4"/>
      <c r="H503" s="52"/>
      <c r="I503" s="52"/>
      <c r="J503" s="52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52"/>
      <c r="C504" s="52"/>
      <c r="D504" s="52"/>
      <c r="E504" s="52"/>
      <c r="F504" s="4"/>
      <c r="G504" s="4"/>
      <c r="H504" s="52"/>
      <c r="I504" s="52"/>
      <c r="J504" s="52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52"/>
      <c r="C505" s="52"/>
      <c r="D505" s="52"/>
      <c r="E505" s="52"/>
      <c r="F505" s="4"/>
      <c r="G505" s="4"/>
      <c r="H505" s="52"/>
      <c r="I505" s="52"/>
      <c r="J505" s="52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52"/>
      <c r="C506" s="52"/>
      <c r="D506" s="52"/>
      <c r="E506" s="52"/>
      <c r="F506" s="4"/>
      <c r="G506" s="4"/>
      <c r="H506" s="52"/>
      <c r="I506" s="52"/>
      <c r="J506" s="52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52"/>
      <c r="C507" s="52"/>
      <c r="D507" s="52"/>
      <c r="E507" s="52"/>
      <c r="F507" s="4"/>
      <c r="G507" s="4"/>
      <c r="H507" s="52"/>
      <c r="I507" s="52"/>
      <c r="J507" s="52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52"/>
      <c r="C508" s="52"/>
      <c r="D508" s="52"/>
      <c r="E508" s="52"/>
      <c r="F508" s="4"/>
      <c r="G508" s="4"/>
      <c r="H508" s="52"/>
      <c r="I508" s="52"/>
      <c r="J508" s="52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52"/>
      <c r="C509" s="52"/>
      <c r="D509" s="52"/>
      <c r="E509" s="52"/>
      <c r="F509" s="4"/>
      <c r="G509" s="4"/>
      <c r="H509" s="52"/>
      <c r="I509" s="52"/>
      <c r="J509" s="52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52"/>
      <c r="C510" s="52"/>
      <c r="D510" s="52"/>
      <c r="E510" s="52"/>
      <c r="F510" s="4"/>
      <c r="G510" s="4"/>
      <c r="H510" s="52"/>
      <c r="I510" s="52"/>
      <c r="J510" s="52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52"/>
      <c r="C511" s="52"/>
      <c r="D511" s="52"/>
      <c r="E511" s="52"/>
      <c r="F511" s="4"/>
      <c r="G511" s="4"/>
      <c r="H511" s="52"/>
      <c r="I511" s="52"/>
      <c r="J511" s="52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52"/>
      <c r="C512" s="52"/>
      <c r="D512" s="52"/>
      <c r="E512" s="52"/>
      <c r="F512" s="4"/>
      <c r="G512" s="4"/>
      <c r="H512" s="52"/>
      <c r="I512" s="52"/>
      <c r="J512" s="52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52"/>
      <c r="C513" s="52"/>
      <c r="D513" s="52"/>
      <c r="E513" s="52"/>
      <c r="F513" s="4"/>
      <c r="G513" s="4"/>
      <c r="H513" s="52"/>
      <c r="I513" s="52"/>
      <c r="J513" s="52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52"/>
      <c r="C514" s="52"/>
      <c r="D514" s="52"/>
      <c r="E514" s="52"/>
      <c r="F514" s="4"/>
      <c r="G514" s="4"/>
      <c r="H514" s="52"/>
      <c r="I514" s="52"/>
      <c r="J514" s="52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52"/>
      <c r="C515" s="52"/>
      <c r="D515" s="52"/>
      <c r="E515" s="52"/>
      <c r="F515" s="4"/>
      <c r="G515" s="4"/>
      <c r="H515" s="52"/>
      <c r="I515" s="52"/>
      <c r="J515" s="52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52"/>
      <c r="C516" s="52"/>
      <c r="D516" s="52"/>
      <c r="E516" s="52"/>
      <c r="F516" s="4"/>
      <c r="G516" s="4"/>
      <c r="H516" s="52"/>
      <c r="I516" s="52"/>
      <c r="J516" s="52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52"/>
      <c r="C517" s="52"/>
      <c r="D517" s="52"/>
      <c r="E517" s="52"/>
      <c r="F517" s="4"/>
      <c r="G517" s="4"/>
      <c r="H517" s="52"/>
      <c r="I517" s="52"/>
      <c r="J517" s="52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52"/>
      <c r="C518" s="52"/>
      <c r="D518" s="52"/>
      <c r="E518" s="52"/>
      <c r="F518" s="4"/>
      <c r="G518" s="4"/>
      <c r="H518" s="52"/>
      <c r="I518" s="52"/>
      <c r="J518" s="52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52"/>
      <c r="C519" s="52"/>
      <c r="D519" s="52"/>
      <c r="E519" s="52"/>
      <c r="F519" s="4"/>
      <c r="G519" s="4"/>
      <c r="H519" s="52"/>
      <c r="I519" s="52"/>
      <c r="J519" s="52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52"/>
      <c r="C520" s="52"/>
      <c r="D520" s="52"/>
      <c r="E520" s="52"/>
      <c r="F520" s="4"/>
      <c r="G520" s="4"/>
      <c r="H520" s="52"/>
      <c r="I520" s="52"/>
      <c r="J520" s="52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52"/>
      <c r="C521" s="52"/>
      <c r="D521" s="52"/>
      <c r="E521" s="52"/>
      <c r="F521" s="4"/>
      <c r="G521" s="4"/>
      <c r="H521" s="52"/>
      <c r="I521" s="52"/>
      <c r="J521" s="52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52"/>
      <c r="C522" s="52"/>
      <c r="D522" s="52"/>
      <c r="E522" s="52"/>
      <c r="F522" s="4"/>
      <c r="G522" s="4"/>
      <c r="H522" s="52"/>
      <c r="I522" s="52"/>
      <c r="J522" s="52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52"/>
      <c r="C523" s="52"/>
      <c r="D523" s="52"/>
      <c r="E523" s="52"/>
      <c r="F523" s="4"/>
      <c r="G523" s="4"/>
      <c r="H523" s="52"/>
      <c r="I523" s="52"/>
      <c r="J523" s="52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52"/>
      <c r="C524" s="52"/>
      <c r="D524" s="52"/>
      <c r="E524" s="52"/>
      <c r="F524" s="4"/>
      <c r="G524" s="4"/>
      <c r="H524" s="52"/>
      <c r="I524" s="52"/>
      <c r="J524" s="52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52"/>
      <c r="C525" s="52"/>
      <c r="D525" s="52"/>
      <c r="E525" s="52"/>
      <c r="F525" s="4"/>
      <c r="G525" s="4"/>
      <c r="H525" s="52"/>
      <c r="I525" s="52"/>
      <c r="J525" s="52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52"/>
      <c r="C526" s="52"/>
      <c r="D526" s="52"/>
      <c r="E526" s="52"/>
      <c r="F526" s="4"/>
      <c r="G526" s="4"/>
      <c r="H526" s="52"/>
      <c r="I526" s="52"/>
      <c r="J526" s="52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52"/>
      <c r="C527" s="52"/>
      <c r="D527" s="52"/>
      <c r="E527" s="52"/>
      <c r="F527" s="4"/>
      <c r="G527" s="4"/>
      <c r="H527" s="52"/>
      <c r="I527" s="52"/>
      <c r="J527" s="52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52"/>
      <c r="C528" s="52"/>
      <c r="D528" s="52"/>
      <c r="E528" s="52"/>
      <c r="F528" s="4"/>
      <c r="G528" s="4"/>
      <c r="H528" s="52"/>
      <c r="I528" s="52"/>
      <c r="J528" s="52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52"/>
      <c r="C529" s="52"/>
      <c r="D529" s="52"/>
      <c r="E529" s="52"/>
      <c r="F529" s="4"/>
      <c r="G529" s="4"/>
      <c r="H529" s="52"/>
      <c r="I529" s="52"/>
      <c r="J529" s="52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52"/>
      <c r="C530" s="52"/>
      <c r="D530" s="52"/>
      <c r="E530" s="52"/>
      <c r="F530" s="4"/>
      <c r="G530" s="4"/>
      <c r="H530" s="52"/>
      <c r="I530" s="52"/>
      <c r="J530" s="52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52"/>
      <c r="C531" s="52"/>
      <c r="D531" s="52"/>
      <c r="E531" s="52"/>
      <c r="F531" s="4"/>
      <c r="G531" s="4"/>
      <c r="H531" s="52"/>
      <c r="I531" s="52"/>
      <c r="J531" s="52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52"/>
      <c r="C532" s="52"/>
      <c r="D532" s="52"/>
      <c r="E532" s="52"/>
      <c r="F532" s="4"/>
      <c r="G532" s="4"/>
      <c r="H532" s="52"/>
      <c r="I532" s="52"/>
      <c r="J532" s="52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52"/>
      <c r="C533" s="52"/>
      <c r="D533" s="52"/>
      <c r="E533" s="52"/>
      <c r="F533" s="4"/>
      <c r="G533" s="4"/>
      <c r="H533" s="52"/>
      <c r="I533" s="52"/>
      <c r="J533" s="52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52"/>
      <c r="C534" s="52"/>
      <c r="D534" s="52"/>
      <c r="E534" s="52"/>
      <c r="F534" s="4"/>
      <c r="G534" s="4"/>
      <c r="H534" s="52"/>
      <c r="I534" s="52"/>
      <c r="J534" s="52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52"/>
      <c r="C535" s="52"/>
      <c r="D535" s="52"/>
      <c r="E535" s="52"/>
      <c r="F535" s="4"/>
      <c r="G535" s="4"/>
      <c r="H535" s="52"/>
      <c r="I535" s="52"/>
      <c r="J535" s="52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52"/>
      <c r="C536" s="52"/>
      <c r="D536" s="52"/>
      <c r="E536" s="52"/>
      <c r="F536" s="4"/>
      <c r="G536" s="4"/>
      <c r="H536" s="52"/>
      <c r="I536" s="52"/>
      <c r="J536" s="52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52"/>
      <c r="C537" s="52"/>
      <c r="D537" s="52"/>
      <c r="E537" s="52"/>
      <c r="F537" s="4"/>
      <c r="G537" s="4"/>
      <c r="H537" s="52"/>
      <c r="I537" s="52"/>
      <c r="J537" s="52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52"/>
      <c r="C538" s="52"/>
      <c r="D538" s="52"/>
      <c r="E538" s="52"/>
      <c r="F538" s="4"/>
      <c r="G538" s="4"/>
      <c r="H538" s="52"/>
      <c r="I538" s="52"/>
      <c r="J538" s="52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52"/>
      <c r="C539" s="52"/>
      <c r="D539" s="52"/>
      <c r="E539" s="52"/>
      <c r="F539" s="4"/>
      <c r="G539" s="4"/>
      <c r="H539" s="52"/>
      <c r="I539" s="52"/>
      <c r="J539" s="52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52"/>
      <c r="C540" s="52"/>
      <c r="D540" s="52"/>
      <c r="E540" s="52"/>
      <c r="F540" s="4"/>
      <c r="G540" s="4"/>
      <c r="H540" s="52"/>
      <c r="I540" s="52"/>
      <c r="J540" s="52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52"/>
      <c r="C541" s="52"/>
      <c r="D541" s="52"/>
      <c r="E541" s="52"/>
      <c r="F541" s="4"/>
      <c r="G541" s="4"/>
      <c r="H541" s="52"/>
      <c r="I541" s="52"/>
      <c r="J541" s="52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52"/>
      <c r="C542" s="52"/>
      <c r="D542" s="52"/>
      <c r="E542" s="52"/>
      <c r="F542" s="4"/>
      <c r="G542" s="4"/>
      <c r="H542" s="52"/>
      <c r="I542" s="52"/>
      <c r="J542" s="52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52"/>
      <c r="C543" s="52"/>
      <c r="D543" s="52"/>
      <c r="E543" s="52"/>
      <c r="F543" s="4"/>
      <c r="G543" s="4"/>
      <c r="H543" s="52"/>
      <c r="I543" s="52"/>
      <c r="J543" s="52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52"/>
      <c r="C544" s="52"/>
      <c r="D544" s="52"/>
      <c r="E544" s="52"/>
      <c r="F544" s="4"/>
      <c r="G544" s="4"/>
      <c r="H544" s="52"/>
      <c r="I544" s="52"/>
      <c r="J544" s="52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52"/>
      <c r="C545" s="52"/>
      <c r="D545" s="52"/>
      <c r="E545" s="52"/>
      <c r="F545" s="4"/>
      <c r="G545" s="4"/>
      <c r="H545" s="52"/>
      <c r="I545" s="52"/>
      <c r="J545" s="52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52"/>
      <c r="C546" s="52"/>
      <c r="D546" s="52"/>
      <c r="E546" s="52"/>
      <c r="F546" s="4"/>
      <c r="G546" s="4"/>
      <c r="H546" s="52"/>
      <c r="I546" s="52"/>
      <c r="J546" s="52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52"/>
      <c r="C547" s="52"/>
      <c r="D547" s="52"/>
      <c r="E547" s="52"/>
      <c r="F547" s="4"/>
      <c r="G547" s="4"/>
      <c r="H547" s="52"/>
      <c r="I547" s="52"/>
      <c r="J547" s="52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52"/>
      <c r="C548" s="52"/>
      <c r="D548" s="52"/>
      <c r="E548" s="52"/>
      <c r="F548" s="4"/>
      <c r="G548" s="4"/>
      <c r="H548" s="52"/>
      <c r="I548" s="52"/>
      <c r="J548" s="52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52"/>
      <c r="C549" s="52"/>
      <c r="D549" s="52"/>
      <c r="E549" s="52"/>
      <c r="F549" s="4"/>
      <c r="G549" s="4"/>
      <c r="H549" s="52"/>
      <c r="I549" s="52"/>
      <c r="J549" s="52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52"/>
      <c r="C550" s="52"/>
      <c r="D550" s="52"/>
      <c r="E550" s="52"/>
      <c r="F550" s="4"/>
      <c r="G550" s="4"/>
      <c r="H550" s="52"/>
      <c r="I550" s="52"/>
      <c r="J550" s="52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52"/>
      <c r="C551" s="52"/>
      <c r="D551" s="52"/>
      <c r="E551" s="52"/>
      <c r="F551" s="4"/>
      <c r="G551" s="4"/>
      <c r="H551" s="52"/>
      <c r="I551" s="52"/>
      <c r="J551" s="52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52"/>
      <c r="C552" s="52"/>
      <c r="D552" s="52"/>
      <c r="E552" s="52"/>
      <c r="F552" s="4"/>
      <c r="G552" s="4"/>
      <c r="H552" s="52"/>
      <c r="I552" s="52"/>
      <c r="J552" s="52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52"/>
      <c r="C553" s="52"/>
      <c r="D553" s="52"/>
      <c r="E553" s="52"/>
      <c r="F553" s="4"/>
      <c r="G553" s="4"/>
      <c r="H553" s="52"/>
      <c r="I553" s="52"/>
      <c r="J553" s="52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52"/>
      <c r="C554" s="52"/>
      <c r="D554" s="52"/>
      <c r="E554" s="52"/>
      <c r="F554" s="4"/>
      <c r="G554" s="4"/>
      <c r="H554" s="52"/>
      <c r="I554" s="52"/>
      <c r="J554" s="52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52"/>
      <c r="C555" s="52"/>
      <c r="D555" s="52"/>
      <c r="E555" s="52"/>
      <c r="F555" s="4"/>
      <c r="G555" s="4"/>
      <c r="H555" s="52"/>
      <c r="I555" s="52"/>
      <c r="J555" s="52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52"/>
      <c r="C556" s="52"/>
      <c r="D556" s="52"/>
      <c r="E556" s="52"/>
      <c r="F556" s="4"/>
      <c r="G556" s="4"/>
      <c r="H556" s="52"/>
      <c r="I556" s="52"/>
      <c r="J556" s="52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52"/>
      <c r="C557" s="52"/>
      <c r="D557" s="52"/>
      <c r="E557" s="52"/>
      <c r="F557" s="4"/>
      <c r="G557" s="4"/>
      <c r="H557" s="52"/>
      <c r="I557" s="52"/>
      <c r="J557" s="52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52"/>
      <c r="C558" s="52"/>
      <c r="D558" s="52"/>
      <c r="E558" s="52"/>
      <c r="F558" s="4"/>
      <c r="G558" s="4"/>
      <c r="H558" s="52"/>
      <c r="I558" s="52"/>
      <c r="J558" s="52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52"/>
      <c r="C559" s="52"/>
      <c r="D559" s="52"/>
      <c r="E559" s="52"/>
      <c r="F559" s="4"/>
      <c r="G559" s="4"/>
      <c r="H559" s="52"/>
      <c r="I559" s="52"/>
      <c r="J559" s="52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52"/>
      <c r="C560" s="52"/>
      <c r="D560" s="52"/>
      <c r="E560" s="52"/>
      <c r="F560" s="4"/>
      <c r="G560" s="4"/>
      <c r="H560" s="52"/>
      <c r="I560" s="52"/>
      <c r="J560" s="52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52"/>
      <c r="C561" s="52"/>
      <c r="D561" s="52"/>
      <c r="E561" s="52"/>
      <c r="F561" s="4"/>
      <c r="G561" s="4"/>
      <c r="H561" s="52"/>
      <c r="I561" s="52"/>
      <c r="J561" s="52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52"/>
      <c r="C562" s="52"/>
      <c r="D562" s="52"/>
      <c r="E562" s="52"/>
      <c r="F562" s="4"/>
      <c r="G562" s="4"/>
      <c r="H562" s="52"/>
      <c r="I562" s="52"/>
      <c r="J562" s="52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52"/>
      <c r="C563" s="52"/>
      <c r="D563" s="52"/>
      <c r="E563" s="52"/>
      <c r="F563" s="4"/>
      <c r="G563" s="4"/>
      <c r="H563" s="52"/>
      <c r="I563" s="52"/>
      <c r="J563" s="52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52"/>
      <c r="C564" s="52"/>
      <c r="D564" s="52"/>
      <c r="E564" s="52"/>
      <c r="F564" s="4"/>
      <c r="G564" s="4"/>
      <c r="H564" s="52"/>
      <c r="I564" s="52"/>
      <c r="J564" s="52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52"/>
      <c r="C565" s="52"/>
      <c r="D565" s="52"/>
      <c r="E565" s="52"/>
      <c r="F565" s="4"/>
      <c r="G565" s="4"/>
      <c r="H565" s="52"/>
      <c r="I565" s="52"/>
      <c r="J565" s="52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52"/>
      <c r="C566" s="52"/>
      <c r="D566" s="52"/>
      <c r="E566" s="52"/>
      <c r="F566" s="4"/>
      <c r="G566" s="4"/>
      <c r="H566" s="52"/>
      <c r="I566" s="52"/>
      <c r="J566" s="52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52"/>
      <c r="C567" s="52"/>
      <c r="D567" s="52"/>
      <c r="E567" s="52"/>
      <c r="F567" s="4"/>
      <c r="G567" s="4"/>
      <c r="H567" s="52"/>
      <c r="I567" s="52"/>
      <c r="J567" s="52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52"/>
      <c r="C568" s="52"/>
      <c r="D568" s="52"/>
      <c r="E568" s="52"/>
      <c r="F568" s="4"/>
      <c r="G568" s="4"/>
      <c r="H568" s="52"/>
      <c r="I568" s="52"/>
      <c r="J568" s="52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52"/>
      <c r="C569" s="52"/>
      <c r="D569" s="52"/>
      <c r="E569" s="52"/>
      <c r="F569" s="4"/>
      <c r="G569" s="4"/>
      <c r="H569" s="52"/>
      <c r="I569" s="52"/>
      <c r="J569" s="52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52"/>
      <c r="C570" s="52"/>
      <c r="D570" s="52"/>
      <c r="E570" s="52"/>
      <c r="F570" s="4"/>
      <c r="G570" s="4"/>
      <c r="H570" s="52"/>
      <c r="I570" s="52"/>
      <c r="J570" s="52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52"/>
      <c r="C571" s="52"/>
      <c r="D571" s="52"/>
      <c r="E571" s="52"/>
      <c r="F571" s="4"/>
      <c r="G571" s="4"/>
      <c r="H571" s="52"/>
      <c r="I571" s="52"/>
      <c r="J571" s="52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52"/>
      <c r="C572" s="52"/>
      <c r="D572" s="52"/>
      <c r="E572" s="52"/>
      <c r="F572" s="4"/>
      <c r="G572" s="4"/>
      <c r="H572" s="52"/>
      <c r="I572" s="52"/>
      <c r="J572" s="52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52"/>
      <c r="C573" s="52"/>
      <c r="D573" s="52"/>
      <c r="E573" s="52"/>
      <c r="F573" s="4"/>
      <c r="G573" s="4"/>
      <c r="H573" s="52"/>
      <c r="I573" s="52"/>
      <c r="J573" s="52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52"/>
      <c r="C574" s="52"/>
      <c r="D574" s="52"/>
      <c r="E574" s="52"/>
      <c r="F574" s="4"/>
      <c r="G574" s="4"/>
      <c r="H574" s="52"/>
      <c r="I574" s="52"/>
      <c r="J574" s="52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52"/>
      <c r="C575" s="52"/>
      <c r="D575" s="52"/>
      <c r="E575" s="52"/>
      <c r="F575" s="4"/>
      <c r="G575" s="4"/>
      <c r="H575" s="52"/>
      <c r="I575" s="52"/>
      <c r="J575" s="52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52"/>
      <c r="C576" s="52"/>
      <c r="D576" s="52"/>
      <c r="E576" s="52"/>
      <c r="F576" s="4"/>
      <c r="G576" s="4"/>
      <c r="H576" s="52"/>
      <c r="I576" s="52"/>
      <c r="J576" s="52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52"/>
      <c r="C577" s="52"/>
      <c r="D577" s="52"/>
      <c r="E577" s="52"/>
      <c r="F577" s="4"/>
      <c r="G577" s="4"/>
      <c r="H577" s="52"/>
      <c r="I577" s="52"/>
      <c r="J577" s="52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52"/>
      <c r="C578" s="52"/>
      <c r="D578" s="52"/>
      <c r="E578" s="52"/>
      <c r="F578" s="4"/>
      <c r="G578" s="4"/>
      <c r="H578" s="52"/>
      <c r="I578" s="52"/>
      <c r="J578" s="52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52"/>
      <c r="C579" s="52"/>
      <c r="D579" s="52"/>
      <c r="E579" s="52"/>
      <c r="F579" s="4"/>
      <c r="G579" s="4"/>
      <c r="H579" s="52"/>
      <c r="I579" s="52"/>
      <c r="J579" s="52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52"/>
      <c r="C580" s="52"/>
      <c r="D580" s="52"/>
      <c r="E580" s="52"/>
      <c r="F580" s="4"/>
      <c r="G580" s="4"/>
      <c r="H580" s="52"/>
      <c r="I580" s="52"/>
      <c r="J580" s="52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52"/>
      <c r="C581" s="52"/>
      <c r="D581" s="52"/>
      <c r="E581" s="52"/>
      <c r="F581" s="4"/>
      <c r="G581" s="4"/>
      <c r="H581" s="52"/>
      <c r="I581" s="52"/>
      <c r="J581" s="52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52"/>
      <c r="C582" s="52"/>
      <c r="D582" s="52"/>
      <c r="E582" s="52"/>
      <c r="F582" s="4"/>
      <c r="G582" s="4"/>
      <c r="H582" s="52"/>
      <c r="I582" s="52"/>
      <c r="J582" s="52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52"/>
      <c r="C583" s="52"/>
      <c r="D583" s="52"/>
      <c r="E583" s="52"/>
      <c r="F583" s="4"/>
      <c r="G583" s="4"/>
      <c r="H583" s="52"/>
      <c r="I583" s="52"/>
      <c r="J583" s="52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52"/>
      <c r="C584" s="52"/>
      <c r="D584" s="52"/>
      <c r="E584" s="52"/>
      <c r="F584" s="4"/>
      <c r="G584" s="4"/>
      <c r="H584" s="52"/>
      <c r="I584" s="52"/>
      <c r="J584" s="52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52"/>
      <c r="C585" s="52"/>
      <c r="D585" s="52"/>
      <c r="E585" s="52"/>
      <c r="F585" s="4"/>
      <c r="G585" s="4"/>
      <c r="H585" s="52"/>
      <c r="I585" s="52"/>
      <c r="J585" s="52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52"/>
      <c r="C586" s="52"/>
      <c r="D586" s="52"/>
      <c r="E586" s="52"/>
      <c r="F586" s="4"/>
      <c r="G586" s="4"/>
      <c r="H586" s="52"/>
      <c r="I586" s="52"/>
      <c r="J586" s="52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52"/>
      <c r="C587" s="52"/>
      <c r="D587" s="52"/>
      <c r="E587" s="52"/>
      <c r="F587" s="4"/>
      <c r="G587" s="4"/>
      <c r="H587" s="52"/>
      <c r="I587" s="52"/>
      <c r="J587" s="52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52"/>
      <c r="C588" s="52"/>
      <c r="D588" s="52"/>
      <c r="E588" s="52"/>
      <c r="F588" s="4"/>
      <c r="G588" s="4"/>
      <c r="H588" s="52"/>
      <c r="I588" s="52"/>
      <c r="J588" s="52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52"/>
      <c r="C589" s="52"/>
      <c r="D589" s="52"/>
      <c r="E589" s="52"/>
      <c r="F589" s="4"/>
      <c r="G589" s="4"/>
      <c r="H589" s="52"/>
      <c r="I589" s="52"/>
      <c r="J589" s="52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52"/>
      <c r="C590" s="52"/>
      <c r="D590" s="52"/>
      <c r="E590" s="52"/>
      <c r="F590" s="4"/>
      <c r="G590" s="4"/>
      <c r="H590" s="52"/>
      <c r="I590" s="52"/>
      <c r="J590" s="52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52"/>
      <c r="C591" s="52"/>
      <c r="D591" s="52"/>
      <c r="E591" s="52"/>
      <c r="F591" s="4"/>
      <c r="G591" s="4"/>
      <c r="H591" s="52"/>
      <c r="I591" s="52"/>
      <c r="J591" s="52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52"/>
      <c r="C592" s="52"/>
      <c r="D592" s="52"/>
      <c r="E592" s="52"/>
      <c r="F592" s="4"/>
      <c r="G592" s="4"/>
      <c r="H592" s="52"/>
      <c r="I592" s="52"/>
      <c r="J592" s="52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52"/>
      <c r="C593" s="52"/>
      <c r="D593" s="52"/>
      <c r="E593" s="52"/>
      <c r="F593" s="4"/>
      <c r="G593" s="4"/>
      <c r="H593" s="52"/>
      <c r="I593" s="52"/>
      <c r="J593" s="52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52"/>
      <c r="C594" s="52"/>
      <c r="D594" s="52"/>
      <c r="E594" s="52"/>
      <c r="F594" s="4"/>
      <c r="G594" s="4"/>
      <c r="H594" s="52"/>
      <c r="I594" s="52"/>
      <c r="J594" s="52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52"/>
      <c r="C595" s="52"/>
      <c r="D595" s="52"/>
      <c r="E595" s="52"/>
      <c r="F595" s="4"/>
      <c r="G595" s="4"/>
      <c r="H595" s="52"/>
      <c r="I595" s="52"/>
      <c r="J595" s="52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52"/>
      <c r="C596" s="52"/>
      <c r="D596" s="52"/>
      <c r="E596" s="52"/>
      <c r="F596" s="4"/>
      <c r="G596" s="4"/>
      <c r="H596" s="52"/>
      <c r="I596" s="52"/>
      <c r="J596" s="52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52"/>
      <c r="C597" s="52"/>
      <c r="D597" s="52"/>
      <c r="E597" s="52"/>
      <c r="F597" s="4"/>
      <c r="G597" s="4"/>
      <c r="H597" s="52"/>
      <c r="I597" s="52"/>
      <c r="J597" s="52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52"/>
      <c r="C598" s="52"/>
      <c r="D598" s="52"/>
      <c r="E598" s="52"/>
      <c r="F598" s="4"/>
      <c r="G598" s="4"/>
      <c r="H598" s="52"/>
      <c r="I598" s="52"/>
      <c r="J598" s="52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52"/>
      <c r="C599" s="52"/>
      <c r="D599" s="52"/>
      <c r="E599" s="52"/>
      <c r="F599" s="4"/>
      <c r="G599" s="4"/>
      <c r="H599" s="52"/>
      <c r="I599" s="52"/>
      <c r="J599" s="52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52"/>
      <c r="C600" s="52"/>
      <c r="D600" s="52"/>
      <c r="E600" s="52"/>
      <c r="F600" s="4"/>
      <c r="G600" s="4"/>
      <c r="H600" s="52"/>
      <c r="I600" s="52"/>
      <c r="J600" s="52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52"/>
      <c r="C601" s="52"/>
      <c r="D601" s="52"/>
      <c r="E601" s="52"/>
      <c r="F601" s="4"/>
      <c r="G601" s="4"/>
      <c r="H601" s="52"/>
      <c r="I601" s="52"/>
      <c r="J601" s="52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52"/>
      <c r="C602" s="52"/>
      <c r="D602" s="52"/>
      <c r="E602" s="52"/>
      <c r="F602" s="4"/>
      <c r="G602" s="4"/>
      <c r="H602" s="52"/>
      <c r="I602" s="52"/>
      <c r="J602" s="52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52"/>
      <c r="C603" s="52"/>
      <c r="D603" s="52"/>
      <c r="E603" s="52"/>
      <c r="F603" s="4"/>
      <c r="G603" s="4"/>
      <c r="H603" s="52"/>
      <c r="I603" s="52"/>
      <c r="J603" s="52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52"/>
      <c r="C604" s="52"/>
      <c r="D604" s="52"/>
      <c r="E604" s="52"/>
      <c r="F604" s="4"/>
      <c r="G604" s="4"/>
      <c r="H604" s="52"/>
      <c r="I604" s="52"/>
      <c r="J604" s="52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52"/>
      <c r="C605" s="52"/>
      <c r="D605" s="52"/>
      <c r="E605" s="52"/>
      <c r="F605" s="4"/>
      <c r="G605" s="4"/>
      <c r="H605" s="52"/>
      <c r="I605" s="52"/>
      <c r="J605" s="52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52"/>
      <c r="C606" s="52"/>
      <c r="D606" s="52"/>
      <c r="E606" s="52"/>
      <c r="F606" s="4"/>
      <c r="G606" s="4"/>
      <c r="H606" s="52"/>
      <c r="I606" s="52"/>
      <c r="J606" s="52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52"/>
      <c r="C607" s="52"/>
      <c r="D607" s="52"/>
      <c r="E607" s="52"/>
      <c r="F607" s="4"/>
      <c r="G607" s="4"/>
      <c r="H607" s="52"/>
      <c r="I607" s="52"/>
      <c r="J607" s="52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52"/>
      <c r="C608" s="52"/>
      <c r="D608" s="52"/>
      <c r="E608" s="52"/>
      <c r="F608" s="4"/>
      <c r="G608" s="4"/>
      <c r="H608" s="52"/>
      <c r="I608" s="52"/>
      <c r="J608" s="52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52"/>
      <c r="C609" s="52"/>
      <c r="D609" s="52"/>
      <c r="E609" s="52"/>
      <c r="F609" s="4"/>
      <c r="G609" s="4"/>
      <c r="H609" s="52"/>
      <c r="I609" s="52"/>
      <c r="J609" s="52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52"/>
      <c r="C610" s="52"/>
      <c r="D610" s="52"/>
      <c r="E610" s="52"/>
      <c r="F610" s="4"/>
      <c r="G610" s="4"/>
      <c r="H610" s="52"/>
      <c r="I610" s="52"/>
      <c r="J610" s="52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52"/>
      <c r="C611" s="52"/>
      <c r="D611" s="52"/>
      <c r="E611" s="52"/>
      <c r="F611" s="4"/>
      <c r="G611" s="4"/>
      <c r="H611" s="52"/>
      <c r="I611" s="52"/>
      <c r="J611" s="52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52"/>
      <c r="C612" s="52"/>
      <c r="D612" s="52"/>
      <c r="E612" s="52"/>
      <c r="F612" s="4"/>
      <c r="G612" s="4"/>
      <c r="H612" s="52"/>
      <c r="I612" s="52"/>
      <c r="J612" s="52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52"/>
      <c r="C613" s="52"/>
      <c r="D613" s="52"/>
      <c r="E613" s="52"/>
      <c r="F613" s="4"/>
      <c r="G613" s="4"/>
      <c r="H613" s="52"/>
      <c r="I613" s="52"/>
      <c r="J613" s="52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52"/>
      <c r="C614" s="52"/>
      <c r="D614" s="52"/>
      <c r="E614" s="52"/>
      <c r="F614" s="4"/>
      <c r="G614" s="4"/>
      <c r="H614" s="52"/>
      <c r="I614" s="52"/>
      <c r="J614" s="52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52"/>
      <c r="C615" s="52"/>
      <c r="D615" s="52"/>
      <c r="E615" s="52"/>
      <c r="F615" s="4"/>
      <c r="G615" s="4"/>
      <c r="H615" s="52"/>
      <c r="I615" s="52"/>
      <c r="J615" s="52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52"/>
      <c r="C616" s="52"/>
      <c r="D616" s="52"/>
      <c r="E616" s="52"/>
      <c r="F616" s="4"/>
      <c r="G616" s="4"/>
      <c r="H616" s="52"/>
      <c r="I616" s="52"/>
      <c r="J616" s="52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52"/>
      <c r="C617" s="52"/>
      <c r="D617" s="52"/>
      <c r="E617" s="52"/>
      <c r="F617" s="4"/>
      <c r="G617" s="4"/>
      <c r="H617" s="52"/>
      <c r="I617" s="52"/>
      <c r="J617" s="52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52"/>
      <c r="C618" s="52"/>
      <c r="D618" s="52"/>
      <c r="E618" s="52"/>
      <c r="F618" s="4"/>
      <c r="G618" s="4"/>
      <c r="H618" s="52"/>
      <c r="I618" s="52"/>
      <c r="J618" s="52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52"/>
      <c r="C619" s="52"/>
      <c r="D619" s="52"/>
      <c r="E619" s="52"/>
      <c r="F619" s="4"/>
      <c r="G619" s="4"/>
      <c r="H619" s="52"/>
      <c r="I619" s="52"/>
      <c r="J619" s="52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52"/>
      <c r="C620" s="52"/>
      <c r="D620" s="52"/>
      <c r="E620" s="52"/>
      <c r="F620" s="4"/>
      <c r="G620" s="4"/>
      <c r="H620" s="52"/>
      <c r="I620" s="52"/>
      <c r="J620" s="52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52"/>
      <c r="C621" s="52"/>
      <c r="D621" s="52"/>
      <c r="E621" s="52"/>
      <c r="F621" s="4"/>
      <c r="G621" s="4"/>
      <c r="H621" s="52"/>
      <c r="I621" s="52"/>
      <c r="J621" s="52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52"/>
      <c r="C622" s="52"/>
      <c r="D622" s="52"/>
      <c r="E622" s="52"/>
      <c r="F622" s="4"/>
      <c r="G622" s="4"/>
      <c r="H622" s="52"/>
      <c r="I622" s="52"/>
      <c r="J622" s="52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52"/>
      <c r="C623" s="52"/>
      <c r="D623" s="52"/>
      <c r="E623" s="52"/>
      <c r="F623" s="4"/>
      <c r="G623" s="4"/>
      <c r="H623" s="52"/>
      <c r="I623" s="52"/>
      <c r="J623" s="52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52"/>
      <c r="C624" s="52"/>
      <c r="D624" s="52"/>
      <c r="E624" s="52"/>
      <c r="F624" s="4"/>
      <c r="G624" s="4"/>
      <c r="H624" s="52"/>
      <c r="I624" s="52"/>
      <c r="J624" s="52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52"/>
      <c r="C625" s="52"/>
      <c r="D625" s="52"/>
      <c r="E625" s="52"/>
      <c r="F625" s="4"/>
      <c r="G625" s="4"/>
      <c r="H625" s="52"/>
      <c r="I625" s="52"/>
      <c r="J625" s="52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52"/>
      <c r="C626" s="52"/>
      <c r="D626" s="52"/>
      <c r="E626" s="52"/>
      <c r="F626" s="4"/>
      <c r="G626" s="4"/>
      <c r="H626" s="52"/>
      <c r="I626" s="52"/>
      <c r="J626" s="52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52"/>
      <c r="C627" s="52"/>
      <c r="D627" s="52"/>
      <c r="E627" s="52"/>
      <c r="F627" s="4"/>
      <c r="G627" s="4"/>
      <c r="H627" s="52"/>
      <c r="I627" s="52"/>
      <c r="J627" s="52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52"/>
      <c r="C628" s="52"/>
      <c r="D628" s="52"/>
      <c r="E628" s="52"/>
      <c r="F628" s="4"/>
      <c r="G628" s="4"/>
      <c r="H628" s="52"/>
      <c r="I628" s="52"/>
      <c r="J628" s="52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52"/>
      <c r="C629" s="52"/>
      <c r="D629" s="52"/>
      <c r="E629" s="52"/>
      <c r="F629" s="4"/>
      <c r="G629" s="4"/>
      <c r="H629" s="52"/>
      <c r="I629" s="52"/>
      <c r="J629" s="52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52"/>
      <c r="C630" s="52"/>
      <c r="D630" s="52"/>
      <c r="E630" s="52"/>
      <c r="F630" s="4"/>
      <c r="G630" s="4"/>
      <c r="H630" s="52"/>
      <c r="I630" s="52"/>
      <c r="J630" s="52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52"/>
      <c r="C631" s="52"/>
      <c r="D631" s="52"/>
      <c r="E631" s="52"/>
      <c r="F631" s="4"/>
      <c r="G631" s="4"/>
      <c r="H631" s="52"/>
      <c r="I631" s="52"/>
      <c r="J631" s="52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52"/>
      <c r="C632" s="52"/>
      <c r="D632" s="52"/>
      <c r="E632" s="52"/>
      <c r="F632" s="4"/>
      <c r="G632" s="4"/>
      <c r="H632" s="52"/>
      <c r="I632" s="52"/>
      <c r="J632" s="52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52"/>
      <c r="C633" s="52"/>
      <c r="D633" s="52"/>
      <c r="E633" s="52"/>
      <c r="F633" s="4"/>
      <c r="G633" s="4"/>
      <c r="H633" s="52"/>
      <c r="I633" s="52"/>
      <c r="J633" s="52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52"/>
      <c r="C634" s="52"/>
      <c r="D634" s="52"/>
      <c r="E634" s="52"/>
      <c r="F634" s="4"/>
      <c r="G634" s="4"/>
      <c r="H634" s="52"/>
      <c r="I634" s="52"/>
      <c r="J634" s="52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52"/>
      <c r="C635" s="52"/>
      <c r="D635" s="52"/>
      <c r="E635" s="52"/>
      <c r="F635" s="4"/>
      <c r="G635" s="4"/>
      <c r="H635" s="52"/>
      <c r="I635" s="52"/>
      <c r="J635" s="52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52"/>
      <c r="C636" s="52"/>
      <c r="D636" s="52"/>
      <c r="E636" s="52"/>
      <c r="F636" s="4"/>
      <c r="G636" s="4"/>
      <c r="H636" s="52"/>
      <c r="I636" s="52"/>
      <c r="J636" s="52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52"/>
      <c r="C637" s="52"/>
      <c r="D637" s="52"/>
      <c r="E637" s="52"/>
      <c r="F637" s="4"/>
      <c r="G637" s="4"/>
      <c r="H637" s="52"/>
      <c r="I637" s="52"/>
      <c r="J637" s="52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52"/>
      <c r="C638" s="52"/>
      <c r="D638" s="52"/>
      <c r="E638" s="52"/>
      <c r="F638" s="4"/>
      <c r="G638" s="4"/>
      <c r="H638" s="52"/>
      <c r="I638" s="52"/>
      <c r="J638" s="52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52"/>
      <c r="C639" s="52"/>
      <c r="D639" s="52"/>
      <c r="E639" s="52"/>
      <c r="F639" s="4"/>
      <c r="G639" s="4"/>
      <c r="H639" s="52"/>
      <c r="I639" s="52"/>
      <c r="J639" s="52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52"/>
      <c r="C640" s="52"/>
      <c r="D640" s="52"/>
      <c r="E640" s="52"/>
      <c r="F640" s="4"/>
      <c r="G640" s="4"/>
      <c r="H640" s="52"/>
      <c r="I640" s="52"/>
      <c r="J640" s="52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52"/>
      <c r="C641" s="52"/>
      <c r="D641" s="52"/>
      <c r="E641" s="52"/>
      <c r="F641" s="4"/>
      <c r="G641" s="4"/>
      <c r="H641" s="52"/>
      <c r="I641" s="52"/>
      <c r="J641" s="52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52"/>
      <c r="C642" s="52"/>
      <c r="D642" s="52"/>
      <c r="E642" s="52"/>
      <c r="F642" s="4"/>
      <c r="G642" s="4"/>
      <c r="H642" s="52"/>
      <c r="I642" s="52"/>
      <c r="J642" s="52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52"/>
      <c r="C643" s="52"/>
      <c r="D643" s="52"/>
      <c r="E643" s="52"/>
      <c r="F643" s="4"/>
      <c r="G643" s="4"/>
      <c r="H643" s="52"/>
      <c r="I643" s="52"/>
      <c r="J643" s="52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52"/>
      <c r="C644" s="52"/>
      <c r="D644" s="52"/>
      <c r="E644" s="52"/>
      <c r="F644" s="4"/>
      <c r="G644" s="4"/>
      <c r="H644" s="52"/>
      <c r="I644" s="52"/>
      <c r="J644" s="52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52"/>
      <c r="C645" s="52"/>
      <c r="D645" s="52"/>
      <c r="E645" s="52"/>
      <c r="F645" s="4"/>
      <c r="G645" s="4"/>
      <c r="H645" s="52"/>
      <c r="I645" s="52"/>
      <c r="J645" s="52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52"/>
      <c r="C646" s="52"/>
      <c r="D646" s="52"/>
      <c r="E646" s="52"/>
      <c r="F646" s="4"/>
      <c r="G646" s="4"/>
      <c r="H646" s="52"/>
      <c r="I646" s="52"/>
      <c r="J646" s="52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52"/>
      <c r="C647" s="52"/>
      <c r="D647" s="52"/>
      <c r="E647" s="52"/>
      <c r="F647" s="4"/>
      <c r="G647" s="4"/>
      <c r="H647" s="52"/>
      <c r="I647" s="52"/>
      <c r="J647" s="52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52"/>
      <c r="C648" s="52"/>
      <c r="D648" s="52"/>
      <c r="E648" s="52"/>
      <c r="F648" s="4"/>
      <c r="G648" s="4"/>
      <c r="H648" s="52"/>
      <c r="I648" s="52"/>
      <c r="J648" s="52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52"/>
      <c r="C649" s="52"/>
      <c r="D649" s="52"/>
      <c r="E649" s="52"/>
      <c r="F649" s="4"/>
      <c r="G649" s="4"/>
      <c r="H649" s="52"/>
      <c r="I649" s="52"/>
      <c r="J649" s="52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52"/>
      <c r="C650" s="52"/>
      <c r="D650" s="52"/>
      <c r="E650" s="52"/>
      <c r="F650" s="4"/>
      <c r="G650" s="4"/>
      <c r="H650" s="52"/>
      <c r="I650" s="52"/>
      <c r="J650" s="52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52"/>
      <c r="C651" s="52"/>
      <c r="D651" s="52"/>
      <c r="E651" s="52"/>
      <c r="F651" s="4"/>
      <c r="G651" s="4"/>
      <c r="H651" s="52"/>
      <c r="I651" s="52"/>
      <c r="J651" s="52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52"/>
      <c r="C652" s="52"/>
      <c r="D652" s="52"/>
      <c r="E652" s="52"/>
      <c r="F652" s="4"/>
      <c r="G652" s="4"/>
      <c r="H652" s="52"/>
      <c r="I652" s="52"/>
      <c r="J652" s="52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52"/>
      <c r="C653" s="52"/>
      <c r="D653" s="52"/>
      <c r="E653" s="52"/>
      <c r="F653" s="4"/>
      <c r="G653" s="4"/>
      <c r="H653" s="52"/>
      <c r="I653" s="52"/>
      <c r="J653" s="52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52"/>
      <c r="C654" s="52"/>
      <c r="D654" s="52"/>
      <c r="E654" s="52"/>
      <c r="F654" s="4"/>
      <c r="G654" s="4"/>
      <c r="H654" s="52"/>
      <c r="I654" s="52"/>
      <c r="J654" s="52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52"/>
      <c r="C655" s="52"/>
      <c r="D655" s="52"/>
      <c r="E655" s="52"/>
      <c r="F655" s="4"/>
      <c r="G655" s="4"/>
      <c r="H655" s="52"/>
      <c r="I655" s="52"/>
      <c r="J655" s="52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52"/>
      <c r="C656" s="52"/>
      <c r="D656" s="52"/>
      <c r="E656" s="52"/>
      <c r="F656" s="4"/>
      <c r="G656" s="4"/>
      <c r="H656" s="52"/>
      <c r="I656" s="52"/>
      <c r="J656" s="52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52"/>
      <c r="C657" s="52"/>
      <c r="D657" s="52"/>
      <c r="E657" s="52"/>
      <c r="F657" s="4"/>
      <c r="G657" s="4"/>
      <c r="H657" s="52"/>
      <c r="I657" s="52"/>
      <c r="J657" s="52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52"/>
      <c r="C658" s="52"/>
      <c r="D658" s="52"/>
      <c r="E658" s="52"/>
      <c r="F658" s="4"/>
      <c r="G658" s="4"/>
      <c r="H658" s="52"/>
      <c r="I658" s="52"/>
      <c r="J658" s="52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52"/>
      <c r="C659" s="52"/>
      <c r="D659" s="52"/>
      <c r="E659" s="52"/>
      <c r="F659" s="4"/>
      <c r="G659" s="4"/>
      <c r="H659" s="52"/>
      <c r="I659" s="52"/>
      <c r="J659" s="52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52"/>
      <c r="C660" s="52"/>
      <c r="D660" s="52"/>
      <c r="E660" s="52"/>
      <c r="F660" s="4"/>
      <c r="G660" s="4"/>
      <c r="H660" s="52"/>
      <c r="I660" s="52"/>
      <c r="J660" s="52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52"/>
      <c r="C661" s="52"/>
      <c r="D661" s="52"/>
      <c r="E661" s="52"/>
      <c r="F661" s="4"/>
      <c r="G661" s="4"/>
      <c r="H661" s="52"/>
      <c r="I661" s="52"/>
      <c r="J661" s="52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52"/>
      <c r="C662" s="52"/>
      <c r="D662" s="52"/>
      <c r="E662" s="52"/>
      <c r="F662" s="4"/>
      <c r="G662" s="4"/>
      <c r="H662" s="52"/>
      <c r="I662" s="52"/>
      <c r="J662" s="52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52"/>
      <c r="C663" s="52"/>
      <c r="D663" s="52"/>
      <c r="E663" s="52"/>
      <c r="F663" s="4"/>
      <c r="G663" s="4"/>
      <c r="H663" s="52"/>
      <c r="I663" s="52"/>
      <c r="J663" s="52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52"/>
      <c r="C664" s="52"/>
      <c r="D664" s="52"/>
      <c r="E664" s="52"/>
      <c r="F664" s="4"/>
      <c r="G664" s="4"/>
      <c r="H664" s="52"/>
      <c r="I664" s="52"/>
      <c r="J664" s="52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52"/>
      <c r="C665" s="52"/>
      <c r="D665" s="52"/>
      <c r="E665" s="52"/>
      <c r="F665" s="4"/>
      <c r="G665" s="4"/>
      <c r="H665" s="52"/>
      <c r="I665" s="52"/>
      <c r="J665" s="52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52"/>
      <c r="C666" s="52"/>
      <c r="D666" s="52"/>
      <c r="E666" s="52"/>
      <c r="F666" s="4"/>
      <c r="G666" s="4"/>
      <c r="H666" s="52"/>
      <c r="I666" s="52"/>
      <c r="J666" s="52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52"/>
      <c r="C667" s="52"/>
      <c r="D667" s="52"/>
      <c r="E667" s="52"/>
      <c r="F667" s="4"/>
      <c r="G667" s="4"/>
      <c r="H667" s="52"/>
      <c r="I667" s="52"/>
      <c r="J667" s="52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52"/>
      <c r="C668" s="52"/>
      <c r="D668" s="52"/>
      <c r="E668" s="52"/>
      <c r="F668" s="4"/>
      <c r="G668" s="4"/>
      <c r="H668" s="52"/>
      <c r="I668" s="52"/>
      <c r="J668" s="52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52"/>
      <c r="C669" s="52"/>
      <c r="D669" s="52"/>
      <c r="E669" s="52"/>
      <c r="F669" s="4"/>
      <c r="G669" s="4"/>
      <c r="H669" s="52"/>
      <c r="I669" s="52"/>
      <c r="J669" s="52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52"/>
      <c r="C670" s="52"/>
      <c r="D670" s="52"/>
      <c r="E670" s="52"/>
      <c r="F670" s="4"/>
      <c r="G670" s="4"/>
      <c r="H670" s="52"/>
      <c r="I670" s="52"/>
      <c r="J670" s="52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52"/>
      <c r="C671" s="52"/>
      <c r="D671" s="52"/>
      <c r="E671" s="52"/>
      <c r="F671" s="4"/>
      <c r="G671" s="4"/>
      <c r="H671" s="52"/>
      <c r="I671" s="52"/>
      <c r="J671" s="52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52"/>
      <c r="C672" s="52"/>
      <c r="D672" s="52"/>
      <c r="E672" s="52"/>
      <c r="F672" s="4"/>
      <c r="G672" s="4"/>
      <c r="H672" s="52"/>
      <c r="I672" s="52"/>
      <c r="J672" s="52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52"/>
      <c r="C673" s="52"/>
      <c r="D673" s="52"/>
      <c r="E673" s="52"/>
      <c r="F673" s="4"/>
      <c r="G673" s="4"/>
      <c r="H673" s="52"/>
      <c r="I673" s="52"/>
      <c r="J673" s="52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52"/>
      <c r="C674" s="52"/>
      <c r="D674" s="52"/>
      <c r="E674" s="52"/>
      <c r="F674" s="4"/>
      <c r="G674" s="4"/>
      <c r="H674" s="52"/>
      <c r="I674" s="52"/>
      <c r="J674" s="52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52"/>
      <c r="C675" s="52"/>
      <c r="D675" s="52"/>
      <c r="E675" s="52"/>
      <c r="F675" s="4"/>
      <c r="G675" s="4"/>
      <c r="H675" s="52"/>
      <c r="I675" s="52"/>
      <c r="J675" s="52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52"/>
      <c r="C676" s="52"/>
      <c r="D676" s="52"/>
      <c r="E676" s="52"/>
      <c r="F676" s="4"/>
      <c r="G676" s="4"/>
      <c r="H676" s="52"/>
      <c r="I676" s="52"/>
      <c r="J676" s="52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52"/>
      <c r="C677" s="52"/>
      <c r="D677" s="52"/>
      <c r="E677" s="52"/>
      <c r="F677" s="4"/>
      <c r="G677" s="4"/>
      <c r="H677" s="52"/>
      <c r="I677" s="52"/>
      <c r="J677" s="52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52"/>
      <c r="C678" s="52"/>
      <c r="D678" s="52"/>
      <c r="E678" s="52"/>
      <c r="F678" s="4"/>
      <c r="G678" s="4"/>
      <c r="H678" s="52"/>
      <c r="I678" s="52"/>
      <c r="J678" s="52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52"/>
      <c r="C679" s="52"/>
      <c r="D679" s="52"/>
      <c r="E679" s="52"/>
      <c r="F679" s="4"/>
      <c r="G679" s="4"/>
      <c r="H679" s="52"/>
      <c r="I679" s="52"/>
      <c r="J679" s="52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52"/>
      <c r="C680" s="52"/>
      <c r="D680" s="52"/>
      <c r="E680" s="52"/>
      <c r="F680" s="4"/>
      <c r="G680" s="4"/>
      <c r="H680" s="52"/>
      <c r="I680" s="52"/>
      <c r="J680" s="52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52"/>
      <c r="C681" s="52"/>
      <c r="D681" s="52"/>
      <c r="E681" s="52"/>
      <c r="F681" s="4"/>
      <c r="G681" s="4"/>
      <c r="H681" s="52"/>
      <c r="I681" s="52"/>
      <c r="J681" s="52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52"/>
      <c r="C682" s="52"/>
      <c r="D682" s="52"/>
      <c r="E682" s="52"/>
      <c r="F682" s="4"/>
      <c r="G682" s="4"/>
      <c r="H682" s="52"/>
      <c r="I682" s="52"/>
      <c r="J682" s="52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52"/>
      <c r="C683" s="52"/>
      <c r="D683" s="52"/>
      <c r="E683" s="52"/>
      <c r="F683" s="4"/>
      <c r="G683" s="4"/>
      <c r="H683" s="52"/>
      <c r="I683" s="52"/>
      <c r="J683" s="52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52"/>
      <c r="C684" s="52"/>
      <c r="D684" s="52"/>
      <c r="E684" s="52"/>
      <c r="F684" s="4"/>
      <c r="G684" s="4"/>
      <c r="H684" s="52"/>
      <c r="I684" s="52"/>
      <c r="J684" s="52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52"/>
      <c r="C685" s="52"/>
      <c r="D685" s="52"/>
      <c r="E685" s="52"/>
      <c r="F685" s="4"/>
      <c r="G685" s="4"/>
      <c r="H685" s="52"/>
      <c r="I685" s="52"/>
      <c r="J685" s="52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52"/>
      <c r="C686" s="52"/>
      <c r="D686" s="52"/>
      <c r="E686" s="52"/>
      <c r="F686" s="4"/>
      <c r="G686" s="4"/>
      <c r="H686" s="52"/>
      <c r="I686" s="52"/>
      <c r="J686" s="52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52"/>
      <c r="C687" s="52"/>
      <c r="D687" s="52"/>
      <c r="E687" s="52"/>
      <c r="F687" s="4"/>
      <c r="G687" s="4"/>
      <c r="H687" s="52"/>
      <c r="I687" s="52"/>
      <c r="J687" s="52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52"/>
      <c r="C688" s="52"/>
      <c r="D688" s="52"/>
      <c r="E688" s="52"/>
      <c r="F688" s="4"/>
      <c r="G688" s="4"/>
      <c r="H688" s="52"/>
      <c r="I688" s="52"/>
      <c r="J688" s="52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52"/>
      <c r="C689" s="52"/>
      <c r="D689" s="52"/>
      <c r="E689" s="52"/>
      <c r="F689" s="4"/>
      <c r="G689" s="4"/>
      <c r="H689" s="52"/>
      <c r="I689" s="52"/>
      <c r="J689" s="52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52"/>
      <c r="C690" s="52"/>
      <c r="D690" s="52"/>
      <c r="E690" s="52"/>
      <c r="F690" s="4"/>
      <c r="G690" s="4"/>
      <c r="H690" s="52"/>
      <c r="I690" s="52"/>
      <c r="J690" s="52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52"/>
      <c r="C691" s="52"/>
      <c r="D691" s="52"/>
      <c r="E691" s="52"/>
      <c r="F691" s="4"/>
      <c r="G691" s="4"/>
      <c r="H691" s="52"/>
      <c r="I691" s="52"/>
      <c r="J691" s="52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52"/>
      <c r="C692" s="52"/>
      <c r="D692" s="52"/>
      <c r="E692" s="52"/>
      <c r="F692" s="4"/>
      <c r="G692" s="4"/>
      <c r="H692" s="52"/>
      <c r="I692" s="52"/>
      <c r="J692" s="52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52"/>
      <c r="C693" s="52"/>
      <c r="D693" s="52"/>
      <c r="E693" s="52"/>
      <c r="F693" s="4"/>
      <c r="G693" s="4"/>
      <c r="H693" s="52"/>
      <c r="I693" s="52"/>
      <c r="J693" s="52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52"/>
      <c r="C694" s="52"/>
      <c r="D694" s="52"/>
      <c r="E694" s="52"/>
      <c r="F694" s="4"/>
      <c r="G694" s="4"/>
      <c r="H694" s="52"/>
      <c r="I694" s="52"/>
      <c r="J694" s="52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52"/>
      <c r="C695" s="52"/>
      <c r="D695" s="52"/>
      <c r="E695" s="52"/>
      <c r="F695" s="4"/>
      <c r="G695" s="4"/>
      <c r="H695" s="52"/>
      <c r="I695" s="52"/>
      <c r="J695" s="52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52"/>
      <c r="C696" s="52"/>
      <c r="D696" s="52"/>
      <c r="E696" s="52"/>
      <c r="F696" s="4"/>
      <c r="G696" s="4"/>
      <c r="H696" s="52"/>
      <c r="I696" s="52"/>
      <c r="J696" s="52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52"/>
      <c r="C697" s="52"/>
      <c r="D697" s="52"/>
      <c r="E697" s="52"/>
      <c r="F697" s="4"/>
      <c r="G697" s="4"/>
      <c r="H697" s="52"/>
      <c r="I697" s="52"/>
      <c r="J697" s="52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52"/>
      <c r="C698" s="52"/>
      <c r="D698" s="52"/>
      <c r="E698" s="52"/>
      <c r="F698" s="4"/>
      <c r="G698" s="4"/>
      <c r="H698" s="52"/>
      <c r="I698" s="52"/>
      <c r="J698" s="52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52"/>
      <c r="C699" s="52"/>
      <c r="D699" s="52"/>
      <c r="E699" s="52"/>
      <c r="F699" s="4"/>
      <c r="G699" s="4"/>
      <c r="H699" s="52"/>
      <c r="I699" s="52"/>
      <c r="J699" s="52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52"/>
      <c r="C700" s="52"/>
      <c r="D700" s="52"/>
      <c r="E700" s="52"/>
      <c r="F700" s="4"/>
      <c r="G700" s="4"/>
      <c r="H700" s="52"/>
      <c r="I700" s="52"/>
      <c r="J700" s="52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52"/>
      <c r="C701" s="52"/>
      <c r="D701" s="52"/>
      <c r="E701" s="52"/>
      <c r="F701" s="4"/>
      <c r="G701" s="4"/>
      <c r="H701" s="52"/>
      <c r="I701" s="52"/>
      <c r="J701" s="52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52"/>
      <c r="C702" s="52"/>
      <c r="D702" s="52"/>
      <c r="E702" s="52"/>
      <c r="F702" s="4"/>
      <c r="G702" s="4"/>
      <c r="H702" s="52"/>
      <c r="I702" s="52"/>
      <c r="J702" s="52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52"/>
      <c r="C703" s="52"/>
      <c r="D703" s="52"/>
      <c r="E703" s="52"/>
      <c r="F703" s="4"/>
      <c r="G703" s="4"/>
      <c r="H703" s="52"/>
      <c r="I703" s="52"/>
      <c r="J703" s="52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52"/>
      <c r="C704" s="52"/>
      <c r="D704" s="52"/>
      <c r="E704" s="52"/>
      <c r="F704" s="4"/>
      <c r="G704" s="4"/>
      <c r="H704" s="52"/>
      <c r="I704" s="52"/>
      <c r="J704" s="52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52"/>
      <c r="C705" s="52"/>
      <c r="D705" s="52"/>
      <c r="E705" s="52"/>
      <c r="F705" s="4"/>
      <c r="G705" s="4"/>
      <c r="H705" s="52"/>
      <c r="I705" s="52"/>
      <c r="J705" s="52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52"/>
      <c r="C706" s="52"/>
      <c r="D706" s="52"/>
      <c r="E706" s="52"/>
      <c r="F706" s="4"/>
      <c r="G706" s="4"/>
      <c r="H706" s="52"/>
      <c r="I706" s="52"/>
      <c r="J706" s="52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52"/>
      <c r="C707" s="52"/>
      <c r="D707" s="52"/>
      <c r="E707" s="52"/>
      <c r="F707" s="4"/>
      <c r="G707" s="4"/>
      <c r="H707" s="52"/>
      <c r="I707" s="52"/>
      <c r="J707" s="52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52"/>
      <c r="C708" s="52"/>
      <c r="D708" s="52"/>
      <c r="E708" s="52"/>
      <c r="F708" s="4"/>
      <c r="G708" s="4"/>
      <c r="H708" s="52"/>
      <c r="I708" s="52"/>
      <c r="J708" s="52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52"/>
      <c r="C709" s="52"/>
      <c r="D709" s="52"/>
      <c r="E709" s="52"/>
      <c r="F709" s="4"/>
      <c r="G709" s="4"/>
      <c r="H709" s="52"/>
      <c r="I709" s="52"/>
      <c r="J709" s="52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52"/>
      <c r="C710" s="52"/>
      <c r="D710" s="52"/>
      <c r="E710" s="52"/>
      <c r="F710" s="4"/>
      <c r="G710" s="4"/>
      <c r="H710" s="52"/>
      <c r="I710" s="52"/>
      <c r="J710" s="52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52"/>
      <c r="C711" s="52"/>
      <c r="D711" s="52"/>
      <c r="E711" s="52"/>
      <c r="F711" s="4"/>
      <c r="G711" s="4"/>
      <c r="H711" s="52"/>
      <c r="I711" s="52"/>
      <c r="J711" s="52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52"/>
      <c r="C712" s="52"/>
      <c r="D712" s="52"/>
      <c r="E712" s="52"/>
      <c r="F712" s="4"/>
      <c r="G712" s="4"/>
      <c r="H712" s="52"/>
      <c r="I712" s="52"/>
      <c r="J712" s="52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52"/>
      <c r="C713" s="52"/>
      <c r="D713" s="52"/>
      <c r="E713" s="52"/>
      <c r="F713" s="4"/>
      <c r="G713" s="4"/>
      <c r="H713" s="52"/>
      <c r="I713" s="52"/>
      <c r="J713" s="52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52"/>
      <c r="C714" s="52"/>
      <c r="D714" s="52"/>
      <c r="E714" s="52"/>
      <c r="F714" s="4"/>
      <c r="G714" s="4"/>
      <c r="H714" s="52"/>
      <c r="I714" s="52"/>
      <c r="J714" s="52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52"/>
      <c r="C715" s="52"/>
      <c r="D715" s="52"/>
      <c r="E715" s="52"/>
      <c r="F715" s="4"/>
      <c r="G715" s="4"/>
      <c r="H715" s="52"/>
      <c r="I715" s="52"/>
      <c r="J715" s="52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52"/>
      <c r="C716" s="52"/>
      <c r="D716" s="52"/>
      <c r="E716" s="52"/>
      <c r="F716" s="4"/>
      <c r="G716" s="4"/>
      <c r="H716" s="52"/>
      <c r="I716" s="52"/>
      <c r="J716" s="52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52"/>
      <c r="C717" s="52"/>
      <c r="D717" s="52"/>
      <c r="E717" s="52"/>
      <c r="F717" s="4"/>
      <c r="G717" s="4"/>
      <c r="H717" s="52"/>
      <c r="I717" s="52"/>
      <c r="J717" s="52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52"/>
      <c r="C718" s="52"/>
      <c r="D718" s="52"/>
      <c r="E718" s="52"/>
      <c r="F718" s="4"/>
      <c r="G718" s="4"/>
      <c r="H718" s="52"/>
      <c r="I718" s="52"/>
      <c r="J718" s="52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52"/>
      <c r="C719" s="52"/>
      <c r="D719" s="52"/>
      <c r="E719" s="52"/>
      <c r="F719" s="4"/>
      <c r="G719" s="4"/>
      <c r="H719" s="52"/>
      <c r="I719" s="52"/>
      <c r="J719" s="52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52"/>
      <c r="C720" s="52"/>
      <c r="D720" s="52"/>
      <c r="E720" s="52"/>
      <c r="F720" s="4"/>
      <c r="G720" s="4"/>
      <c r="H720" s="52"/>
      <c r="I720" s="52"/>
      <c r="J720" s="52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52"/>
      <c r="C721" s="52"/>
      <c r="D721" s="52"/>
      <c r="E721" s="52"/>
      <c r="F721" s="4"/>
      <c r="G721" s="4"/>
      <c r="H721" s="52"/>
      <c r="I721" s="52"/>
      <c r="J721" s="52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52"/>
      <c r="C722" s="52"/>
      <c r="D722" s="52"/>
      <c r="E722" s="52"/>
      <c r="F722" s="4"/>
      <c r="G722" s="4"/>
      <c r="H722" s="52"/>
      <c r="I722" s="52"/>
      <c r="J722" s="52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52"/>
      <c r="C723" s="52"/>
      <c r="D723" s="52"/>
      <c r="E723" s="52"/>
      <c r="F723" s="4"/>
      <c r="G723" s="4"/>
      <c r="H723" s="52"/>
      <c r="I723" s="52"/>
      <c r="J723" s="52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52"/>
      <c r="C724" s="52"/>
      <c r="D724" s="52"/>
      <c r="E724" s="52"/>
      <c r="F724" s="4"/>
      <c r="G724" s="4"/>
      <c r="H724" s="52"/>
      <c r="I724" s="52"/>
      <c r="J724" s="52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52"/>
      <c r="C725" s="52"/>
      <c r="D725" s="52"/>
      <c r="E725" s="52"/>
      <c r="F725" s="4"/>
      <c r="G725" s="4"/>
      <c r="H725" s="52"/>
      <c r="I725" s="52"/>
      <c r="J725" s="52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52"/>
      <c r="C726" s="52"/>
      <c r="D726" s="52"/>
      <c r="E726" s="52"/>
      <c r="F726" s="4"/>
      <c r="G726" s="4"/>
      <c r="H726" s="52"/>
      <c r="I726" s="52"/>
      <c r="J726" s="52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52"/>
      <c r="C727" s="52"/>
      <c r="D727" s="52"/>
      <c r="E727" s="52"/>
      <c r="F727" s="4"/>
      <c r="G727" s="4"/>
      <c r="H727" s="52"/>
      <c r="I727" s="52"/>
      <c r="J727" s="52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52"/>
      <c r="C728" s="52"/>
      <c r="D728" s="52"/>
      <c r="E728" s="52"/>
      <c r="F728" s="4"/>
      <c r="G728" s="4"/>
      <c r="H728" s="52"/>
      <c r="I728" s="52"/>
      <c r="J728" s="52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52"/>
      <c r="C729" s="52"/>
      <c r="D729" s="52"/>
      <c r="E729" s="52"/>
      <c r="F729" s="4"/>
      <c r="G729" s="4"/>
      <c r="H729" s="52"/>
      <c r="I729" s="52"/>
      <c r="J729" s="52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52"/>
      <c r="C730" s="52"/>
      <c r="D730" s="52"/>
      <c r="E730" s="52"/>
      <c r="F730" s="4"/>
      <c r="G730" s="4"/>
      <c r="H730" s="52"/>
      <c r="I730" s="52"/>
      <c r="J730" s="52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52"/>
      <c r="C731" s="52"/>
      <c r="D731" s="52"/>
      <c r="E731" s="52"/>
      <c r="F731" s="4"/>
      <c r="G731" s="4"/>
      <c r="H731" s="52"/>
      <c r="I731" s="52"/>
      <c r="J731" s="52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52"/>
      <c r="C732" s="52"/>
      <c r="D732" s="52"/>
      <c r="E732" s="52"/>
      <c r="F732" s="4"/>
      <c r="G732" s="4"/>
      <c r="H732" s="52"/>
      <c r="I732" s="52"/>
      <c r="J732" s="52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52"/>
      <c r="C733" s="52"/>
      <c r="D733" s="52"/>
      <c r="E733" s="52"/>
      <c r="F733" s="4"/>
      <c r="G733" s="4"/>
      <c r="H733" s="52"/>
      <c r="I733" s="52"/>
      <c r="J733" s="52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52"/>
      <c r="C734" s="52"/>
      <c r="D734" s="52"/>
      <c r="E734" s="52"/>
      <c r="F734" s="4"/>
      <c r="G734" s="4"/>
      <c r="H734" s="52"/>
      <c r="I734" s="52"/>
      <c r="J734" s="52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52"/>
      <c r="C735" s="52"/>
      <c r="D735" s="52"/>
      <c r="E735" s="52"/>
      <c r="F735" s="4"/>
      <c r="G735" s="4"/>
      <c r="H735" s="52"/>
      <c r="I735" s="52"/>
      <c r="J735" s="52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52"/>
      <c r="C736" s="52"/>
      <c r="D736" s="52"/>
      <c r="E736" s="52"/>
      <c r="F736" s="4"/>
      <c r="G736" s="4"/>
      <c r="H736" s="52"/>
      <c r="I736" s="52"/>
      <c r="J736" s="52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52"/>
      <c r="C737" s="52"/>
      <c r="D737" s="52"/>
      <c r="E737" s="52"/>
      <c r="F737" s="4"/>
      <c r="G737" s="4"/>
      <c r="H737" s="52"/>
      <c r="I737" s="52"/>
      <c r="J737" s="52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52"/>
      <c r="C738" s="52"/>
      <c r="D738" s="52"/>
      <c r="E738" s="52"/>
      <c r="F738" s="4"/>
      <c r="G738" s="4"/>
      <c r="H738" s="52"/>
      <c r="I738" s="52"/>
      <c r="J738" s="52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52"/>
      <c r="C739" s="52"/>
      <c r="D739" s="52"/>
      <c r="E739" s="52"/>
      <c r="F739" s="4"/>
      <c r="G739" s="4"/>
      <c r="H739" s="52"/>
      <c r="I739" s="52"/>
      <c r="J739" s="52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52"/>
      <c r="C740" s="52"/>
      <c r="D740" s="52"/>
      <c r="E740" s="52"/>
      <c r="F740" s="4"/>
      <c r="G740" s="4"/>
      <c r="H740" s="52"/>
      <c r="I740" s="52"/>
      <c r="J740" s="52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52"/>
      <c r="C741" s="52"/>
      <c r="D741" s="52"/>
      <c r="E741" s="52"/>
      <c r="F741" s="4"/>
      <c r="G741" s="4"/>
      <c r="H741" s="52"/>
      <c r="I741" s="52"/>
      <c r="J741" s="52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52"/>
      <c r="C742" s="52"/>
      <c r="D742" s="52"/>
      <c r="E742" s="52"/>
      <c r="F742" s="4"/>
      <c r="G742" s="4"/>
      <c r="H742" s="52"/>
      <c r="I742" s="52"/>
      <c r="J742" s="52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52"/>
      <c r="C743" s="52"/>
      <c r="D743" s="52"/>
      <c r="E743" s="52"/>
      <c r="F743" s="4"/>
      <c r="G743" s="4"/>
      <c r="H743" s="52"/>
      <c r="I743" s="52"/>
      <c r="J743" s="52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52"/>
      <c r="C744" s="52"/>
      <c r="D744" s="52"/>
      <c r="E744" s="52"/>
      <c r="F744" s="4"/>
      <c r="G744" s="4"/>
      <c r="H744" s="52"/>
      <c r="I744" s="52"/>
      <c r="J744" s="52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52"/>
      <c r="C745" s="52"/>
      <c r="D745" s="52"/>
      <c r="E745" s="52"/>
      <c r="F745" s="4"/>
      <c r="G745" s="4"/>
      <c r="H745" s="52"/>
      <c r="I745" s="52"/>
      <c r="J745" s="52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52"/>
      <c r="C746" s="52"/>
      <c r="D746" s="52"/>
      <c r="E746" s="52"/>
      <c r="F746" s="4"/>
      <c r="G746" s="4"/>
      <c r="H746" s="52"/>
      <c r="I746" s="52"/>
      <c r="J746" s="52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52"/>
      <c r="C747" s="52"/>
      <c r="D747" s="52"/>
      <c r="E747" s="52"/>
      <c r="F747" s="4"/>
      <c r="G747" s="4"/>
      <c r="H747" s="52"/>
      <c r="I747" s="52"/>
      <c r="J747" s="52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52"/>
      <c r="C748" s="52"/>
      <c r="D748" s="52"/>
      <c r="E748" s="52"/>
      <c r="F748" s="4"/>
      <c r="G748" s="4"/>
      <c r="H748" s="52"/>
      <c r="I748" s="52"/>
      <c r="J748" s="52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52"/>
      <c r="C749" s="52"/>
      <c r="D749" s="52"/>
      <c r="E749" s="52"/>
      <c r="F749" s="4"/>
      <c r="G749" s="4"/>
      <c r="H749" s="52"/>
      <c r="I749" s="52"/>
      <c r="J749" s="52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52"/>
      <c r="C750" s="52"/>
      <c r="D750" s="52"/>
      <c r="E750" s="52"/>
      <c r="F750" s="4"/>
      <c r="G750" s="4"/>
      <c r="H750" s="52"/>
      <c r="I750" s="52"/>
      <c r="J750" s="52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52"/>
      <c r="C751" s="52"/>
      <c r="D751" s="52"/>
      <c r="E751" s="52"/>
      <c r="F751" s="4"/>
      <c r="G751" s="4"/>
      <c r="H751" s="52"/>
      <c r="I751" s="52"/>
      <c r="J751" s="52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52"/>
      <c r="C752" s="52"/>
      <c r="D752" s="52"/>
      <c r="E752" s="52"/>
      <c r="F752" s="4"/>
      <c r="G752" s="4"/>
      <c r="H752" s="52"/>
      <c r="I752" s="52"/>
      <c r="J752" s="52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52"/>
      <c r="C753" s="52"/>
      <c r="D753" s="52"/>
      <c r="E753" s="52"/>
      <c r="F753" s="4"/>
      <c r="G753" s="4"/>
      <c r="H753" s="52"/>
      <c r="I753" s="52"/>
      <c r="J753" s="52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52"/>
      <c r="C754" s="52"/>
      <c r="D754" s="52"/>
      <c r="E754" s="52"/>
      <c r="F754" s="4"/>
      <c r="G754" s="4"/>
      <c r="H754" s="52"/>
      <c r="I754" s="52"/>
      <c r="J754" s="52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52"/>
      <c r="C755" s="52"/>
      <c r="D755" s="52"/>
      <c r="E755" s="52"/>
      <c r="F755" s="4"/>
      <c r="G755" s="4"/>
      <c r="H755" s="52"/>
      <c r="I755" s="52"/>
      <c r="J755" s="52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52"/>
      <c r="C756" s="52"/>
      <c r="D756" s="52"/>
      <c r="E756" s="52"/>
      <c r="F756" s="4"/>
      <c r="G756" s="4"/>
      <c r="H756" s="52"/>
      <c r="I756" s="52"/>
      <c r="J756" s="52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52"/>
      <c r="C757" s="52"/>
      <c r="D757" s="52"/>
      <c r="E757" s="52"/>
      <c r="F757" s="4"/>
      <c r="G757" s="4"/>
      <c r="H757" s="52"/>
      <c r="I757" s="52"/>
      <c r="J757" s="52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52"/>
      <c r="C758" s="52"/>
      <c r="D758" s="52"/>
      <c r="E758" s="52"/>
      <c r="F758" s="4"/>
      <c r="G758" s="4"/>
      <c r="H758" s="52"/>
      <c r="I758" s="52"/>
      <c r="J758" s="52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52"/>
      <c r="C759" s="52"/>
      <c r="D759" s="52"/>
      <c r="E759" s="52"/>
      <c r="F759" s="4"/>
      <c r="G759" s="4"/>
      <c r="H759" s="52"/>
      <c r="I759" s="52"/>
      <c r="J759" s="52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52"/>
      <c r="C760" s="52"/>
      <c r="D760" s="52"/>
      <c r="E760" s="52"/>
      <c r="F760" s="4"/>
      <c r="G760" s="4"/>
      <c r="H760" s="52"/>
      <c r="I760" s="52"/>
      <c r="J760" s="52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52"/>
      <c r="C761" s="52"/>
      <c r="D761" s="52"/>
      <c r="E761" s="52"/>
      <c r="F761" s="4"/>
      <c r="G761" s="4"/>
      <c r="H761" s="52"/>
      <c r="I761" s="52"/>
      <c r="J761" s="52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52"/>
      <c r="C762" s="52"/>
      <c r="D762" s="52"/>
      <c r="E762" s="52"/>
      <c r="F762" s="4"/>
      <c r="G762" s="4"/>
      <c r="H762" s="52"/>
      <c r="I762" s="52"/>
      <c r="J762" s="52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52"/>
      <c r="C763" s="52"/>
      <c r="D763" s="52"/>
      <c r="E763" s="52"/>
      <c r="F763" s="4"/>
      <c r="G763" s="4"/>
      <c r="H763" s="52"/>
      <c r="I763" s="52"/>
      <c r="J763" s="52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52"/>
      <c r="C764" s="52"/>
      <c r="D764" s="52"/>
      <c r="E764" s="52"/>
      <c r="F764" s="4"/>
      <c r="G764" s="4"/>
      <c r="H764" s="52"/>
      <c r="I764" s="52"/>
      <c r="J764" s="52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52"/>
      <c r="C765" s="52"/>
      <c r="D765" s="52"/>
      <c r="E765" s="52"/>
      <c r="F765" s="4"/>
      <c r="G765" s="4"/>
      <c r="H765" s="52"/>
      <c r="I765" s="52"/>
      <c r="J765" s="52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52"/>
      <c r="C766" s="52"/>
      <c r="D766" s="52"/>
      <c r="E766" s="52"/>
      <c r="F766" s="4"/>
      <c r="G766" s="4"/>
      <c r="H766" s="52"/>
      <c r="I766" s="52"/>
      <c r="J766" s="52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52"/>
      <c r="C767" s="52"/>
      <c r="D767" s="52"/>
      <c r="E767" s="52"/>
      <c r="F767" s="4"/>
      <c r="G767" s="4"/>
      <c r="H767" s="52"/>
      <c r="I767" s="52"/>
      <c r="J767" s="52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52"/>
      <c r="C768" s="52"/>
      <c r="D768" s="52"/>
      <c r="E768" s="52"/>
      <c r="F768" s="4"/>
      <c r="G768" s="4"/>
      <c r="H768" s="52"/>
      <c r="I768" s="52"/>
      <c r="J768" s="52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52"/>
      <c r="C769" s="52"/>
      <c r="D769" s="52"/>
      <c r="E769" s="52"/>
      <c r="F769" s="4"/>
      <c r="G769" s="4"/>
      <c r="H769" s="52"/>
      <c r="I769" s="52"/>
      <c r="J769" s="52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52"/>
      <c r="C770" s="52"/>
      <c r="D770" s="52"/>
      <c r="E770" s="52"/>
      <c r="F770" s="4"/>
      <c r="G770" s="4"/>
      <c r="H770" s="52"/>
      <c r="I770" s="52"/>
      <c r="J770" s="52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52"/>
      <c r="C771" s="52"/>
      <c r="D771" s="52"/>
      <c r="E771" s="52"/>
      <c r="F771" s="4"/>
      <c r="G771" s="4"/>
      <c r="H771" s="52"/>
      <c r="I771" s="52"/>
      <c r="J771" s="52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52"/>
      <c r="C772" s="52"/>
      <c r="D772" s="52"/>
      <c r="E772" s="52"/>
      <c r="F772" s="4"/>
      <c r="G772" s="4"/>
      <c r="H772" s="52"/>
      <c r="I772" s="52"/>
      <c r="J772" s="52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52"/>
      <c r="C773" s="52"/>
      <c r="D773" s="52"/>
      <c r="E773" s="52"/>
      <c r="F773" s="4"/>
      <c r="G773" s="4"/>
      <c r="H773" s="52"/>
      <c r="I773" s="52"/>
      <c r="J773" s="52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52"/>
      <c r="C774" s="52"/>
      <c r="D774" s="52"/>
      <c r="E774" s="52"/>
      <c r="F774" s="4"/>
      <c r="G774" s="4"/>
      <c r="H774" s="52"/>
      <c r="I774" s="52"/>
      <c r="J774" s="52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52"/>
      <c r="C775" s="52"/>
      <c r="D775" s="52"/>
      <c r="E775" s="52"/>
      <c r="F775" s="4"/>
      <c r="G775" s="4"/>
      <c r="H775" s="52"/>
      <c r="I775" s="52"/>
      <c r="J775" s="52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52"/>
      <c r="C776" s="52"/>
      <c r="D776" s="52"/>
      <c r="E776" s="52"/>
      <c r="F776" s="4"/>
      <c r="G776" s="4"/>
      <c r="H776" s="52"/>
      <c r="I776" s="52"/>
      <c r="J776" s="52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52"/>
      <c r="C777" s="52"/>
      <c r="D777" s="52"/>
      <c r="E777" s="52"/>
      <c r="F777" s="4"/>
      <c r="G777" s="4"/>
      <c r="H777" s="52"/>
      <c r="I777" s="52"/>
      <c r="J777" s="52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52"/>
      <c r="C778" s="52"/>
      <c r="D778" s="52"/>
      <c r="E778" s="52"/>
      <c r="F778" s="4"/>
      <c r="G778" s="4"/>
      <c r="H778" s="52"/>
      <c r="I778" s="52"/>
      <c r="J778" s="52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52"/>
      <c r="C779" s="52"/>
      <c r="D779" s="52"/>
      <c r="E779" s="52"/>
      <c r="F779" s="4"/>
      <c r="G779" s="4"/>
      <c r="H779" s="52"/>
      <c r="I779" s="52"/>
      <c r="J779" s="52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52"/>
      <c r="C780" s="52"/>
      <c r="D780" s="52"/>
      <c r="E780" s="52"/>
      <c r="F780" s="4"/>
      <c r="G780" s="4"/>
      <c r="H780" s="52"/>
      <c r="I780" s="52"/>
      <c r="J780" s="52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52"/>
      <c r="C781" s="52"/>
      <c r="D781" s="52"/>
      <c r="E781" s="52"/>
      <c r="F781" s="4"/>
      <c r="G781" s="4"/>
      <c r="H781" s="52"/>
      <c r="I781" s="52"/>
      <c r="J781" s="52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52"/>
      <c r="C782" s="52"/>
      <c r="D782" s="52"/>
      <c r="E782" s="52"/>
      <c r="F782" s="4"/>
      <c r="G782" s="4"/>
      <c r="H782" s="52"/>
      <c r="I782" s="52"/>
      <c r="J782" s="52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52"/>
      <c r="C783" s="52"/>
      <c r="D783" s="52"/>
      <c r="E783" s="52"/>
      <c r="F783" s="4"/>
      <c r="G783" s="4"/>
      <c r="H783" s="52"/>
      <c r="I783" s="52"/>
      <c r="J783" s="52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52"/>
      <c r="C784" s="52"/>
      <c r="D784" s="52"/>
      <c r="E784" s="52"/>
      <c r="F784" s="4"/>
      <c r="G784" s="4"/>
      <c r="H784" s="52"/>
      <c r="I784" s="52"/>
      <c r="J784" s="52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52"/>
      <c r="C785" s="52"/>
      <c r="D785" s="52"/>
      <c r="E785" s="52"/>
      <c r="F785" s="4"/>
      <c r="G785" s="4"/>
      <c r="H785" s="52"/>
      <c r="I785" s="52"/>
      <c r="J785" s="52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52"/>
      <c r="C786" s="52"/>
      <c r="D786" s="52"/>
      <c r="E786" s="52"/>
      <c r="F786" s="4"/>
      <c r="G786" s="4"/>
      <c r="H786" s="52"/>
      <c r="I786" s="52"/>
      <c r="J786" s="52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52"/>
      <c r="C787" s="52"/>
      <c r="D787" s="52"/>
      <c r="E787" s="52"/>
      <c r="F787" s="4"/>
      <c r="G787" s="4"/>
      <c r="H787" s="52"/>
      <c r="I787" s="52"/>
      <c r="J787" s="52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52"/>
      <c r="C788" s="52"/>
      <c r="D788" s="52"/>
      <c r="E788" s="52"/>
      <c r="F788" s="4"/>
      <c r="G788" s="4"/>
      <c r="H788" s="52"/>
      <c r="I788" s="52"/>
      <c r="J788" s="52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52"/>
      <c r="C789" s="52"/>
      <c r="D789" s="52"/>
      <c r="E789" s="52"/>
      <c r="F789" s="4"/>
      <c r="G789" s="4"/>
      <c r="H789" s="52"/>
      <c r="I789" s="52"/>
      <c r="J789" s="52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52"/>
      <c r="C790" s="52"/>
      <c r="D790" s="52"/>
      <c r="E790" s="52"/>
      <c r="F790" s="4"/>
      <c r="G790" s="4"/>
      <c r="H790" s="52"/>
      <c r="I790" s="52"/>
      <c r="J790" s="52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52"/>
      <c r="C791" s="52"/>
      <c r="D791" s="52"/>
      <c r="E791" s="52"/>
      <c r="F791" s="4"/>
      <c r="G791" s="4"/>
      <c r="H791" s="52"/>
      <c r="I791" s="52"/>
      <c r="J791" s="52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52"/>
      <c r="C792" s="52"/>
      <c r="D792" s="52"/>
      <c r="E792" s="52"/>
      <c r="F792" s="4"/>
      <c r="G792" s="4"/>
      <c r="H792" s="52"/>
      <c r="I792" s="52"/>
      <c r="J792" s="52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52"/>
      <c r="C793" s="52"/>
      <c r="D793" s="52"/>
      <c r="E793" s="52"/>
      <c r="F793" s="4"/>
      <c r="G793" s="4"/>
      <c r="H793" s="52"/>
      <c r="I793" s="52"/>
      <c r="J793" s="52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52"/>
      <c r="C794" s="52"/>
      <c r="D794" s="52"/>
      <c r="E794" s="52"/>
      <c r="F794" s="4"/>
      <c r="G794" s="4"/>
      <c r="H794" s="52"/>
      <c r="I794" s="52"/>
      <c r="J794" s="52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52"/>
      <c r="C795" s="52"/>
      <c r="D795" s="52"/>
      <c r="E795" s="52"/>
      <c r="F795" s="4"/>
      <c r="G795" s="4"/>
      <c r="H795" s="52"/>
      <c r="I795" s="52"/>
      <c r="J795" s="52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52"/>
      <c r="C796" s="52"/>
      <c r="D796" s="52"/>
      <c r="E796" s="52"/>
      <c r="F796" s="4"/>
      <c r="G796" s="4"/>
      <c r="H796" s="52"/>
      <c r="I796" s="52"/>
      <c r="J796" s="52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52"/>
      <c r="C797" s="52"/>
      <c r="D797" s="52"/>
      <c r="E797" s="52"/>
      <c r="F797" s="4"/>
      <c r="G797" s="4"/>
      <c r="H797" s="52"/>
      <c r="I797" s="52"/>
      <c r="J797" s="52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52"/>
      <c r="C798" s="52"/>
      <c r="D798" s="52"/>
      <c r="E798" s="52"/>
      <c r="F798" s="4"/>
      <c r="G798" s="4"/>
      <c r="H798" s="52"/>
      <c r="I798" s="52"/>
      <c r="J798" s="52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52"/>
      <c r="C799" s="52"/>
      <c r="D799" s="52"/>
      <c r="E799" s="52"/>
      <c r="F799" s="4"/>
      <c r="G799" s="4"/>
      <c r="H799" s="52"/>
      <c r="I799" s="52"/>
      <c r="J799" s="52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52"/>
      <c r="C800" s="52"/>
      <c r="D800" s="52"/>
      <c r="E800" s="52"/>
      <c r="F800" s="4"/>
      <c r="G800" s="4"/>
      <c r="H800" s="52"/>
      <c r="I800" s="52"/>
      <c r="J800" s="52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52"/>
      <c r="C801" s="52"/>
      <c r="D801" s="52"/>
      <c r="E801" s="52"/>
      <c r="F801" s="4"/>
      <c r="G801" s="4"/>
      <c r="H801" s="52"/>
      <c r="I801" s="52"/>
      <c r="J801" s="52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52"/>
      <c r="C802" s="52"/>
      <c r="D802" s="52"/>
      <c r="E802" s="52"/>
      <c r="F802" s="4"/>
      <c r="G802" s="4"/>
      <c r="H802" s="52"/>
      <c r="I802" s="52"/>
      <c r="J802" s="52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52"/>
      <c r="C803" s="52"/>
      <c r="D803" s="52"/>
      <c r="E803" s="52"/>
      <c r="F803" s="4"/>
      <c r="G803" s="4"/>
      <c r="H803" s="52"/>
      <c r="I803" s="52"/>
      <c r="J803" s="52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52"/>
      <c r="C804" s="52"/>
      <c r="D804" s="52"/>
      <c r="E804" s="52"/>
      <c r="F804" s="4"/>
      <c r="G804" s="4"/>
      <c r="H804" s="52"/>
      <c r="I804" s="52"/>
      <c r="J804" s="52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52"/>
      <c r="C805" s="52"/>
      <c r="D805" s="52"/>
      <c r="E805" s="52"/>
      <c r="F805" s="4"/>
      <c r="G805" s="4"/>
      <c r="H805" s="52"/>
      <c r="I805" s="52"/>
      <c r="J805" s="52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52"/>
      <c r="C806" s="52"/>
      <c r="D806" s="52"/>
      <c r="E806" s="52"/>
      <c r="F806" s="4"/>
      <c r="G806" s="4"/>
      <c r="H806" s="52"/>
      <c r="I806" s="52"/>
      <c r="J806" s="52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52"/>
      <c r="C807" s="52"/>
      <c r="D807" s="52"/>
      <c r="E807" s="52"/>
      <c r="F807" s="4"/>
      <c r="G807" s="4"/>
      <c r="H807" s="52"/>
      <c r="I807" s="52"/>
      <c r="J807" s="52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52"/>
      <c r="C808" s="52"/>
      <c r="D808" s="52"/>
      <c r="E808" s="52"/>
      <c r="F808" s="4"/>
      <c r="G808" s="4"/>
      <c r="H808" s="52"/>
      <c r="I808" s="52"/>
      <c r="J808" s="52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52"/>
      <c r="C809" s="52"/>
      <c r="D809" s="52"/>
      <c r="E809" s="52"/>
      <c r="F809" s="4"/>
      <c r="G809" s="4"/>
      <c r="H809" s="52"/>
      <c r="I809" s="52"/>
      <c r="J809" s="52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52"/>
      <c r="C810" s="52"/>
      <c r="D810" s="52"/>
      <c r="E810" s="52"/>
      <c r="F810" s="4"/>
      <c r="G810" s="4"/>
      <c r="H810" s="52"/>
      <c r="I810" s="52"/>
      <c r="J810" s="52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52"/>
      <c r="C811" s="52"/>
      <c r="D811" s="52"/>
      <c r="E811" s="52"/>
      <c r="F811" s="4"/>
      <c r="G811" s="4"/>
      <c r="H811" s="52"/>
      <c r="I811" s="52"/>
      <c r="J811" s="52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52"/>
      <c r="C812" s="52"/>
      <c r="D812" s="52"/>
      <c r="E812" s="52"/>
      <c r="F812" s="4"/>
      <c r="G812" s="4"/>
      <c r="H812" s="52"/>
      <c r="I812" s="52"/>
      <c r="J812" s="52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52"/>
      <c r="C813" s="52"/>
      <c r="D813" s="52"/>
      <c r="E813" s="52"/>
      <c r="F813" s="4"/>
      <c r="G813" s="4"/>
      <c r="H813" s="52"/>
      <c r="I813" s="52"/>
      <c r="J813" s="52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52"/>
      <c r="C814" s="52"/>
      <c r="D814" s="52"/>
      <c r="E814" s="52"/>
      <c r="F814" s="4"/>
      <c r="G814" s="4"/>
      <c r="H814" s="52"/>
      <c r="I814" s="52"/>
      <c r="J814" s="52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52"/>
      <c r="C815" s="52"/>
      <c r="D815" s="52"/>
      <c r="E815" s="52"/>
      <c r="F815" s="4"/>
      <c r="G815" s="4"/>
      <c r="H815" s="52"/>
      <c r="I815" s="52"/>
      <c r="J815" s="52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52"/>
      <c r="C816" s="52"/>
      <c r="D816" s="52"/>
      <c r="E816" s="52"/>
      <c r="F816" s="4"/>
      <c r="G816" s="4"/>
      <c r="H816" s="52"/>
      <c r="I816" s="52"/>
      <c r="J816" s="52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52"/>
      <c r="C817" s="52"/>
      <c r="D817" s="52"/>
      <c r="E817" s="52"/>
      <c r="F817" s="4"/>
      <c r="G817" s="4"/>
      <c r="H817" s="52"/>
      <c r="I817" s="52"/>
      <c r="J817" s="52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52"/>
      <c r="C818" s="52"/>
      <c r="D818" s="52"/>
      <c r="E818" s="52"/>
      <c r="F818" s="4"/>
      <c r="G818" s="4"/>
      <c r="H818" s="52"/>
      <c r="I818" s="52"/>
      <c r="J818" s="52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52"/>
      <c r="C819" s="52"/>
      <c r="D819" s="52"/>
      <c r="E819" s="52"/>
      <c r="F819" s="4"/>
      <c r="G819" s="4"/>
      <c r="H819" s="52"/>
      <c r="I819" s="52"/>
      <c r="J819" s="52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52"/>
      <c r="C820" s="52"/>
      <c r="D820" s="52"/>
      <c r="E820" s="52"/>
      <c r="F820" s="4"/>
      <c r="G820" s="4"/>
      <c r="H820" s="52"/>
      <c r="I820" s="52"/>
      <c r="J820" s="52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52"/>
      <c r="C821" s="52"/>
      <c r="D821" s="52"/>
      <c r="E821" s="52"/>
      <c r="F821" s="4"/>
      <c r="G821" s="4"/>
      <c r="H821" s="52"/>
      <c r="I821" s="52"/>
      <c r="J821" s="52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52"/>
      <c r="C822" s="52"/>
      <c r="D822" s="52"/>
      <c r="E822" s="52"/>
      <c r="F822" s="4"/>
      <c r="G822" s="4"/>
      <c r="H822" s="52"/>
      <c r="I822" s="52"/>
      <c r="J822" s="52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52"/>
      <c r="C823" s="52"/>
      <c r="D823" s="52"/>
      <c r="E823" s="52"/>
      <c r="F823" s="4"/>
      <c r="G823" s="4"/>
      <c r="H823" s="52"/>
      <c r="I823" s="52"/>
      <c r="J823" s="52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52"/>
      <c r="C824" s="52"/>
      <c r="D824" s="52"/>
      <c r="E824" s="52"/>
      <c r="F824" s="4"/>
      <c r="G824" s="4"/>
      <c r="H824" s="52"/>
      <c r="I824" s="52"/>
      <c r="J824" s="52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52"/>
      <c r="C825" s="52"/>
      <c r="D825" s="52"/>
      <c r="E825" s="52"/>
      <c r="F825" s="4"/>
      <c r="G825" s="4"/>
      <c r="H825" s="52"/>
      <c r="I825" s="52"/>
      <c r="J825" s="52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52"/>
      <c r="C826" s="52"/>
      <c r="D826" s="52"/>
      <c r="E826" s="52"/>
      <c r="F826" s="4"/>
      <c r="G826" s="4"/>
      <c r="H826" s="52"/>
      <c r="I826" s="52"/>
      <c r="J826" s="52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52"/>
      <c r="C827" s="52"/>
      <c r="D827" s="52"/>
      <c r="E827" s="52"/>
      <c r="F827" s="4"/>
      <c r="G827" s="4"/>
      <c r="H827" s="52"/>
      <c r="I827" s="52"/>
      <c r="J827" s="52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52"/>
      <c r="C828" s="52"/>
      <c r="D828" s="52"/>
      <c r="E828" s="52"/>
      <c r="F828" s="4"/>
      <c r="G828" s="4"/>
      <c r="H828" s="52"/>
      <c r="I828" s="52"/>
      <c r="J828" s="52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52"/>
      <c r="C829" s="52"/>
      <c r="D829" s="52"/>
      <c r="E829" s="52"/>
      <c r="F829" s="4"/>
      <c r="G829" s="4"/>
      <c r="H829" s="52"/>
      <c r="I829" s="52"/>
      <c r="J829" s="52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52"/>
      <c r="C830" s="52"/>
      <c r="D830" s="52"/>
      <c r="E830" s="52"/>
      <c r="F830" s="4"/>
      <c r="G830" s="4"/>
      <c r="H830" s="52"/>
      <c r="I830" s="52"/>
      <c r="J830" s="52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52"/>
      <c r="C831" s="52"/>
      <c r="D831" s="52"/>
      <c r="E831" s="52"/>
      <c r="F831" s="4"/>
      <c r="G831" s="4"/>
      <c r="H831" s="52"/>
      <c r="I831" s="52"/>
      <c r="J831" s="52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52"/>
      <c r="C832" s="52"/>
      <c r="D832" s="52"/>
      <c r="E832" s="52"/>
      <c r="F832" s="4"/>
      <c r="G832" s="4"/>
      <c r="H832" s="52"/>
      <c r="I832" s="52"/>
      <c r="J832" s="52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52"/>
      <c r="C833" s="52"/>
      <c r="D833" s="52"/>
      <c r="E833" s="52"/>
      <c r="F833" s="4"/>
      <c r="G833" s="4"/>
      <c r="H833" s="52"/>
      <c r="I833" s="52"/>
      <c r="J833" s="52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52"/>
      <c r="C834" s="52"/>
      <c r="D834" s="52"/>
      <c r="E834" s="52"/>
      <c r="F834" s="4"/>
      <c r="G834" s="4"/>
      <c r="H834" s="52"/>
      <c r="I834" s="52"/>
      <c r="J834" s="52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52"/>
      <c r="C835" s="52"/>
      <c r="D835" s="52"/>
      <c r="E835" s="52"/>
      <c r="F835" s="4"/>
      <c r="G835" s="4"/>
      <c r="H835" s="52"/>
      <c r="I835" s="52"/>
      <c r="J835" s="52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52"/>
      <c r="C836" s="52"/>
      <c r="D836" s="52"/>
      <c r="E836" s="52"/>
      <c r="F836" s="4"/>
      <c r="G836" s="4"/>
      <c r="H836" s="52"/>
      <c r="I836" s="52"/>
      <c r="J836" s="52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52"/>
      <c r="C837" s="52"/>
      <c r="D837" s="52"/>
      <c r="E837" s="52"/>
      <c r="F837" s="4"/>
      <c r="G837" s="4"/>
      <c r="H837" s="52"/>
      <c r="I837" s="52"/>
      <c r="J837" s="52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52"/>
      <c r="C838" s="52"/>
      <c r="D838" s="52"/>
      <c r="E838" s="52"/>
      <c r="F838" s="4"/>
      <c r="G838" s="4"/>
      <c r="H838" s="52"/>
      <c r="I838" s="52"/>
      <c r="J838" s="52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52"/>
      <c r="C839" s="52"/>
      <c r="D839" s="52"/>
      <c r="E839" s="52"/>
      <c r="F839" s="4"/>
      <c r="G839" s="4"/>
      <c r="H839" s="52"/>
      <c r="I839" s="52"/>
      <c r="J839" s="52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52"/>
      <c r="C840" s="52"/>
      <c r="D840" s="52"/>
      <c r="E840" s="52"/>
      <c r="F840" s="4"/>
      <c r="G840" s="4"/>
      <c r="H840" s="52"/>
      <c r="I840" s="52"/>
      <c r="J840" s="52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52"/>
      <c r="C841" s="52"/>
      <c r="D841" s="52"/>
      <c r="E841" s="52"/>
      <c r="F841" s="4"/>
      <c r="G841" s="4"/>
      <c r="H841" s="52"/>
      <c r="I841" s="52"/>
      <c r="J841" s="52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52"/>
      <c r="C842" s="52"/>
      <c r="D842" s="52"/>
      <c r="E842" s="52"/>
      <c r="F842" s="4"/>
      <c r="G842" s="4"/>
      <c r="H842" s="52"/>
      <c r="I842" s="52"/>
      <c r="J842" s="52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52"/>
      <c r="C843" s="52"/>
      <c r="D843" s="52"/>
      <c r="E843" s="52"/>
      <c r="F843" s="4"/>
      <c r="G843" s="4"/>
      <c r="H843" s="52"/>
      <c r="I843" s="52"/>
      <c r="J843" s="52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52"/>
      <c r="C844" s="52"/>
      <c r="D844" s="52"/>
      <c r="E844" s="52"/>
      <c r="F844" s="4"/>
      <c r="G844" s="4"/>
      <c r="H844" s="52"/>
      <c r="I844" s="52"/>
      <c r="J844" s="52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52"/>
      <c r="C845" s="52"/>
      <c r="D845" s="52"/>
      <c r="E845" s="52"/>
      <c r="F845" s="4"/>
      <c r="G845" s="4"/>
      <c r="H845" s="52"/>
      <c r="I845" s="52"/>
      <c r="J845" s="52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52"/>
      <c r="C846" s="52"/>
      <c r="D846" s="52"/>
      <c r="E846" s="52"/>
      <c r="F846" s="4"/>
      <c r="G846" s="4"/>
      <c r="H846" s="52"/>
      <c r="I846" s="52"/>
      <c r="J846" s="52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52"/>
      <c r="C847" s="52"/>
      <c r="D847" s="52"/>
      <c r="E847" s="52"/>
      <c r="F847" s="4"/>
      <c r="G847" s="4"/>
      <c r="H847" s="52"/>
      <c r="I847" s="52"/>
      <c r="J847" s="52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52"/>
      <c r="C848" s="52"/>
      <c r="D848" s="52"/>
      <c r="E848" s="52"/>
      <c r="F848" s="4"/>
      <c r="G848" s="4"/>
      <c r="H848" s="52"/>
      <c r="I848" s="52"/>
      <c r="J848" s="52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52"/>
      <c r="C849" s="52"/>
      <c r="D849" s="52"/>
      <c r="E849" s="52"/>
      <c r="F849" s="4"/>
      <c r="G849" s="4"/>
      <c r="H849" s="52"/>
      <c r="I849" s="52"/>
      <c r="J849" s="52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52"/>
      <c r="C850" s="52"/>
      <c r="D850" s="52"/>
      <c r="E850" s="52"/>
      <c r="F850" s="4"/>
      <c r="G850" s="4"/>
      <c r="H850" s="52"/>
      <c r="I850" s="52"/>
      <c r="J850" s="52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52"/>
      <c r="C851" s="52"/>
      <c r="D851" s="52"/>
      <c r="E851" s="52"/>
      <c r="F851" s="4"/>
      <c r="G851" s="4"/>
      <c r="H851" s="52"/>
      <c r="I851" s="52"/>
      <c r="J851" s="52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52"/>
      <c r="C852" s="52"/>
      <c r="D852" s="52"/>
      <c r="E852" s="52"/>
      <c r="F852" s="4"/>
      <c r="G852" s="4"/>
      <c r="H852" s="52"/>
      <c r="I852" s="52"/>
      <c r="J852" s="52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52"/>
      <c r="C853" s="52"/>
      <c r="D853" s="52"/>
      <c r="E853" s="52"/>
      <c r="F853" s="4"/>
      <c r="G853" s="4"/>
      <c r="H853" s="52"/>
      <c r="I853" s="52"/>
      <c r="J853" s="52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52"/>
      <c r="C854" s="52"/>
      <c r="D854" s="52"/>
      <c r="E854" s="52"/>
      <c r="F854" s="4"/>
      <c r="G854" s="4"/>
      <c r="H854" s="52"/>
      <c r="I854" s="52"/>
      <c r="J854" s="52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52"/>
      <c r="C855" s="52"/>
      <c r="D855" s="52"/>
      <c r="E855" s="52"/>
      <c r="F855" s="4"/>
      <c r="G855" s="4"/>
      <c r="H855" s="52"/>
      <c r="I855" s="52"/>
      <c r="J855" s="52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52"/>
      <c r="C856" s="52"/>
      <c r="D856" s="52"/>
      <c r="E856" s="52"/>
      <c r="F856" s="4"/>
      <c r="G856" s="4"/>
      <c r="H856" s="52"/>
      <c r="I856" s="52"/>
      <c r="J856" s="52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52"/>
      <c r="C857" s="52"/>
      <c r="D857" s="52"/>
      <c r="E857" s="52"/>
      <c r="F857" s="4"/>
      <c r="G857" s="4"/>
      <c r="H857" s="52"/>
      <c r="I857" s="52"/>
      <c r="J857" s="52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52"/>
      <c r="C858" s="52"/>
      <c r="D858" s="52"/>
      <c r="E858" s="52"/>
      <c r="F858" s="4"/>
      <c r="G858" s="4"/>
      <c r="H858" s="52"/>
      <c r="I858" s="52"/>
      <c r="J858" s="52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52"/>
      <c r="C859" s="52"/>
      <c r="D859" s="52"/>
      <c r="E859" s="52"/>
      <c r="F859" s="4"/>
      <c r="G859" s="4"/>
      <c r="H859" s="52"/>
      <c r="I859" s="52"/>
      <c r="J859" s="52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52"/>
      <c r="C860" s="52"/>
      <c r="D860" s="52"/>
      <c r="E860" s="52"/>
      <c r="F860" s="4"/>
      <c r="G860" s="4"/>
      <c r="H860" s="52"/>
      <c r="I860" s="52"/>
      <c r="J860" s="52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52"/>
      <c r="C861" s="52"/>
      <c r="D861" s="52"/>
      <c r="E861" s="52"/>
      <c r="F861" s="4"/>
      <c r="G861" s="4"/>
      <c r="H861" s="52"/>
      <c r="I861" s="52"/>
      <c r="J861" s="52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52"/>
      <c r="C862" s="52"/>
      <c r="D862" s="52"/>
      <c r="E862" s="52"/>
      <c r="F862" s="4"/>
      <c r="G862" s="4"/>
      <c r="H862" s="52"/>
      <c r="I862" s="52"/>
      <c r="J862" s="52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52"/>
      <c r="C863" s="52"/>
      <c r="D863" s="52"/>
      <c r="E863" s="52"/>
      <c r="F863" s="4"/>
      <c r="G863" s="4"/>
      <c r="H863" s="52"/>
      <c r="I863" s="52"/>
      <c r="J863" s="52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52"/>
      <c r="C864" s="52"/>
      <c r="D864" s="52"/>
      <c r="E864" s="52"/>
      <c r="F864" s="4"/>
      <c r="G864" s="4"/>
      <c r="H864" s="52"/>
      <c r="I864" s="52"/>
      <c r="J864" s="52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52"/>
      <c r="C865" s="52"/>
      <c r="D865" s="52"/>
      <c r="E865" s="52"/>
      <c r="F865" s="4"/>
      <c r="G865" s="4"/>
      <c r="H865" s="52"/>
      <c r="I865" s="52"/>
      <c r="J865" s="52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52"/>
      <c r="C866" s="52"/>
      <c r="D866" s="52"/>
      <c r="E866" s="52"/>
      <c r="F866" s="4"/>
      <c r="G866" s="4"/>
      <c r="H866" s="52"/>
      <c r="I866" s="52"/>
      <c r="J866" s="52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52"/>
      <c r="C867" s="52"/>
      <c r="D867" s="52"/>
      <c r="E867" s="52"/>
      <c r="F867" s="4"/>
      <c r="G867" s="4"/>
      <c r="H867" s="52"/>
      <c r="I867" s="52"/>
      <c r="J867" s="52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52"/>
      <c r="C868" s="52"/>
      <c r="D868" s="52"/>
      <c r="E868" s="52"/>
      <c r="F868" s="4"/>
      <c r="G868" s="4"/>
      <c r="H868" s="52"/>
      <c r="I868" s="52"/>
      <c r="J868" s="52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52"/>
      <c r="C869" s="52"/>
      <c r="D869" s="52"/>
      <c r="E869" s="52"/>
      <c r="F869" s="4"/>
      <c r="G869" s="4"/>
      <c r="H869" s="52"/>
      <c r="I869" s="52"/>
      <c r="J869" s="52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52"/>
      <c r="C870" s="52"/>
      <c r="D870" s="52"/>
      <c r="E870" s="52"/>
      <c r="F870" s="4"/>
      <c r="G870" s="4"/>
      <c r="H870" s="52"/>
      <c r="I870" s="52"/>
      <c r="J870" s="52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52"/>
      <c r="C871" s="52"/>
      <c r="D871" s="52"/>
      <c r="E871" s="52"/>
      <c r="F871" s="4"/>
      <c r="G871" s="4"/>
      <c r="H871" s="52"/>
      <c r="I871" s="52"/>
      <c r="J871" s="52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52"/>
      <c r="C872" s="52"/>
      <c r="D872" s="52"/>
      <c r="E872" s="52"/>
      <c r="F872" s="4"/>
      <c r="G872" s="4"/>
      <c r="H872" s="52"/>
      <c r="I872" s="52"/>
      <c r="J872" s="52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52"/>
      <c r="C873" s="52"/>
      <c r="D873" s="52"/>
      <c r="E873" s="52"/>
      <c r="F873" s="4"/>
      <c r="G873" s="4"/>
      <c r="H873" s="52"/>
      <c r="I873" s="52"/>
      <c r="J873" s="52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52"/>
      <c r="C874" s="52"/>
      <c r="D874" s="52"/>
      <c r="E874" s="52"/>
      <c r="F874" s="4"/>
      <c r="G874" s="4"/>
      <c r="H874" s="52"/>
      <c r="I874" s="52"/>
      <c r="J874" s="52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52"/>
      <c r="C875" s="52"/>
      <c r="D875" s="52"/>
      <c r="E875" s="52"/>
      <c r="F875" s="4"/>
      <c r="G875" s="4"/>
      <c r="H875" s="52"/>
      <c r="I875" s="52"/>
      <c r="J875" s="52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52"/>
      <c r="C876" s="52"/>
      <c r="D876" s="52"/>
      <c r="E876" s="52"/>
      <c r="F876" s="4"/>
      <c r="G876" s="4"/>
      <c r="H876" s="52"/>
      <c r="I876" s="52"/>
      <c r="J876" s="52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52"/>
      <c r="C877" s="52"/>
      <c r="D877" s="52"/>
      <c r="E877" s="52"/>
      <c r="F877" s="4"/>
      <c r="G877" s="4"/>
      <c r="H877" s="52"/>
      <c r="I877" s="52"/>
      <c r="J877" s="52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52"/>
      <c r="C878" s="52"/>
      <c r="D878" s="52"/>
      <c r="E878" s="52"/>
      <c r="F878" s="4"/>
      <c r="G878" s="4"/>
      <c r="H878" s="52"/>
      <c r="I878" s="52"/>
      <c r="J878" s="52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52"/>
      <c r="C879" s="52"/>
      <c r="D879" s="52"/>
      <c r="E879" s="52"/>
      <c r="F879" s="4"/>
      <c r="G879" s="4"/>
      <c r="H879" s="52"/>
      <c r="I879" s="52"/>
      <c r="J879" s="52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52"/>
      <c r="C880" s="52"/>
      <c r="D880" s="52"/>
      <c r="E880" s="52"/>
      <c r="F880" s="4"/>
      <c r="G880" s="4"/>
      <c r="H880" s="52"/>
      <c r="I880" s="52"/>
      <c r="J880" s="52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52"/>
      <c r="C881" s="52"/>
      <c r="D881" s="52"/>
      <c r="E881" s="52"/>
      <c r="F881" s="4"/>
      <c r="G881" s="4"/>
      <c r="H881" s="52"/>
      <c r="I881" s="52"/>
      <c r="J881" s="52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52"/>
      <c r="C882" s="52"/>
      <c r="D882" s="52"/>
      <c r="E882" s="52"/>
      <c r="F882" s="4"/>
      <c r="G882" s="4"/>
      <c r="H882" s="52"/>
      <c r="I882" s="52"/>
      <c r="J882" s="52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52"/>
      <c r="C883" s="52"/>
      <c r="D883" s="52"/>
      <c r="E883" s="52"/>
      <c r="F883" s="4"/>
      <c r="G883" s="4"/>
      <c r="H883" s="52"/>
      <c r="I883" s="52"/>
      <c r="J883" s="52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52"/>
      <c r="C884" s="52"/>
      <c r="D884" s="52"/>
      <c r="E884" s="52"/>
      <c r="F884" s="4"/>
      <c r="G884" s="4"/>
      <c r="H884" s="52"/>
      <c r="I884" s="52"/>
      <c r="J884" s="52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52"/>
      <c r="C885" s="52"/>
      <c r="D885" s="52"/>
      <c r="E885" s="52"/>
      <c r="F885" s="4"/>
      <c r="G885" s="4"/>
      <c r="H885" s="52"/>
      <c r="I885" s="52"/>
      <c r="J885" s="52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52"/>
      <c r="C886" s="52"/>
      <c r="D886" s="52"/>
      <c r="E886" s="52"/>
      <c r="F886" s="4"/>
      <c r="G886" s="4"/>
      <c r="H886" s="52"/>
      <c r="I886" s="52"/>
      <c r="J886" s="52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52"/>
      <c r="C887" s="52"/>
      <c r="D887" s="52"/>
      <c r="E887" s="52"/>
      <c r="F887" s="4"/>
      <c r="G887" s="4"/>
      <c r="H887" s="52"/>
      <c r="I887" s="52"/>
      <c r="J887" s="52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52"/>
      <c r="C888" s="52"/>
      <c r="D888" s="52"/>
      <c r="E888" s="52"/>
      <c r="F888" s="4"/>
      <c r="G888" s="4"/>
      <c r="H888" s="52"/>
      <c r="I888" s="52"/>
      <c r="J888" s="52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52"/>
      <c r="C889" s="52"/>
      <c r="D889" s="52"/>
      <c r="E889" s="52"/>
      <c r="F889" s="4"/>
      <c r="G889" s="4"/>
      <c r="H889" s="52"/>
      <c r="I889" s="52"/>
      <c r="J889" s="52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52"/>
      <c r="C890" s="52"/>
      <c r="D890" s="52"/>
      <c r="E890" s="52"/>
      <c r="F890" s="4"/>
      <c r="G890" s="4"/>
      <c r="H890" s="52"/>
      <c r="I890" s="52"/>
      <c r="J890" s="52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52"/>
      <c r="C891" s="52"/>
      <c r="D891" s="52"/>
      <c r="E891" s="52"/>
      <c r="F891" s="4"/>
      <c r="G891" s="4"/>
      <c r="H891" s="52"/>
      <c r="I891" s="52"/>
      <c r="J891" s="52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52"/>
      <c r="C892" s="52"/>
      <c r="D892" s="52"/>
      <c r="E892" s="52"/>
      <c r="F892" s="4"/>
      <c r="G892" s="4"/>
      <c r="H892" s="52"/>
      <c r="I892" s="52"/>
      <c r="J892" s="52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52"/>
      <c r="C893" s="52"/>
      <c r="D893" s="52"/>
      <c r="E893" s="52"/>
      <c r="F893" s="4"/>
      <c r="G893" s="4"/>
      <c r="H893" s="52"/>
      <c r="I893" s="52"/>
      <c r="J893" s="52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52"/>
      <c r="C894" s="52"/>
      <c r="D894" s="52"/>
      <c r="E894" s="52"/>
      <c r="F894" s="4"/>
      <c r="G894" s="4"/>
      <c r="H894" s="52"/>
      <c r="I894" s="52"/>
      <c r="J894" s="52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52"/>
      <c r="C895" s="52"/>
      <c r="D895" s="52"/>
      <c r="E895" s="52"/>
      <c r="F895" s="4"/>
      <c r="G895" s="4"/>
      <c r="H895" s="52"/>
      <c r="I895" s="52"/>
      <c r="J895" s="52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52"/>
      <c r="C896" s="52"/>
      <c r="D896" s="52"/>
      <c r="E896" s="52"/>
      <c r="F896" s="4"/>
      <c r="G896" s="4"/>
      <c r="H896" s="52"/>
      <c r="I896" s="52"/>
      <c r="J896" s="52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52"/>
      <c r="C897" s="52"/>
      <c r="D897" s="52"/>
      <c r="E897" s="52"/>
      <c r="F897" s="4"/>
      <c r="G897" s="4"/>
      <c r="H897" s="52"/>
      <c r="I897" s="52"/>
      <c r="J897" s="52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52"/>
      <c r="C898" s="52"/>
      <c r="D898" s="52"/>
      <c r="E898" s="52"/>
      <c r="F898" s="4"/>
      <c r="G898" s="4"/>
      <c r="H898" s="52"/>
      <c r="I898" s="52"/>
      <c r="J898" s="52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52"/>
      <c r="C899" s="52"/>
      <c r="D899" s="52"/>
      <c r="E899" s="52"/>
      <c r="F899" s="4"/>
      <c r="G899" s="4"/>
      <c r="H899" s="52"/>
      <c r="I899" s="52"/>
      <c r="J899" s="52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52"/>
      <c r="C900" s="52"/>
      <c r="D900" s="52"/>
      <c r="E900" s="52"/>
      <c r="F900" s="4"/>
      <c r="G900" s="4"/>
      <c r="H900" s="52"/>
      <c r="I900" s="52"/>
      <c r="J900" s="52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52"/>
      <c r="C901" s="52"/>
      <c r="D901" s="52"/>
      <c r="E901" s="52"/>
      <c r="F901" s="4"/>
      <c r="G901" s="4"/>
      <c r="H901" s="52"/>
      <c r="I901" s="52"/>
      <c r="J901" s="52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52"/>
      <c r="C902" s="52"/>
      <c r="D902" s="52"/>
      <c r="E902" s="52"/>
      <c r="F902" s="4"/>
      <c r="G902" s="4"/>
      <c r="H902" s="52"/>
      <c r="I902" s="52"/>
      <c r="J902" s="52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52"/>
      <c r="C903" s="52"/>
      <c r="D903" s="52"/>
      <c r="E903" s="52"/>
      <c r="F903" s="4"/>
      <c r="G903" s="4"/>
      <c r="H903" s="52"/>
      <c r="I903" s="52"/>
      <c r="J903" s="52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52"/>
      <c r="C904" s="52"/>
      <c r="D904" s="52"/>
      <c r="E904" s="52"/>
      <c r="F904" s="4"/>
      <c r="G904" s="4"/>
      <c r="H904" s="52"/>
      <c r="I904" s="52"/>
      <c r="J904" s="52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52"/>
      <c r="C905" s="52"/>
      <c r="D905" s="52"/>
      <c r="E905" s="52"/>
      <c r="F905" s="4"/>
      <c r="G905" s="4"/>
      <c r="H905" s="52"/>
      <c r="I905" s="52"/>
      <c r="J905" s="52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52"/>
      <c r="C906" s="52"/>
      <c r="D906" s="52"/>
      <c r="E906" s="52"/>
      <c r="F906" s="4"/>
      <c r="G906" s="4"/>
      <c r="H906" s="52"/>
      <c r="I906" s="52"/>
      <c r="J906" s="52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52"/>
      <c r="C907" s="52"/>
      <c r="D907" s="52"/>
      <c r="E907" s="52"/>
      <c r="F907" s="4"/>
      <c r="G907" s="4"/>
      <c r="H907" s="52"/>
      <c r="I907" s="52"/>
      <c r="J907" s="52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52"/>
      <c r="C908" s="52"/>
      <c r="D908" s="52"/>
      <c r="E908" s="52"/>
      <c r="F908" s="4"/>
      <c r="G908" s="4"/>
      <c r="H908" s="52"/>
      <c r="I908" s="52"/>
      <c r="J908" s="52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52"/>
      <c r="C909" s="52"/>
      <c r="D909" s="52"/>
      <c r="E909" s="52"/>
      <c r="F909" s="4"/>
      <c r="G909" s="4"/>
      <c r="H909" s="52"/>
      <c r="I909" s="52"/>
      <c r="J909" s="52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52"/>
      <c r="C910" s="52"/>
      <c r="D910" s="52"/>
      <c r="E910" s="52"/>
      <c r="F910" s="4"/>
      <c r="G910" s="4"/>
      <c r="H910" s="52"/>
      <c r="I910" s="52"/>
      <c r="J910" s="52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52"/>
      <c r="C911" s="52"/>
      <c r="D911" s="52"/>
      <c r="E911" s="52"/>
      <c r="F911" s="4"/>
      <c r="G911" s="4"/>
      <c r="H911" s="52"/>
      <c r="I911" s="52"/>
      <c r="J911" s="52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52"/>
      <c r="C912" s="52"/>
      <c r="D912" s="52"/>
      <c r="E912" s="52"/>
      <c r="F912" s="4"/>
      <c r="G912" s="4"/>
      <c r="H912" s="52"/>
      <c r="I912" s="52"/>
      <c r="J912" s="52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52"/>
      <c r="C913" s="52"/>
      <c r="D913" s="52"/>
      <c r="E913" s="52"/>
      <c r="F913" s="4"/>
      <c r="G913" s="4"/>
      <c r="H913" s="52"/>
      <c r="I913" s="52"/>
      <c r="J913" s="52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52"/>
      <c r="C914" s="52"/>
      <c r="D914" s="52"/>
      <c r="E914" s="52"/>
      <c r="F914" s="4"/>
      <c r="G914" s="4"/>
      <c r="H914" s="52"/>
      <c r="I914" s="52"/>
      <c r="J914" s="52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52"/>
      <c r="C915" s="52"/>
      <c r="D915" s="52"/>
      <c r="E915" s="52"/>
      <c r="F915" s="4"/>
      <c r="G915" s="4"/>
      <c r="H915" s="52"/>
      <c r="I915" s="52"/>
      <c r="J915" s="52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52"/>
      <c r="C916" s="52"/>
      <c r="D916" s="52"/>
      <c r="E916" s="52"/>
      <c r="F916" s="4"/>
      <c r="G916" s="4"/>
      <c r="H916" s="52"/>
      <c r="I916" s="52"/>
      <c r="J916" s="52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52"/>
      <c r="C917" s="52"/>
      <c r="D917" s="52"/>
      <c r="E917" s="52"/>
      <c r="F917" s="4"/>
      <c r="G917" s="4"/>
      <c r="H917" s="52"/>
      <c r="I917" s="52"/>
      <c r="J917" s="52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52"/>
      <c r="C918" s="52"/>
      <c r="D918" s="52"/>
      <c r="E918" s="52"/>
      <c r="F918" s="4"/>
      <c r="G918" s="4"/>
      <c r="H918" s="52"/>
      <c r="I918" s="52"/>
      <c r="J918" s="52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52"/>
      <c r="C919" s="52"/>
      <c r="D919" s="52"/>
      <c r="E919" s="52"/>
      <c r="F919" s="4"/>
      <c r="G919" s="4"/>
      <c r="H919" s="52"/>
      <c r="I919" s="52"/>
      <c r="J919" s="52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52"/>
      <c r="C920" s="52"/>
      <c r="D920" s="52"/>
      <c r="E920" s="52"/>
      <c r="F920" s="4"/>
      <c r="G920" s="4"/>
      <c r="H920" s="52"/>
      <c r="I920" s="52"/>
      <c r="J920" s="52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52"/>
      <c r="C921" s="52"/>
      <c r="D921" s="52"/>
      <c r="E921" s="52"/>
      <c r="F921" s="4"/>
      <c r="G921" s="4"/>
      <c r="H921" s="52"/>
      <c r="I921" s="52"/>
      <c r="J921" s="52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52"/>
      <c r="C922" s="52"/>
      <c r="D922" s="52"/>
      <c r="E922" s="52"/>
      <c r="F922" s="4"/>
      <c r="G922" s="4"/>
      <c r="H922" s="52"/>
      <c r="I922" s="52"/>
      <c r="J922" s="52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52"/>
      <c r="C923" s="52"/>
      <c r="D923" s="52"/>
      <c r="E923" s="52"/>
      <c r="F923" s="4"/>
      <c r="G923" s="4"/>
      <c r="H923" s="52"/>
      <c r="I923" s="52"/>
      <c r="J923" s="52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52"/>
      <c r="C924" s="52"/>
      <c r="D924" s="52"/>
      <c r="E924" s="52"/>
      <c r="F924" s="4"/>
      <c r="G924" s="4"/>
      <c r="H924" s="52"/>
      <c r="I924" s="52"/>
      <c r="J924" s="52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52"/>
      <c r="C925" s="52"/>
      <c r="D925" s="52"/>
      <c r="E925" s="52"/>
      <c r="F925" s="4"/>
      <c r="G925" s="4"/>
      <c r="H925" s="52"/>
      <c r="I925" s="52"/>
      <c r="J925" s="52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52"/>
      <c r="C926" s="52"/>
      <c r="D926" s="52"/>
      <c r="E926" s="52"/>
      <c r="F926" s="4"/>
      <c r="G926" s="4"/>
      <c r="H926" s="52"/>
      <c r="I926" s="52"/>
      <c r="J926" s="52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52"/>
      <c r="C927" s="52"/>
      <c r="D927" s="52"/>
      <c r="E927" s="52"/>
      <c r="F927" s="4"/>
      <c r="G927" s="4"/>
      <c r="H927" s="52"/>
      <c r="I927" s="52"/>
      <c r="J927" s="52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52"/>
      <c r="C928" s="52"/>
      <c r="D928" s="52"/>
      <c r="E928" s="52"/>
      <c r="F928" s="4"/>
      <c r="G928" s="4"/>
      <c r="H928" s="52"/>
      <c r="I928" s="52"/>
      <c r="J928" s="52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52"/>
      <c r="C929" s="52"/>
      <c r="D929" s="52"/>
      <c r="E929" s="52"/>
      <c r="F929" s="4"/>
      <c r="G929" s="4"/>
      <c r="H929" s="52"/>
      <c r="I929" s="52"/>
      <c r="J929" s="52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52"/>
      <c r="C930" s="52"/>
      <c r="D930" s="52"/>
      <c r="E930" s="52"/>
      <c r="F930" s="4"/>
      <c r="G930" s="4"/>
      <c r="H930" s="52"/>
      <c r="I930" s="52"/>
      <c r="J930" s="52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52"/>
      <c r="C931" s="52"/>
      <c r="D931" s="52"/>
      <c r="E931" s="52"/>
      <c r="F931" s="4"/>
      <c r="G931" s="4"/>
      <c r="H931" s="52"/>
      <c r="I931" s="52"/>
      <c r="J931" s="52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52"/>
      <c r="C932" s="52"/>
      <c r="D932" s="52"/>
      <c r="E932" s="52"/>
      <c r="F932" s="4"/>
      <c r="G932" s="4"/>
      <c r="H932" s="52"/>
      <c r="I932" s="52"/>
      <c r="J932" s="52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52"/>
      <c r="C933" s="52"/>
      <c r="D933" s="52"/>
      <c r="E933" s="52"/>
      <c r="F933" s="4"/>
      <c r="G933" s="4"/>
      <c r="H933" s="52"/>
      <c r="I933" s="52"/>
      <c r="J933" s="52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52"/>
      <c r="C934" s="52"/>
      <c r="D934" s="52"/>
      <c r="E934" s="52"/>
      <c r="F934" s="4"/>
      <c r="G934" s="4"/>
      <c r="H934" s="52"/>
      <c r="I934" s="52"/>
      <c r="J934" s="52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52"/>
      <c r="C935" s="52"/>
      <c r="D935" s="52"/>
      <c r="E935" s="52"/>
      <c r="F935" s="4"/>
      <c r="G935" s="4"/>
      <c r="H935" s="52"/>
      <c r="I935" s="52"/>
      <c r="J935" s="52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52"/>
      <c r="C936" s="52"/>
      <c r="D936" s="52"/>
      <c r="E936" s="52"/>
      <c r="F936" s="4"/>
      <c r="G936" s="4"/>
      <c r="H936" s="52"/>
      <c r="I936" s="52"/>
      <c r="J936" s="52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52"/>
      <c r="C937" s="52"/>
      <c r="D937" s="52"/>
      <c r="E937" s="52"/>
      <c r="F937" s="4"/>
      <c r="G937" s="4"/>
      <c r="H937" s="52"/>
      <c r="I937" s="52"/>
      <c r="J937" s="52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52"/>
      <c r="C938" s="52"/>
      <c r="D938" s="52"/>
      <c r="E938" s="52"/>
      <c r="F938" s="4"/>
      <c r="G938" s="4"/>
      <c r="H938" s="52"/>
      <c r="I938" s="52"/>
      <c r="J938" s="52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52"/>
      <c r="C939" s="52"/>
      <c r="D939" s="52"/>
      <c r="E939" s="52"/>
      <c r="F939" s="4"/>
      <c r="G939" s="4"/>
      <c r="H939" s="52"/>
      <c r="I939" s="52"/>
      <c r="J939" s="52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52"/>
      <c r="C940" s="52"/>
      <c r="D940" s="52"/>
      <c r="E940" s="52"/>
      <c r="F940" s="4"/>
      <c r="G940" s="4"/>
      <c r="H940" s="52"/>
      <c r="I940" s="52"/>
      <c r="J940" s="52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52"/>
      <c r="C941" s="52"/>
      <c r="D941" s="52"/>
      <c r="E941" s="52"/>
      <c r="F941" s="4"/>
      <c r="G941" s="4"/>
      <c r="H941" s="52"/>
      <c r="I941" s="52"/>
      <c r="J941" s="52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52"/>
      <c r="C942" s="52"/>
      <c r="D942" s="52"/>
      <c r="E942" s="52"/>
      <c r="F942" s="4"/>
      <c r="G942" s="4"/>
      <c r="H942" s="52"/>
      <c r="I942" s="52"/>
      <c r="J942" s="52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52"/>
      <c r="C943" s="52"/>
      <c r="D943" s="52"/>
      <c r="E943" s="52"/>
      <c r="F943" s="4"/>
      <c r="G943" s="4"/>
      <c r="H943" s="52"/>
      <c r="I943" s="52"/>
      <c r="J943" s="52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52"/>
      <c r="C944" s="52"/>
      <c r="D944" s="52"/>
      <c r="E944" s="52"/>
      <c r="F944" s="4"/>
      <c r="G944" s="4"/>
      <c r="H944" s="52"/>
      <c r="I944" s="52"/>
      <c r="J944" s="52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52"/>
      <c r="C945" s="52"/>
      <c r="D945" s="52"/>
      <c r="E945" s="52"/>
      <c r="F945" s="4"/>
      <c r="G945" s="4"/>
      <c r="H945" s="52"/>
      <c r="I945" s="52"/>
      <c r="J945" s="52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52"/>
      <c r="C946" s="52"/>
      <c r="D946" s="52"/>
      <c r="E946" s="52"/>
      <c r="F946" s="4"/>
      <c r="G946" s="4"/>
      <c r="H946" s="52"/>
      <c r="I946" s="52"/>
      <c r="J946" s="52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52"/>
      <c r="C947" s="52"/>
      <c r="D947" s="52"/>
      <c r="E947" s="52"/>
      <c r="F947" s="4"/>
      <c r="G947" s="4"/>
      <c r="H947" s="52"/>
      <c r="I947" s="52"/>
      <c r="J947" s="52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52"/>
      <c r="C948" s="52"/>
      <c r="D948" s="52"/>
      <c r="E948" s="52"/>
      <c r="F948" s="4"/>
      <c r="G948" s="4"/>
      <c r="H948" s="52"/>
      <c r="I948" s="52"/>
      <c r="J948" s="52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52"/>
      <c r="C949" s="52"/>
      <c r="D949" s="52"/>
      <c r="E949" s="52"/>
      <c r="F949" s="4"/>
      <c r="G949" s="4"/>
      <c r="H949" s="52"/>
      <c r="I949" s="52"/>
      <c r="J949" s="52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52"/>
      <c r="C950" s="52"/>
      <c r="D950" s="52"/>
      <c r="E950" s="52"/>
      <c r="F950" s="4"/>
      <c r="G950" s="4"/>
      <c r="H950" s="52"/>
      <c r="I950" s="52"/>
      <c r="J950" s="52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52"/>
      <c r="C951" s="52"/>
      <c r="D951" s="52"/>
      <c r="E951" s="52"/>
      <c r="F951" s="4"/>
      <c r="G951" s="4"/>
      <c r="H951" s="52"/>
      <c r="I951" s="52"/>
      <c r="J951" s="52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52"/>
      <c r="C952" s="52"/>
      <c r="D952" s="52"/>
      <c r="E952" s="52"/>
      <c r="F952" s="4"/>
      <c r="G952" s="4"/>
      <c r="H952" s="52"/>
      <c r="I952" s="52"/>
      <c r="J952" s="52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52"/>
      <c r="C953" s="52"/>
      <c r="D953" s="52"/>
      <c r="E953" s="52"/>
      <c r="F953" s="4"/>
      <c r="G953" s="4"/>
      <c r="H953" s="52"/>
      <c r="I953" s="52"/>
      <c r="J953" s="52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52"/>
      <c r="C954" s="52"/>
      <c r="D954" s="52"/>
      <c r="E954" s="52"/>
      <c r="F954" s="4"/>
      <c r="G954" s="4"/>
      <c r="H954" s="52"/>
      <c r="I954" s="52"/>
      <c r="J954" s="52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52"/>
      <c r="C955" s="52"/>
      <c r="D955" s="52"/>
      <c r="E955" s="52"/>
      <c r="F955" s="4"/>
      <c r="G955" s="4"/>
      <c r="H955" s="52"/>
      <c r="I955" s="52"/>
      <c r="J955" s="52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52"/>
      <c r="C956" s="52"/>
      <c r="D956" s="52"/>
      <c r="E956" s="52"/>
      <c r="F956" s="4"/>
      <c r="G956" s="4"/>
      <c r="H956" s="52"/>
      <c r="I956" s="52"/>
      <c r="J956" s="52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52"/>
      <c r="C957" s="52"/>
      <c r="D957" s="52"/>
      <c r="E957" s="52"/>
      <c r="F957" s="4"/>
      <c r="G957" s="4"/>
      <c r="H957" s="52"/>
      <c r="I957" s="52"/>
      <c r="J957" s="52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52"/>
      <c r="C958" s="52"/>
      <c r="D958" s="52"/>
      <c r="E958" s="52"/>
      <c r="F958" s="4"/>
      <c r="G958" s="4"/>
      <c r="H958" s="52"/>
      <c r="I958" s="52"/>
      <c r="J958" s="52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52"/>
      <c r="C959" s="52"/>
      <c r="D959" s="52"/>
      <c r="E959" s="52"/>
      <c r="F959" s="4"/>
      <c r="G959" s="4"/>
      <c r="H959" s="52"/>
      <c r="I959" s="52"/>
      <c r="J959" s="52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52"/>
      <c r="C960" s="52"/>
      <c r="D960" s="52"/>
      <c r="E960" s="52"/>
      <c r="F960" s="4"/>
      <c r="G960" s="4"/>
      <c r="H960" s="52"/>
      <c r="I960" s="52"/>
      <c r="J960" s="52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52"/>
      <c r="C961" s="52"/>
      <c r="D961" s="52"/>
      <c r="E961" s="52"/>
      <c r="F961" s="4"/>
      <c r="G961" s="4"/>
      <c r="H961" s="52"/>
      <c r="I961" s="52"/>
      <c r="J961" s="52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52"/>
      <c r="C962" s="52"/>
      <c r="D962" s="52"/>
      <c r="E962" s="52"/>
      <c r="F962" s="4"/>
      <c r="G962" s="4"/>
      <c r="H962" s="52"/>
      <c r="I962" s="52"/>
      <c r="J962" s="52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52"/>
      <c r="C963" s="52"/>
      <c r="D963" s="52"/>
      <c r="E963" s="52"/>
      <c r="F963" s="4"/>
      <c r="G963" s="4"/>
      <c r="H963" s="52"/>
      <c r="I963" s="52"/>
      <c r="J963" s="52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52"/>
      <c r="C964" s="52"/>
      <c r="D964" s="52"/>
      <c r="E964" s="52"/>
      <c r="F964" s="4"/>
      <c r="G964" s="4"/>
      <c r="H964" s="52"/>
      <c r="I964" s="52"/>
      <c r="J964" s="52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52"/>
      <c r="C965" s="52"/>
      <c r="D965" s="52"/>
      <c r="E965" s="52"/>
      <c r="F965" s="4"/>
      <c r="G965" s="4"/>
      <c r="H965" s="52"/>
      <c r="I965" s="52"/>
      <c r="J965" s="52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52"/>
      <c r="C966" s="52"/>
      <c r="D966" s="52"/>
      <c r="E966" s="52"/>
      <c r="F966" s="4"/>
      <c r="G966" s="4"/>
      <c r="H966" s="52"/>
      <c r="I966" s="52"/>
      <c r="J966" s="52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52"/>
      <c r="C967" s="52"/>
      <c r="D967" s="52"/>
      <c r="E967" s="52"/>
      <c r="F967" s="4"/>
      <c r="G967" s="4"/>
      <c r="H967" s="52"/>
      <c r="I967" s="52"/>
      <c r="J967" s="52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52"/>
      <c r="C968" s="52"/>
      <c r="D968" s="52"/>
      <c r="E968" s="52"/>
      <c r="F968" s="4"/>
      <c r="G968" s="4"/>
      <c r="H968" s="52"/>
      <c r="I968" s="52"/>
      <c r="J968" s="52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52"/>
      <c r="C969" s="52"/>
      <c r="D969" s="52"/>
      <c r="E969" s="52"/>
      <c r="F969" s="4"/>
      <c r="G969" s="4"/>
      <c r="H969" s="52"/>
      <c r="I969" s="52"/>
      <c r="J969" s="52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52"/>
      <c r="C970" s="52"/>
      <c r="D970" s="52"/>
      <c r="E970" s="52"/>
      <c r="F970" s="4"/>
      <c r="G970" s="4"/>
      <c r="H970" s="52"/>
      <c r="I970" s="52"/>
      <c r="J970" s="52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52"/>
      <c r="C971" s="52"/>
      <c r="D971" s="52"/>
      <c r="E971" s="52"/>
      <c r="F971" s="4"/>
      <c r="G971" s="4"/>
      <c r="H971" s="52"/>
      <c r="I971" s="52"/>
      <c r="J971" s="52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52"/>
      <c r="C972" s="52"/>
      <c r="D972" s="52"/>
      <c r="E972" s="52"/>
      <c r="F972" s="4"/>
      <c r="G972" s="4"/>
      <c r="H972" s="52"/>
      <c r="I972" s="52"/>
      <c r="J972" s="52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52"/>
      <c r="C973" s="52"/>
      <c r="D973" s="52"/>
      <c r="E973" s="52"/>
      <c r="F973" s="4"/>
      <c r="G973" s="4"/>
      <c r="H973" s="52"/>
      <c r="I973" s="52"/>
      <c r="J973" s="52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52"/>
      <c r="C974" s="52"/>
      <c r="D974" s="52"/>
      <c r="E974" s="52"/>
      <c r="F974" s="4"/>
      <c r="G974" s="4"/>
      <c r="H974" s="52"/>
      <c r="I974" s="52"/>
      <c r="J974" s="52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52"/>
      <c r="C975" s="52"/>
      <c r="D975" s="52"/>
      <c r="E975" s="52"/>
      <c r="F975" s="4"/>
      <c r="G975" s="4"/>
      <c r="H975" s="52"/>
      <c r="I975" s="52"/>
      <c r="J975" s="52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52"/>
      <c r="C976" s="52"/>
      <c r="D976" s="52"/>
      <c r="E976" s="52"/>
      <c r="F976" s="4"/>
      <c r="G976" s="4"/>
      <c r="H976" s="52"/>
      <c r="I976" s="52"/>
      <c r="J976" s="52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52"/>
      <c r="C977" s="52"/>
      <c r="D977" s="52"/>
      <c r="E977" s="52"/>
      <c r="F977" s="4"/>
      <c r="G977" s="4"/>
      <c r="H977" s="52"/>
      <c r="I977" s="52"/>
      <c r="J977" s="52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52"/>
      <c r="C978" s="52"/>
      <c r="D978" s="52"/>
      <c r="E978" s="52"/>
      <c r="F978" s="4"/>
      <c r="G978" s="4"/>
      <c r="H978" s="52"/>
      <c r="I978" s="52"/>
      <c r="J978" s="52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52"/>
      <c r="C979" s="52"/>
      <c r="D979" s="52"/>
      <c r="E979" s="52"/>
      <c r="F979" s="4"/>
      <c r="G979" s="4"/>
      <c r="H979" s="52"/>
      <c r="I979" s="52"/>
      <c r="J979" s="52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52"/>
      <c r="C980" s="52"/>
      <c r="D980" s="52"/>
      <c r="E980" s="52"/>
      <c r="F980" s="4"/>
      <c r="G980" s="4"/>
      <c r="H980" s="52"/>
      <c r="I980" s="52"/>
      <c r="J980" s="52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52"/>
      <c r="C981" s="52"/>
      <c r="D981" s="52"/>
      <c r="E981" s="52"/>
      <c r="F981" s="4"/>
      <c r="G981" s="4"/>
      <c r="H981" s="52"/>
      <c r="I981" s="52"/>
      <c r="J981" s="52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52"/>
      <c r="C982" s="52"/>
      <c r="D982" s="52"/>
      <c r="E982" s="52"/>
      <c r="F982" s="4"/>
      <c r="G982" s="4"/>
      <c r="H982" s="52"/>
      <c r="I982" s="52"/>
      <c r="J982" s="52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52"/>
      <c r="C983" s="52"/>
      <c r="D983" s="52"/>
      <c r="E983" s="52"/>
      <c r="F983" s="4"/>
      <c r="G983" s="4"/>
      <c r="H983" s="52"/>
      <c r="I983" s="52"/>
      <c r="J983" s="52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52"/>
      <c r="C984" s="52"/>
      <c r="D984" s="52"/>
      <c r="E984" s="52"/>
      <c r="F984" s="4"/>
      <c r="G984" s="4"/>
      <c r="H984" s="52"/>
      <c r="I984" s="52"/>
      <c r="J984" s="52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52"/>
      <c r="C985" s="52"/>
      <c r="D985" s="52"/>
      <c r="E985" s="52"/>
      <c r="F985" s="4"/>
      <c r="G985" s="4"/>
      <c r="H985" s="52"/>
      <c r="I985" s="52"/>
      <c r="J985" s="52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52"/>
      <c r="C986" s="52"/>
      <c r="D986" s="52"/>
      <c r="E986" s="52"/>
      <c r="F986" s="4"/>
      <c r="G986" s="4"/>
      <c r="H986" s="52"/>
      <c r="I986" s="52"/>
      <c r="J986" s="52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52"/>
      <c r="C987" s="52"/>
      <c r="D987" s="52"/>
      <c r="E987" s="52"/>
      <c r="F987" s="4"/>
      <c r="G987" s="4"/>
      <c r="H987" s="52"/>
      <c r="I987" s="52"/>
      <c r="J987" s="52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52"/>
      <c r="C988" s="52"/>
      <c r="D988" s="52"/>
      <c r="E988" s="52"/>
      <c r="F988" s="4"/>
      <c r="G988" s="4"/>
      <c r="H988" s="52"/>
      <c r="I988" s="52"/>
      <c r="J988" s="52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52"/>
      <c r="C989" s="52"/>
      <c r="D989" s="52"/>
      <c r="E989" s="52"/>
      <c r="F989" s="4"/>
      <c r="G989" s="4"/>
      <c r="H989" s="52"/>
      <c r="I989" s="52"/>
      <c r="J989" s="52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52"/>
      <c r="C990" s="52"/>
      <c r="D990" s="52"/>
      <c r="E990" s="52"/>
      <c r="F990" s="4"/>
      <c r="G990" s="4"/>
      <c r="H990" s="52"/>
      <c r="I990" s="52"/>
      <c r="J990" s="52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52"/>
      <c r="C991" s="52"/>
      <c r="D991" s="52"/>
      <c r="E991" s="52"/>
      <c r="F991" s="4"/>
      <c r="G991" s="4"/>
      <c r="H991" s="52"/>
      <c r="I991" s="52"/>
      <c r="J991" s="52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52"/>
      <c r="C992" s="52"/>
      <c r="D992" s="52"/>
      <c r="E992" s="52"/>
      <c r="F992" s="4"/>
      <c r="G992" s="4"/>
      <c r="H992" s="52"/>
      <c r="I992" s="52"/>
      <c r="J992" s="52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52"/>
      <c r="C993" s="52"/>
      <c r="D993" s="52"/>
      <c r="E993" s="52"/>
      <c r="F993" s="4"/>
      <c r="G993" s="4"/>
      <c r="H993" s="52"/>
      <c r="I993" s="52"/>
      <c r="J993" s="52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52"/>
      <c r="C994" s="52"/>
      <c r="D994" s="52"/>
      <c r="E994" s="52"/>
      <c r="F994" s="4"/>
      <c r="G994" s="4"/>
      <c r="H994" s="52"/>
      <c r="I994" s="52"/>
      <c r="J994" s="52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52"/>
      <c r="C995" s="52"/>
      <c r="D995" s="52"/>
      <c r="E995" s="52"/>
      <c r="F995" s="4"/>
      <c r="G995" s="4"/>
      <c r="H995" s="52"/>
      <c r="I995" s="52"/>
      <c r="J995" s="52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52"/>
      <c r="C996" s="52"/>
      <c r="D996" s="52"/>
      <c r="E996" s="52"/>
      <c r="F996" s="4"/>
      <c r="G996" s="4"/>
      <c r="H996" s="52"/>
      <c r="I996" s="52"/>
      <c r="J996" s="52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52"/>
      <c r="C997" s="52"/>
      <c r="D997" s="52"/>
      <c r="E997" s="52"/>
      <c r="F997" s="4"/>
      <c r="G997" s="4"/>
      <c r="H997" s="52"/>
      <c r="I997" s="52"/>
      <c r="J997" s="52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52"/>
      <c r="C998" s="52"/>
      <c r="D998" s="52"/>
      <c r="E998" s="52"/>
      <c r="F998" s="4"/>
      <c r="G998" s="4"/>
      <c r="H998" s="52"/>
      <c r="I998" s="52"/>
      <c r="J998" s="52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52"/>
      <c r="C999" s="52"/>
      <c r="D999" s="52"/>
      <c r="E999" s="52"/>
      <c r="F999" s="4"/>
      <c r="G999" s="4"/>
      <c r="H999" s="52"/>
      <c r="I999" s="52"/>
      <c r="J999" s="52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52"/>
      <c r="C1000" s="52"/>
      <c r="D1000" s="52"/>
      <c r="E1000" s="52"/>
      <c r="F1000" s="4"/>
      <c r="G1000" s="4"/>
      <c r="H1000" s="52"/>
      <c r="I1000" s="52"/>
      <c r="J1000" s="52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52"/>
      <c r="C1001" s="52"/>
      <c r="D1001" s="52"/>
      <c r="E1001" s="52"/>
      <c r="F1001" s="4"/>
      <c r="G1001" s="4"/>
      <c r="H1001" s="52"/>
      <c r="I1001" s="52"/>
      <c r="J1001" s="52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5">
    <mergeCell ref="B1:E1"/>
    <mergeCell ref="G1:K1"/>
    <mergeCell ref="M1:Q1"/>
    <mergeCell ref="S1:W1"/>
    <mergeCell ref="Y1:AC1"/>
  </mergeCells>
  <conditionalFormatting sqref="H16">
    <cfRule type="notContainsBlanks" dxfId="0" priority="1">
      <formula>LEN(TRIM(H16))&gt;0</formula>
    </cfRule>
  </conditionalFormatting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3" width="14.5"/>
    <col customWidth="1" min="4" max="4" width="18.75"/>
    <col customWidth="1" min="5" max="5" width="16.63"/>
    <col customWidth="1" min="6" max="6" width="3.75"/>
    <col customWidth="1" min="7" max="7" width="12.13"/>
    <col customWidth="1" min="8" max="8" width="18.38"/>
    <col customWidth="1" min="9" max="9" width="18.0"/>
    <col customWidth="1" min="10" max="10" width="15.25"/>
    <col customWidth="1" min="11" max="11" width="18.75"/>
    <col customWidth="1" min="12" max="12" width="3.75"/>
    <col customWidth="1" min="13" max="13" width="10.88"/>
    <col customWidth="1" min="14" max="14" width="14.0"/>
    <col customWidth="1" min="15" max="15" width="16.13"/>
    <col customWidth="1" min="16" max="16" width="16.63"/>
    <col customWidth="1" min="17" max="17" width="14.88"/>
    <col customWidth="1" min="18" max="18" width="3.75"/>
    <col customWidth="1" min="19" max="19" width="8.5"/>
    <col customWidth="1" min="20" max="20" width="16.88"/>
    <col customWidth="1" min="21" max="21" width="13.75"/>
    <col customWidth="1" min="22" max="22" width="14.75"/>
    <col customWidth="1" min="23" max="23" width="18.38"/>
    <col customWidth="1" min="24" max="24" width="3.75"/>
    <col customWidth="1" min="25" max="25" width="12.13"/>
    <col customWidth="1" min="26" max="26" width="14.63"/>
    <col customWidth="1" min="27" max="27" width="15.13"/>
    <col customWidth="1" min="28" max="28" width="14.88"/>
    <col customWidth="1" min="29" max="29" width="13.88"/>
  </cols>
  <sheetData>
    <row r="1">
      <c r="A1" s="461"/>
      <c r="B1" s="460" t="s">
        <v>1765</v>
      </c>
      <c r="F1" s="461"/>
      <c r="G1" s="460" t="s">
        <v>1766</v>
      </c>
      <c r="L1" s="461"/>
      <c r="M1" s="460" t="s">
        <v>1767</v>
      </c>
      <c r="R1" s="461"/>
      <c r="S1" s="460" t="s">
        <v>1768</v>
      </c>
      <c r="X1" s="461"/>
      <c r="Y1" s="460" t="s">
        <v>1769</v>
      </c>
      <c r="AD1" s="461"/>
    </row>
    <row r="2">
      <c r="A2" s="4"/>
      <c r="B2" s="52"/>
      <c r="C2" s="52"/>
      <c r="D2" s="52"/>
      <c r="E2" s="52"/>
      <c r="F2" s="4"/>
      <c r="G2" s="4"/>
      <c r="H2" s="52"/>
      <c r="I2" s="52"/>
      <c r="J2" s="5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4"/>
      <c r="B3" s="518">
        <v>44928.0</v>
      </c>
      <c r="C3" s="518">
        <v>44929.0</v>
      </c>
      <c r="D3" s="518">
        <v>44931.0</v>
      </c>
      <c r="E3" s="518" t="s">
        <v>1883</v>
      </c>
      <c r="F3" s="4"/>
      <c r="G3" s="4"/>
      <c r="H3" s="518">
        <v>44935.0</v>
      </c>
      <c r="I3" s="518">
        <v>44936.0</v>
      </c>
      <c r="J3" s="518">
        <v>44938.0</v>
      </c>
      <c r="K3" s="518">
        <v>44939.0</v>
      </c>
      <c r="L3" s="4"/>
      <c r="M3" s="4"/>
      <c r="N3" s="518">
        <v>44942.0</v>
      </c>
      <c r="O3" s="518">
        <v>44943.0</v>
      </c>
      <c r="P3" s="518">
        <v>44945.0</v>
      </c>
      <c r="Q3" s="518">
        <v>44946.0</v>
      </c>
      <c r="R3" s="4"/>
      <c r="S3" s="4"/>
      <c r="T3" s="518">
        <v>44949.0</v>
      </c>
      <c r="U3" s="518">
        <v>44950.0</v>
      </c>
      <c r="V3" s="518">
        <v>44952.0</v>
      </c>
      <c r="W3" s="518">
        <v>44953.0</v>
      </c>
      <c r="X3" s="4"/>
      <c r="Y3" s="4"/>
      <c r="Z3" s="518">
        <v>44956.0</v>
      </c>
      <c r="AA3" s="518">
        <v>44957.0</v>
      </c>
      <c r="AB3" s="4"/>
      <c r="AC3" s="4"/>
      <c r="AD3" s="4"/>
    </row>
    <row r="4">
      <c r="A4" s="97" t="s">
        <v>0</v>
      </c>
      <c r="B4" s="189" t="s">
        <v>435</v>
      </c>
      <c r="C4" s="189" t="s">
        <v>435</v>
      </c>
      <c r="D4" s="189" t="s">
        <v>435</v>
      </c>
      <c r="E4" s="189" t="s">
        <v>435</v>
      </c>
      <c r="F4" s="4"/>
      <c r="G4" s="97" t="s">
        <v>0</v>
      </c>
      <c r="H4" s="189"/>
      <c r="I4" s="189"/>
      <c r="J4" s="189"/>
      <c r="K4" s="189"/>
      <c r="L4" s="4"/>
      <c r="M4" s="97" t="s">
        <v>0</v>
      </c>
      <c r="N4" s="189" t="s">
        <v>435</v>
      </c>
      <c r="O4" s="189" t="s">
        <v>1217</v>
      </c>
      <c r="P4" s="189" t="s">
        <v>1356</v>
      </c>
      <c r="Q4" s="189" t="s">
        <v>435</v>
      </c>
      <c r="R4" s="4"/>
      <c r="S4" s="97" t="s">
        <v>0</v>
      </c>
      <c r="T4" s="189" t="s">
        <v>435</v>
      </c>
      <c r="U4" s="189" t="s">
        <v>1532</v>
      </c>
      <c r="V4" s="519" t="s">
        <v>1423</v>
      </c>
      <c r="W4" s="189" t="s">
        <v>435</v>
      </c>
      <c r="X4" s="4"/>
      <c r="Y4" s="97" t="s">
        <v>0</v>
      </c>
      <c r="Z4" s="189" t="s">
        <v>435</v>
      </c>
      <c r="AA4" s="189" t="s">
        <v>435</v>
      </c>
      <c r="AB4" s="4"/>
      <c r="AC4" s="4"/>
      <c r="AD4" s="4"/>
    </row>
    <row r="5">
      <c r="A5" s="97" t="s">
        <v>5</v>
      </c>
      <c r="B5" s="189" t="s">
        <v>435</v>
      </c>
      <c r="C5" s="189" t="s">
        <v>435</v>
      </c>
      <c r="D5" s="189" t="s">
        <v>435</v>
      </c>
      <c r="E5" s="189" t="s">
        <v>435</v>
      </c>
      <c r="F5" s="4"/>
      <c r="G5" s="97" t="s">
        <v>5</v>
      </c>
      <c r="H5" s="189"/>
      <c r="I5" s="189" t="s">
        <v>735</v>
      </c>
      <c r="J5" s="189" t="s">
        <v>1884</v>
      </c>
      <c r="K5" s="189"/>
      <c r="L5" s="4"/>
      <c r="M5" s="97" t="s">
        <v>5</v>
      </c>
      <c r="N5" s="189" t="s">
        <v>435</v>
      </c>
      <c r="O5" s="189" t="s">
        <v>963</v>
      </c>
      <c r="P5" s="189" t="s">
        <v>1375</v>
      </c>
      <c r="Q5" s="189" t="s">
        <v>435</v>
      </c>
      <c r="R5" s="4"/>
      <c r="S5" s="97" t="s">
        <v>5</v>
      </c>
      <c r="T5" s="189" t="s">
        <v>435</v>
      </c>
      <c r="U5" s="189" t="s">
        <v>435</v>
      </c>
      <c r="V5" s="189" t="s">
        <v>435</v>
      </c>
      <c r="W5" s="189" t="s">
        <v>435</v>
      </c>
      <c r="X5" s="4"/>
      <c r="Y5" s="97" t="s">
        <v>5</v>
      </c>
      <c r="Z5" s="189" t="s">
        <v>435</v>
      </c>
      <c r="AA5" s="189" t="s">
        <v>303</v>
      </c>
      <c r="AB5" s="4"/>
      <c r="AC5" s="4"/>
      <c r="AD5" s="4"/>
    </row>
    <row r="6">
      <c r="A6" s="97" t="s">
        <v>13</v>
      </c>
      <c r="B6" s="189" t="s">
        <v>435</v>
      </c>
      <c r="C6" s="189" t="s">
        <v>435</v>
      </c>
      <c r="D6" s="189" t="s">
        <v>435</v>
      </c>
      <c r="E6" s="189" t="s">
        <v>435</v>
      </c>
      <c r="F6" s="4"/>
      <c r="G6" s="97" t="s">
        <v>13</v>
      </c>
      <c r="H6" s="189"/>
      <c r="I6" s="189"/>
      <c r="J6" s="189" t="s">
        <v>296</v>
      </c>
      <c r="K6" s="189"/>
      <c r="L6" s="4"/>
      <c r="M6" s="97" t="s">
        <v>13</v>
      </c>
      <c r="N6" s="189" t="s">
        <v>435</v>
      </c>
      <c r="O6" s="189" t="s">
        <v>311</v>
      </c>
      <c r="P6" s="228" t="s">
        <v>1082</v>
      </c>
      <c r="Q6" s="189" t="s">
        <v>435</v>
      </c>
      <c r="R6" s="4"/>
      <c r="S6" s="97" t="s">
        <v>13</v>
      </c>
      <c r="T6" s="189" t="s">
        <v>435</v>
      </c>
      <c r="U6" s="189" t="s">
        <v>435</v>
      </c>
      <c r="V6" s="189" t="s">
        <v>435</v>
      </c>
      <c r="W6" s="189" t="s">
        <v>435</v>
      </c>
      <c r="X6" s="4"/>
      <c r="Y6" s="97" t="s">
        <v>13</v>
      </c>
      <c r="Z6" s="189" t="s">
        <v>435</v>
      </c>
      <c r="AA6" s="189" t="s">
        <v>311</v>
      </c>
      <c r="AB6" s="4"/>
      <c r="AC6" s="4"/>
      <c r="AD6" s="4"/>
    </row>
    <row r="7">
      <c r="A7" s="97" t="s">
        <v>19</v>
      </c>
      <c r="B7" s="189" t="s">
        <v>435</v>
      </c>
      <c r="C7" s="189" t="s">
        <v>435</v>
      </c>
      <c r="D7" s="189" t="s">
        <v>435</v>
      </c>
      <c r="E7" s="189" t="s">
        <v>435</v>
      </c>
      <c r="F7" s="4"/>
      <c r="G7" s="97" t="s">
        <v>19</v>
      </c>
      <c r="H7" s="189"/>
      <c r="I7" s="189"/>
      <c r="J7" s="189" t="s">
        <v>963</v>
      </c>
      <c r="K7" s="189"/>
      <c r="L7" s="4"/>
      <c r="M7" s="97" t="s">
        <v>19</v>
      </c>
      <c r="N7" s="189" t="s">
        <v>435</v>
      </c>
      <c r="O7" s="189" t="s">
        <v>329</v>
      </c>
      <c r="P7" s="189"/>
      <c r="Q7" s="189" t="s">
        <v>435</v>
      </c>
      <c r="R7" s="4"/>
      <c r="S7" s="97" t="s">
        <v>19</v>
      </c>
      <c r="T7" s="189" t="s">
        <v>435</v>
      </c>
      <c r="U7" s="189" t="s">
        <v>1136</v>
      </c>
      <c r="V7" s="519" t="s">
        <v>1595</v>
      </c>
      <c r="W7" s="189" t="s">
        <v>435</v>
      </c>
      <c r="X7" s="4"/>
      <c r="Y7" s="97" t="s">
        <v>19</v>
      </c>
      <c r="Z7" s="189" t="s">
        <v>435</v>
      </c>
      <c r="AA7" s="189" t="s">
        <v>435</v>
      </c>
      <c r="AB7" s="4"/>
      <c r="AC7" s="4"/>
      <c r="AD7" s="4"/>
    </row>
    <row r="8">
      <c r="A8" s="97" t="s">
        <v>39</v>
      </c>
      <c r="B8" s="189" t="s">
        <v>435</v>
      </c>
      <c r="C8" s="189" t="s">
        <v>435</v>
      </c>
      <c r="D8" s="189" t="s">
        <v>435</v>
      </c>
      <c r="E8" s="228"/>
      <c r="F8" s="4"/>
      <c r="G8" s="97" t="s">
        <v>39</v>
      </c>
      <c r="H8" s="189"/>
      <c r="I8" s="189"/>
      <c r="J8" s="189" t="s">
        <v>980</v>
      </c>
      <c r="K8" s="189"/>
      <c r="L8" s="4"/>
      <c r="M8" s="97" t="s">
        <v>39</v>
      </c>
      <c r="N8" s="189" t="s">
        <v>435</v>
      </c>
      <c r="O8" s="189" t="s">
        <v>1136</v>
      </c>
      <c r="P8" s="189" t="s">
        <v>1250</v>
      </c>
      <c r="Q8" s="189" t="s">
        <v>435</v>
      </c>
      <c r="R8" s="4"/>
      <c r="S8" s="97" t="s">
        <v>39</v>
      </c>
      <c r="T8" s="189" t="s">
        <v>435</v>
      </c>
      <c r="U8" s="189" t="s">
        <v>1294</v>
      </c>
      <c r="V8" s="189" t="s">
        <v>435</v>
      </c>
      <c r="W8" s="189" t="s">
        <v>435</v>
      </c>
      <c r="X8" s="4"/>
      <c r="Y8" s="97" t="s">
        <v>39</v>
      </c>
      <c r="Z8" s="189" t="s">
        <v>435</v>
      </c>
      <c r="AA8" s="189" t="s">
        <v>435</v>
      </c>
      <c r="AB8" s="4"/>
      <c r="AC8" s="4"/>
      <c r="AD8" s="4"/>
    </row>
    <row r="9">
      <c r="A9" s="97" t="s">
        <v>45</v>
      </c>
      <c r="B9" s="189" t="s">
        <v>435</v>
      </c>
      <c r="C9" s="189" t="s">
        <v>435</v>
      </c>
      <c r="D9" s="189" t="s">
        <v>435</v>
      </c>
      <c r="E9" s="228"/>
      <c r="F9" s="4"/>
      <c r="G9" s="97" t="s">
        <v>45</v>
      </c>
      <c r="H9" s="189"/>
      <c r="I9" s="189" t="s">
        <v>1885</v>
      </c>
      <c r="J9" s="189" t="s">
        <v>998</v>
      </c>
      <c r="K9" s="189" t="s">
        <v>525</v>
      </c>
      <c r="L9" s="4"/>
      <c r="M9" s="97" t="s">
        <v>45</v>
      </c>
      <c r="N9" s="189" t="s">
        <v>435</v>
      </c>
      <c r="O9" s="189" t="s">
        <v>1294</v>
      </c>
      <c r="P9" s="189" t="s">
        <v>998</v>
      </c>
      <c r="Q9" s="468"/>
      <c r="R9" s="4"/>
      <c r="S9" s="97" t="s">
        <v>45</v>
      </c>
      <c r="T9" s="189" t="s">
        <v>435</v>
      </c>
      <c r="U9" s="189" t="s">
        <v>944</v>
      </c>
      <c r="V9" s="189" t="s">
        <v>998</v>
      </c>
      <c r="W9" s="189" t="s">
        <v>435</v>
      </c>
      <c r="X9" s="4"/>
      <c r="Y9" s="97" t="s">
        <v>45</v>
      </c>
      <c r="Z9" s="189" t="s">
        <v>435</v>
      </c>
      <c r="AA9" s="189" t="s">
        <v>435</v>
      </c>
      <c r="AB9" s="4"/>
      <c r="AC9" s="4"/>
      <c r="AD9" s="4"/>
    </row>
    <row r="10">
      <c r="A10" s="97" t="s">
        <v>54</v>
      </c>
      <c r="B10" s="189" t="s">
        <v>435</v>
      </c>
      <c r="C10" s="189" t="s">
        <v>435</v>
      </c>
      <c r="D10" s="189" t="s">
        <v>435</v>
      </c>
      <c r="E10" s="228"/>
      <c r="F10" s="4"/>
      <c r="G10" s="97" t="s">
        <v>54</v>
      </c>
      <c r="H10" s="189"/>
      <c r="I10" s="189"/>
      <c r="J10" s="520" t="s">
        <v>1021</v>
      </c>
      <c r="K10" s="189" t="s">
        <v>633</v>
      </c>
      <c r="L10" s="4"/>
      <c r="M10" s="97" t="s">
        <v>54</v>
      </c>
      <c r="N10" s="468"/>
      <c r="O10" s="189" t="s">
        <v>17</v>
      </c>
      <c r="P10" s="189" t="s">
        <v>1021</v>
      </c>
      <c r="Q10" s="189" t="s">
        <v>624</v>
      </c>
      <c r="R10" s="4"/>
      <c r="S10" s="97" t="s">
        <v>54</v>
      </c>
      <c r="T10" s="189" t="s">
        <v>623</v>
      </c>
      <c r="U10" s="189" t="s">
        <v>17</v>
      </c>
      <c r="V10" s="189" t="s">
        <v>1021</v>
      </c>
      <c r="W10" s="189" t="s">
        <v>435</v>
      </c>
      <c r="X10" s="4"/>
      <c r="Y10" s="97" t="s">
        <v>54</v>
      </c>
      <c r="Z10" s="189" t="s">
        <v>435</v>
      </c>
      <c r="AA10" s="189" t="s">
        <v>17</v>
      </c>
      <c r="AB10" s="4"/>
      <c r="AC10" s="4"/>
      <c r="AD10" s="4"/>
    </row>
    <row r="11">
      <c r="A11" s="97" t="s">
        <v>64</v>
      </c>
      <c r="B11" s="189" t="s">
        <v>435</v>
      </c>
      <c r="C11" s="189" t="s">
        <v>435</v>
      </c>
      <c r="D11" s="189" t="s">
        <v>435</v>
      </c>
      <c r="E11" s="228"/>
      <c r="F11" s="4"/>
      <c r="G11" s="97" t="s">
        <v>64</v>
      </c>
      <c r="H11" s="189" t="s">
        <v>730</v>
      </c>
      <c r="I11" s="521" t="s">
        <v>830</v>
      </c>
      <c r="J11" s="208" t="s">
        <v>776</v>
      </c>
      <c r="K11" s="198" t="s">
        <v>1136</v>
      </c>
      <c r="L11" s="4"/>
      <c r="M11" s="97" t="s">
        <v>64</v>
      </c>
      <c r="N11" s="189"/>
      <c r="O11" s="189" t="s">
        <v>330</v>
      </c>
      <c r="P11" s="4"/>
      <c r="Q11" s="189" t="s">
        <v>1471</v>
      </c>
      <c r="R11" s="4"/>
      <c r="S11" s="97" t="s">
        <v>64</v>
      </c>
      <c r="T11" s="189" t="s">
        <v>730</v>
      </c>
      <c r="U11" s="189" t="s">
        <v>607</v>
      </c>
      <c r="V11" s="189" t="s">
        <v>776</v>
      </c>
      <c r="W11" s="189" t="s">
        <v>296</v>
      </c>
      <c r="X11" s="4"/>
      <c r="Y11" s="97" t="s">
        <v>64</v>
      </c>
      <c r="Z11" s="189" t="s">
        <v>435</v>
      </c>
      <c r="AA11" s="189" t="s">
        <v>607</v>
      </c>
      <c r="AB11" s="4"/>
      <c r="AC11" s="4"/>
      <c r="AD11" s="4"/>
    </row>
    <row r="12">
      <c r="A12" s="97" t="s">
        <v>71</v>
      </c>
      <c r="B12" s="189" t="s">
        <v>435</v>
      </c>
      <c r="C12" s="189" t="s">
        <v>435</v>
      </c>
      <c r="D12" s="189" t="s">
        <v>435</v>
      </c>
      <c r="E12" s="228"/>
      <c r="F12" s="4"/>
      <c r="G12" s="97" t="s">
        <v>71</v>
      </c>
      <c r="H12" s="189" t="s">
        <v>753</v>
      </c>
      <c r="I12" s="228" t="s">
        <v>548</v>
      </c>
      <c r="J12" s="208" t="s">
        <v>1886</v>
      </c>
      <c r="K12" s="198" t="s">
        <v>1155</v>
      </c>
      <c r="L12" s="4"/>
      <c r="M12" s="97" t="s">
        <v>71</v>
      </c>
      <c r="N12" s="189" t="s">
        <v>345</v>
      </c>
      <c r="O12" s="198" t="s">
        <v>307</v>
      </c>
      <c r="P12" s="189" t="s">
        <v>217</v>
      </c>
      <c r="Q12" s="189" t="s">
        <v>365</v>
      </c>
      <c r="R12" s="4"/>
      <c r="S12" s="97" t="s">
        <v>71</v>
      </c>
      <c r="T12" s="189" t="s">
        <v>1523</v>
      </c>
      <c r="U12" s="189" t="s">
        <v>251</v>
      </c>
      <c r="V12" s="189" t="s">
        <v>217</v>
      </c>
      <c r="W12" s="189" t="s">
        <v>753</v>
      </c>
      <c r="X12" s="4"/>
      <c r="Y12" s="97" t="s">
        <v>71</v>
      </c>
      <c r="Z12" s="189" t="s">
        <v>435</v>
      </c>
      <c r="AA12" s="189" t="s">
        <v>1673</v>
      </c>
      <c r="AB12" s="4"/>
      <c r="AC12" s="4"/>
      <c r="AD12" s="4"/>
    </row>
    <row r="13">
      <c r="A13" s="97" t="s">
        <v>80</v>
      </c>
      <c r="B13" s="189" t="s">
        <v>435</v>
      </c>
      <c r="C13" s="189" t="s">
        <v>435</v>
      </c>
      <c r="D13" s="189" t="s">
        <v>435</v>
      </c>
      <c r="E13" s="228"/>
      <c r="F13" s="4"/>
      <c r="G13" s="97" t="s">
        <v>80</v>
      </c>
      <c r="H13" s="189"/>
      <c r="I13" s="521" t="s">
        <v>251</v>
      </c>
      <c r="J13" s="208" t="s">
        <v>1082</v>
      </c>
      <c r="K13" s="522"/>
      <c r="L13" s="4"/>
      <c r="M13" s="97" t="s">
        <v>80</v>
      </c>
      <c r="N13" s="208" t="s">
        <v>882</v>
      </c>
      <c r="O13" s="189" t="s">
        <v>1347</v>
      </c>
      <c r="P13" s="189" t="s">
        <v>776</v>
      </c>
      <c r="Q13" s="189" t="s">
        <v>275</v>
      </c>
      <c r="R13" s="4"/>
      <c r="S13" s="97" t="s">
        <v>80</v>
      </c>
      <c r="T13" s="189" t="s">
        <v>435</v>
      </c>
      <c r="U13" s="189" t="s">
        <v>1579</v>
      </c>
      <c r="V13" s="189" t="s">
        <v>435</v>
      </c>
      <c r="W13" s="189" t="s">
        <v>633</v>
      </c>
      <c r="X13" s="4"/>
      <c r="Y13" s="97" t="s">
        <v>80</v>
      </c>
      <c r="Z13" s="208" t="s">
        <v>882</v>
      </c>
      <c r="AA13" s="189" t="s">
        <v>907</v>
      </c>
      <c r="AB13" s="4"/>
      <c r="AC13" s="4"/>
      <c r="AD13" s="4"/>
    </row>
    <row r="14">
      <c r="A14" s="479" t="s">
        <v>95</v>
      </c>
      <c r="B14" s="189" t="s">
        <v>435</v>
      </c>
      <c r="C14" s="189" t="s">
        <v>435</v>
      </c>
      <c r="D14" s="189" t="s">
        <v>435</v>
      </c>
      <c r="E14" s="228"/>
      <c r="F14" s="4"/>
      <c r="G14" s="479" t="s">
        <v>95</v>
      </c>
      <c r="H14" s="189"/>
      <c r="I14" s="521" t="s">
        <v>905</v>
      </c>
      <c r="J14" s="208"/>
      <c r="K14" s="198"/>
      <c r="L14" s="4"/>
      <c r="M14" s="479" t="s">
        <v>95</v>
      </c>
      <c r="N14" s="189" t="s">
        <v>624</v>
      </c>
      <c r="O14" s="189"/>
      <c r="P14" s="189" t="s">
        <v>96</v>
      </c>
      <c r="Q14" s="189" t="s">
        <v>804</v>
      </c>
      <c r="R14" s="4"/>
      <c r="S14" s="479" t="s">
        <v>95</v>
      </c>
      <c r="T14" s="189" t="s">
        <v>435</v>
      </c>
      <c r="U14" s="189" t="s">
        <v>328</v>
      </c>
      <c r="V14" s="189" t="s">
        <v>435</v>
      </c>
      <c r="W14" s="189" t="s">
        <v>435</v>
      </c>
      <c r="X14" s="4"/>
      <c r="Y14" s="479" t="s">
        <v>95</v>
      </c>
      <c r="Z14" s="189" t="s">
        <v>435</v>
      </c>
      <c r="AA14" s="189" t="s">
        <v>905</v>
      </c>
      <c r="AB14" s="4"/>
      <c r="AC14" s="4"/>
      <c r="AD14" s="4"/>
    </row>
    <row r="15">
      <c r="A15" s="4"/>
      <c r="B15" s="52"/>
      <c r="C15" s="52"/>
      <c r="D15" s="52"/>
      <c r="E15" s="52"/>
      <c r="F15" s="4"/>
      <c r="G15" s="4"/>
      <c r="H15" s="52"/>
      <c r="I15" s="52"/>
      <c r="J15" s="5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4"/>
      <c r="B16" s="52"/>
      <c r="C16" s="52"/>
      <c r="D16" s="52"/>
      <c r="E16" s="52">
        <f>COUNT(H4:K14)</f>
        <v>0</v>
      </c>
      <c r="F16" s="4"/>
      <c r="G16" s="4"/>
      <c r="H16" s="52"/>
      <c r="I16" s="52"/>
      <c r="J16" s="5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461"/>
      <c r="B17" s="523">
        <v>44959.0</v>
      </c>
      <c r="C17" s="523">
        <v>44960.0</v>
      </c>
      <c r="D17" s="52"/>
      <c r="E17" s="57"/>
      <c r="F17" s="461"/>
      <c r="G17" s="461"/>
      <c r="H17" s="523">
        <v>44963.0</v>
      </c>
      <c r="I17" s="523">
        <v>44964.0</v>
      </c>
      <c r="J17" s="523">
        <v>44966.0</v>
      </c>
      <c r="K17" s="523">
        <v>44967.0</v>
      </c>
      <c r="L17" s="461"/>
      <c r="M17" s="461"/>
      <c r="N17" s="523">
        <v>44970.0</v>
      </c>
      <c r="O17" s="523">
        <v>44971.0</v>
      </c>
      <c r="P17" s="523">
        <v>44973.0</v>
      </c>
      <c r="Q17" s="523">
        <v>44974.0</v>
      </c>
      <c r="R17" s="461"/>
      <c r="S17" s="461"/>
      <c r="T17" s="523">
        <v>44977.0</v>
      </c>
      <c r="U17" s="523">
        <v>44978.0</v>
      </c>
      <c r="V17" s="523">
        <v>44980.0</v>
      </c>
      <c r="W17" s="523">
        <v>44981.0</v>
      </c>
      <c r="X17" s="461"/>
      <c r="Y17" s="461"/>
      <c r="Z17" s="524">
        <v>44984.0</v>
      </c>
      <c r="AA17" s="524">
        <v>44985.0</v>
      </c>
      <c r="AB17" s="461"/>
      <c r="AC17" s="461"/>
      <c r="AD17" s="461"/>
    </row>
    <row r="18">
      <c r="A18" s="97" t="s">
        <v>0</v>
      </c>
      <c r="B18" s="189" t="s">
        <v>435</v>
      </c>
      <c r="C18" s="189" t="s">
        <v>435</v>
      </c>
      <c r="D18" s="52"/>
      <c r="E18" s="52"/>
      <c r="F18" s="4"/>
      <c r="G18" s="97" t="s">
        <v>0</v>
      </c>
      <c r="H18" s="189" t="s">
        <v>435</v>
      </c>
      <c r="I18" s="189" t="s">
        <v>809</v>
      </c>
      <c r="J18" s="468" t="s">
        <v>435</v>
      </c>
      <c r="K18" s="189" t="s">
        <v>435</v>
      </c>
      <c r="L18" s="4"/>
      <c r="M18" s="97" t="s">
        <v>0</v>
      </c>
      <c r="N18" s="189" t="s">
        <v>435</v>
      </c>
      <c r="O18" s="189" t="s">
        <v>809</v>
      </c>
      <c r="P18" s="189" t="s">
        <v>464</v>
      </c>
      <c r="Q18" s="189" t="s">
        <v>435</v>
      </c>
      <c r="R18" s="4"/>
      <c r="S18" s="97" t="s">
        <v>0</v>
      </c>
      <c r="T18" s="525" t="s">
        <v>435</v>
      </c>
      <c r="U18" s="189" t="s">
        <v>435</v>
      </c>
      <c r="V18" s="526" t="s">
        <v>1567</v>
      </c>
      <c r="W18" s="525" t="s">
        <v>435</v>
      </c>
      <c r="X18" s="4"/>
      <c r="Y18" s="97" t="s">
        <v>0</v>
      </c>
      <c r="Z18" s="189" t="s">
        <v>435</v>
      </c>
      <c r="AA18" s="208" t="s">
        <v>435</v>
      </c>
      <c r="AB18" s="4"/>
      <c r="AC18" s="4"/>
      <c r="AD18" s="4"/>
    </row>
    <row r="19">
      <c r="A19" s="97" t="s">
        <v>5</v>
      </c>
      <c r="B19" s="189" t="s">
        <v>471</v>
      </c>
      <c r="C19" s="189" t="s">
        <v>435</v>
      </c>
      <c r="D19" s="52"/>
      <c r="E19" s="52"/>
      <c r="F19" s="4"/>
      <c r="G19" s="97" t="s">
        <v>5</v>
      </c>
      <c r="H19" s="189" t="s">
        <v>435</v>
      </c>
      <c r="I19" s="189" t="s">
        <v>754</v>
      </c>
      <c r="J19" s="166" t="s">
        <v>1096</v>
      </c>
      <c r="K19" s="189" t="s">
        <v>435</v>
      </c>
      <c r="L19" s="4"/>
      <c r="M19" s="97" t="s">
        <v>5</v>
      </c>
      <c r="N19" s="189" t="s">
        <v>435</v>
      </c>
      <c r="O19" s="189" t="s">
        <v>1324</v>
      </c>
      <c r="P19" s="189" t="s">
        <v>1394</v>
      </c>
      <c r="Q19" s="189" t="s">
        <v>435</v>
      </c>
      <c r="R19" s="4"/>
      <c r="S19" s="97" t="s">
        <v>5</v>
      </c>
      <c r="T19" s="525" t="s">
        <v>435</v>
      </c>
      <c r="U19" s="508" t="s">
        <v>435</v>
      </c>
      <c r="V19" s="166" t="s">
        <v>464</v>
      </c>
      <c r="W19" s="525" t="s">
        <v>435</v>
      </c>
      <c r="X19" s="4"/>
      <c r="Y19" s="97" t="s">
        <v>5</v>
      </c>
      <c r="Z19" s="189" t="s">
        <v>435</v>
      </c>
      <c r="AA19" s="208" t="s">
        <v>929</v>
      </c>
      <c r="AB19" s="4"/>
      <c r="AC19" s="4"/>
      <c r="AD19" s="4"/>
    </row>
    <row r="20">
      <c r="A20" s="97" t="s">
        <v>13</v>
      </c>
      <c r="B20" s="189" t="s">
        <v>435</v>
      </c>
      <c r="C20" s="189" t="s">
        <v>435</v>
      </c>
      <c r="D20" s="52"/>
      <c r="E20" s="52"/>
      <c r="F20" s="4"/>
      <c r="G20" s="97" t="s">
        <v>13</v>
      </c>
      <c r="H20" s="189" t="s">
        <v>435</v>
      </c>
      <c r="I20" s="468" t="s">
        <v>435</v>
      </c>
      <c r="J20" s="189" t="s">
        <v>296</v>
      </c>
      <c r="K20" s="189" t="s">
        <v>435</v>
      </c>
      <c r="L20" s="4"/>
      <c r="M20" s="97" t="s">
        <v>13</v>
      </c>
      <c r="N20" s="189" t="s">
        <v>435</v>
      </c>
      <c r="O20" s="189" t="s">
        <v>322</v>
      </c>
      <c r="P20" s="189" t="s">
        <v>1406</v>
      </c>
      <c r="Q20" s="189" t="s">
        <v>435</v>
      </c>
      <c r="R20" s="4"/>
      <c r="S20" s="97" t="s">
        <v>13</v>
      </c>
      <c r="T20" s="525" t="s">
        <v>435</v>
      </c>
      <c r="U20" s="166" t="s">
        <v>322</v>
      </c>
      <c r="V20" s="508" t="s">
        <v>435</v>
      </c>
      <c r="W20" s="525" t="s">
        <v>435</v>
      </c>
      <c r="X20" s="4"/>
      <c r="Y20" s="97" t="s">
        <v>13</v>
      </c>
      <c r="Z20" s="189" t="s">
        <v>435</v>
      </c>
      <c r="AA20" s="208" t="s">
        <v>435</v>
      </c>
      <c r="AB20" s="4"/>
      <c r="AC20" s="4"/>
      <c r="AD20" s="4"/>
    </row>
    <row r="21">
      <c r="A21" s="97" t="s">
        <v>19</v>
      </c>
      <c r="B21" s="189" t="s">
        <v>435</v>
      </c>
      <c r="C21" s="189" t="s">
        <v>435</v>
      </c>
      <c r="D21" s="52"/>
      <c r="E21" s="52"/>
      <c r="F21" s="4"/>
      <c r="G21" s="97" t="s">
        <v>19</v>
      </c>
      <c r="H21" s="189" t="s">
        <v>435</v>
      </c>
      <c r="I21" s="189" t="s">
        <v>981</v>
      </c>
      <c r="J21" s="189" t="s">
        <v>464</v>
      </c>
      <c r="K21" s="189" t="s">
        <v>435</v>
      </c>
      <c r="L21" s="4"/>
      <c r="M21" s="97" t="s">
        <v>19</v>
      </c>
      <c r="N21" s="189" t="s">
        <v>435</v>
      </c>
      <c r="O21" s="189" t="s">
        <v>754</v>
      </c>
      <c r="P21" s="189" t="s">
        <v>805</v>
      </c>
      <c r="Q21" s="189" t="s">
        <v>435</v>
      </c>
      <c r="R21" s="4"/>
      <c r="S21" s="97" t="s">
        <v>19</v>
      </c>
      <c r="T21" s="525" t="s">
        <v>435</v>
      </c>
      <c r="U21" s="189" t="s">
        <v>754</v>
      </c>
      <c r="V21" s="526" t="s">
        <v>1295</v>
      </c>
      <c r="W21" s="525" t="s">
        <v>435</v>
      </c>
      <c r="X21" s="4"/>
      <c r="Y21" s="97" t="s">
        <v>19</v>
      </c>
      <c r="Z21" s="189" t="s">
        <v>435</v>
      </c>
      <c r="AA21" s="208" t="s">
        <v>435</v>
      </c>
      <c r="AB21" s="4"/>
      <c r="AC21" s="4"/>
      <c r="AD21" s="4"/>
    </row>
    <row r="22">
      <c r="A22" s="97" t="s">
        <v>39</v>
      </c>
      <c r="B22" s="189" t="s">
        <v>435</v>
      </c>
      <c r="C22" s="189" t="s">
        <v>435</v>
      </c>
      <c r="D22" s="52"/>
      <c r="E22" s="52"/>
      <c r="F22" s="4"/>
      <c r="G22" s="97" t="s">
        <v>39</v>
      </c>
      <c r="H22" s="189" t="s">
        <v>435</v>
      </c>
      <c r="I22" s="166" t="s">
        <v>904</v>
      </c>
      <c r="J22" s="189" t="s">
        <v>435</v>
      </c>
      <c r="K22" s="189" t="s">
        <v>435</v>
      </c>
      <c r="L22" s="4"/>
      <c r="M22" s="97" t="s">
        <v>39</v>
      </c>
      <c r="N22" s="189" t="s">
        <v>435</v>
      </c>
      <c r="O22" s="189" t="s">
        <v>435</v>
      </c>
      <c r="P22" s="189" t="s">
        <v>435</v>
      </c>
      <c r="Q22" s="189" t="s">
        <v>435</v>
      </c>
      <c r="R22" s="4"/>
      <c r="S22" s="97" t="s">
        <v>39</v>
      </c>
      <c r="T22" s="525" t="s">
        <v>435</v>
      </c>
      <c r="U22" s="189" t="s">
        <v>435</v>
      </c>
      <c r="V22" s="166" t="s">
        <v>435</v>
      </c>
      <c r="W22" s="525" t="s">
        <v>435</v>
      </c>
      <c r="X22" s="4"/>
      <c r="Y22" s="97" t="s">
        <v>39</v>
      </c>
      <c r="Z22" s="189" t="s">
        <v>435</v>
      </c>
      <c r="AA22" s="208" t="s">
        <v>435</v>
      </c>
      <c r="AB22" s="4"/>
      <c r="AC22" s="4"/>
      <c r="AD22" s="4"/>
    </row>
    <row r="23">
      <c r="A23" s="97" t="s">
        <v>45</v>
      </c>
      <c r="B23" s="189" t="s">
        <v>435</v>
      </c>
      <c r="C23" s="189" t="s">
        <v>435</v>
      </c>
      <c r="D23" s="52"/>
      <c r="E23" s="52"/>
      <c r="F23" s="4"/>
      <c r="G23" s="97" t="s">
        <v>45</v>
      </c>
      <c r="H23" s="189" t="s">
        <v>831</v>
      </c>
      <c r="I23" s="189" t="s">
        <v>435</v>
      </c>
      <c r="J23" s="468" t="s">
        <v>435</v>
      </c>
      <c r="K23" s="189" t="s">
        <v>435</v>
      </c>
      <c r="L23" s="4"/>
      <c r="M23" s="97" t="s">
        <v>45</v>
      </c>
      <c r="N23" s="189" t="s">
        <v>1246</v>
      </c>
      <c r="O23" s="189" t="s">
        <v>435</v>
      </c>
      <c r="P23" s="189" t="s">
        <v>435</v>
      </c>
      <c r="Q23" s="189" t="s">
        <v>435</v>
      </c>
      <c r="R23" s="4"/>
      <c r="S23" s="97" t="s">
        <v>45</v>
      </c>
      <c r="T23" s="525" t="s">
        <v>435</v>
      </c>
      <c r="U23" s="228" t="s">
        <v>435</v>
      </c>
      <c r="V23" s="166" t="s">
        <v>435</v>
      </c>
      <c r="W23" s="525" t="s">
        <v>435</v>
      </c>
      <c r="X23" s="4"/>
      <c r="Y23" s="97" t="s">
        <v>45</v>
      </c>
      <c r="Z23" s="189" t="s">
        <v>435</v>
      </c>
      <c r="AA23" s="208" t="s">
        <v>435</v>
      </c>
      <c r="AB23" s="4"/>
      <c r="AC23" s="4"/>
      <c r="AD23" s="4"/>
    </row>
    <row r="24">
      <c r="A24" s="97" t="s">
        <v>54</v>
      </c>
      <c r="B24" s="189" t="s">
        <v>435</v>
      </c>
      <c r="C24" s="189" t="s">
        <v>435</v>
      </c>
      <c r="D24" s="52"/>
      <c r="E24" s="52"/>
      <c r="F24" s="4"/>
      <c r="G24" s="97" t="s">
        <v>54</v>
      </c>
      <c r="H24" s="189" t="s">
        <v>735</v>
      </c>
      <c r="I24" s="468" t="s">
        <v>435</v>
      </c>
      <c r="J24" s="189" t="s">
        <v>294</v>
      </c>
      <c r="K24" s="189" t="s">
        <v>312</v>
      </c>
      <c r="L24" s="4"/>
      <c r="M24" s="97" t="s">
        <v>54</v>
      </c>
      <c r="N24" s="189" t="s">
        <v>1259</v>
      </c>
      <c r="O24" s="189" t="s">
        <v>435</v>
      </c>
      <c r="P24" s="189" t="s">
        <v>312</v>
      </c>
      <c r="Q24" s="189" t="s">
        <v>307</v>
      </c>
      <c r="R24" s="4"/>
      <c r="S24" s="97" t="s">
        <v>54</v>
      </c>
      <c r="T24" s="189" t="s">
        <v>623</v>
      </c>
      <c r="U24" s="189" t="s">
        <v>238</v>
      </c>
      <c r="V24" s="508" t="s">
        <v>435</v>
      </c>
      <c r="W24" s="526" t="s">
        <v>624</v>
      </c>
      <c r="X24" s="4"/>
      <c r="Y24" s="97" t="s">
        <v>54</v>
      </c>
      <c r="Z24" s="189" t="s">
        <v>435</v>
      </c>
      <c r="AA24" s="208" t="s">
        <v>435</v>
      </c>
      <c r="AB24" s="4"/>
      <c r="AC24" s="4"/>
      <c r="AD24" s="4"/>
    </row>
    <row r="25">
      <c r="A25" s="97" t="s">
        <v>64</v>
      </c>
      <c r="B25" s="189" t="s">
        <v>435</v>
      </c>
      <c r="C25" s="189" t="s">
        <v>435</v>
      </c>
      <c r="D25" s="52"/>
      <c r="E25" s="52"/>
      <c r="F25" s="4"/>
      <c r="G25" s="97" t="s">
        <v>64</v>
      </c>
      <c r="H25" s="189" t="s">
        <v>525</v>
      </c>
      <c r="I25" s="189" t="s">
        <v>1022</v>
      </c>
      <c r="J25" s="468" t="s">
        <v>435</v>
      </c>
      <c r="K25" s="166" t="s">
        <v>435</v>
      </c>
      <c r="L25" s="4"/>
      <c r="M25" s="97" t="s">
        <v>64</v>
      </c>
      <c r="N25" s="189"/>
      <c r="O25" s="189" t="s">
        <v>435</v>
      </c>
      <c r="P25" s="189" t="s">
        <v>435</v>
      </c>
      <c r="Q25" s="189" t="s">
        <v>435</v>
      </c>
      <c r="R25" s="4"/>
      <c r="S25" s="97" t="s">
        <v>64</v>
      </c>
      <c r="T25" s="189" t="s">
        <v>525</v>
      </c>
      <c r="U25" s="189" t="s">
        <v>435</v>
      </c>
      <c r="V25" s="189" t="s">
        <v>598</v>
      </c>
      <c r="W25" s="164" t="s">
        <v>435</v>
      </c>
      <c r="X25" s="4"/>
      <c r="Y25" s="97" t="s">
        <v>64</v>
      </c>
      <c r="Z25" s="189" t="s">
        <v>435</v>
      </c>
      <c r="AA25" s="208" t="s">
        <v>435</v>
      </c>
      <c r="AB25" s="4"/>
      <c r="AC25" s="4"/>
      <c r="AD25" s="4"/>
    </row>
    <row r="26">
      <c r="A26" s="97" t="s">
        <v>71</v>
      </c>
      <c r="B26" s="189" t="s">
        <v>435</v>
      </c>
      <c r="C26" s="189" t="s">
        <v>548</v>
      </c>
      <c r="D26" s="52"/>
      <c r="E26" s="52"/>
      <c r="F26" s="4"/>
      <c r="G26" s="97" t="s">
        <v>71</v>
      </c>
      <c r="H26" s="189" t="s">
        <v>327</v>
      </c>
      <c r="I26" s="527" t="s">
        <v>251</v>
      </c>
      <c r="J26" s="189" t="s">
        <v>598</v>
      </c>
      <c r="K26" s="189" t="s">
        <v>1218</v>
      </c>
      <c r="L26" s="4"/>
      <c r="M26" s="97" t="s">
        <v>71</v>
      </c>
      <c r="N26" s="189" t="s">
        <v>982</v>
      </c>
      <c r="O26" s="189" t="s">
        <v>1357</v>
      </c>
      <c r="P26" s="468" t="s">
        <v>435</v>
      </c>
      <c r="Q26" s="189" t="s">
        <v>1472</v>
      </c>
      <c r="R26" s="4"/>
      <c r="S26" s="97" t="s">
        <v>71</v>
      </c>
      <c r="T26" s="189" t="s">
        <v>887</v>
      </c>
      <c r="U26" s="528" t="s">
        <v>251</v>
      </c>
      <c r="V26" s="189" t="s">
        <v>882</v>
      </c>
      <c r="W26" s="529" t="s">
        <v>982</v>
      </c>
      <c r="X26" s="4"/>
      <c r="Y26" s="97" t="s">
        <v>71</v>
      </c>
      <c r="Z26" s="189" t="s">
        <v>435</v>
      </c>
      <c r="AA26" s="208" t="s">
        <v>435</v>
      </c>
      <c r="AB26" s="4"/>
      <c r="AC26" s="4"/>
      <c r="AD26" s="4"/>
    </row>
    <row r="27">
      <c r="A27" s="97" t="s">
        <v>80</v>
      </c>
      <c r="B27" s="189" t="s">
        <v>275</v>
      </c>
      <c r="C27" s="189" t="s">
        <v>804</v>
      </c>
      <c r="D27" s="52"/>
      <c r="E27" s="52"/>
      <c r="F27" s="4"/>
      <c r="G27" s="97" t="s">
        <v>80</v>
      </c>
      <c r="H27" s="189" t="s">
        <v>633</v>
      </c>
      <c r="I27" s="189" t="s">
        <v>907</v>
      </c>
      <c r="J27" s="189" t="s">
        <v>1191</v>
      </c>
      <c r="K27" s="189" t="s">
        <v>1230</v>
      </c>
      <c r="L27" s="4"/>
      <c r="M27" s="97" t="s">
        <v>80</v>
      </c>
      <c r="N27" s="526"/>
      <c r="O27" s="189" t="s">
        <v>294</v>
      </c>
      <c r="P27" s="189" t="s">
        <v>1443</v>
      </c>
      <c r="Q27" s="189" t="s">
        <v>1483</v>
      </c>
      <c r="R27" s="4"/>
      <c r="S27" s="97" t="s">
        <v>80</v>
      </c>
      <c r="T27" s="166" t="s">
        <v>1098</v>
      </c>
      <c r="U27" s="529" t="s">
        <v>907</v>
      </c>
      <c r="V27" s="468" t="s">
        <v>435</v>
      </c>
      <c r="W27" s="142" t="s">
        <v>435</v>
      </c>
      <c r="X27" s="4"/>
      <c r="Y27" s="97" t="s">
        <v>80</v>
      </c>
      <c r="Z27" s="189" t="s">
        <v>435</v>
      </c>
      <c r="AA27" s="208" t="s">
        <v>435</v>
      </c>
      <c r="AB27" s="4"/>
      <c r="AC27" s="4"/>
      <c r="AD27" s="4"/>
    </row>
    <row r="28">
      <c r="A28" s="479" t="s">
        <v>95</v>
      </c>
      <c r="B28" s="189" t="s">
        <v>435</v>
      </c>
      <c r="C28" s="189" t="s">
        <v>435</v>
      </c>
      <c r="D28" s="52"/>
      <c r="E28" s="52"/>
      <c r="F28" s="4"/>
      <c r="G28" s="479" t="s">
        <v>95</v>
      </c>
      <c r="H28" s="189" t="s">
        <v>435</v>
      </c>
      <c r="I28" s="189" t="s">
        <v>779</v>
      </c>
      <c r="J28" s="468" t="s">
        <v>435</v>
      </c>
      <c r="K28" s="189" t="s">
        <v>435</v>
      </c>
      <c r="L28" s="4"/>
      <c r="M28" s="479" t="s">
        <v>95</v>
      </c>
      <c r="N28" s="189" t="s">
        <v>275</v>
      </c>
      <c r="O28" s="189" t="s">
        <v>435</v>
      </c>
      <c r="P28" s="189" t="s">
        <v>1887</v>
      </c>
      <c r="Q28" s="468" t="s">
        <v>435</v>
      </c>
      <c r="R28" s="4"/>
      <c r="S28" s="479" t="s">
        <v>95</v>
      </c>
      <c r="T28" s="166" t="s">
        <v>435</v>
      </c>
      <c r="U28" s="189" t="s">
        <v>294</v>
      </c>
      <c r="V28" s="468" t="s">
        <v>435</v>
      </c>
      <c r="W28" s="166" t="s">
        <v>435</v>
      </c>
      <c r="X28" s="4"/>
      <c r="Y28" s="479" t="s">
        <v>95</v>
      </c>
      <c r="Z28" s="189" t="s">
        <v>435</v>
      </c>
      <c r="AA28" s="208" t="s">
        <v>435</v>
      </c>
      <c r="AB28" s="4"/>
      <c r="AC28" s="4"/>
      <c r="AD28" s="4"/>
    </row>
    <row r="29">
      <c r="A29" s="4"/>
      <c r="B29" s="52"/>
      <c r="C29" s="52"/>
      <c r="D29" s="52"/>
      <c r="E29" s="52"/>
      <c r="F29" s="4"/>
      <c r="G29" s="4"/>
      <c r="H29" s="52"/>
      <c r="I29" s="52"/>
      <c r="J29" s="5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52"/>
      <c r="C30" s="52"/>
      <c r="D30" s="52"/>
      <c r="E30" s="52"/>
      <c r="F30" s="4"/>
      <c r="G30" s="4"/>
      <c r="H30" s="52"/>
      <c r="I30" s="52"/>
      <c r="J30" s="5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61"/>
      <c r="B31" s="530">
        <v>44986.0</v>
      </c>
      <c r="C31" s="531">
        <v>44987.0</v>
      </c>
      <c r="D31" s="531">
        <v>44988.0</v>
      </c>
      <c r="E31" s="52"/>
      <c r="F31" s="4"/>
      <c r="G31" s="461"/>
      <c r="H31" s="531">
        <v>44991.0</v>
      </c>
      <c r="I31" s="531">
        <v>44992.0</v>
      </c>
      <c r="J31" s="531">
        <v>44994.0</v>
      </c>
      <c r="K31" s="531">
        <v>44995.0</v>
      </c>
      <c r="L31" s="4"/>
      <c r="M31" s="461"/>
      <c r="N31" s="531">
        <v>44998.0</v>
      </c>
      <c r="O31" s="531">
        <v>44999.0</v>
      </c>
      <c r="P31" s="531">
        <v>45001.0</v>
      </c>
      <c r="Q31" s="531">
        <v>45002.0</v>
      </c>
      <c r="R31" s="4"/>
      <c r="S31" s="461"/>
      <c r="T31" s="531">
        <v>45005.0</v>
      </c>
      <c r="U31" s="531">
        <v>45006.0</v>
      </c>
      <c r="V31" s="531">
        <v>45008.0</v>
      </c>
      <c r="W31" s="531">
        <v>45009.0</v>
      </c>
      <c r="X31" s="4"/>
      <c r="Y31" s="461"/>
      <c r="Z31" s="530">
        <v>45012.0</v>
      </c>
      <c r="AA31" s="530">
        <v>45013.0</v>
      </c>
      <c r="AB31" s="532" t="s">
        <v>1888</v>
      </c>
      <c r="AC31" s="531">
        <v>45015.0</v>
      </c>
      <c r="AD31" s="4"/>
    </row>
    <row r="32">
      <c r="A32" s="97" t="s">
        <v>0</v>
      </c>
      <c r="B32" s="208" t="s">
        <v>541</v>
      </c>
      <c r="C32" s="533" t="s">
        <v>435</v>
      </c>
      <c r="D32" s="189" t="s">
        <v>435</v>
      </c>
      <c r="E32" s="52"/>
      <c r="F32" s="4"/>
      <c r="G32" s="97" t="s">
        <v>0</v>
      </c>
      <c r="H32" s="189" t="s">
        <v>435</v>
      </c>
      <c r="I32" s="189" t="s">
        <v>1115</v>
      </c>
      <c r="J32" s="189" t="s">
        <v>1247</v>
      </c>
      <c r="K32" s="189" t="s">
        <v>435</v>
      </c>
      <c r="L32" s="4"/>
      <c r="M32" s="97" t="s">
        <v>0</v>
      </c>
      <c r="N32" s="189" t="s">
        <v>435</v>
      </c>
      <c r="O32" s="189" t="s">
        <v>232</v>
      </c>
      <c r="P32" s="189" t="s">
        <v>1296</v>
      </c>
      <c r="Q32" s="189" t="s">
        <v>435</v>
      </c>
      <c r="R32" s="4"/>
      <c r="S32" s="97" t="s">
        <v>0</v>
      </c>
      <c r="T32" s="525" t="s">
        <v>435</v>
      </c>
      <c r="U32" s="189" t="s">
        <v>435</v>
      </c>
      <c r="V32" s="526" t="s">
        <v>435</v>
      </c>
      <c r="W32" s="525" t="s">
        <v>435</v>
      </c>
      <c r="X32" s="4"/>
      <c r="Y32" s="97" t="s">
        <v>0</v>
      </c>
      <c r="Z32" s="208" t="s">
        <v>435</v>
      </c>
      <c r="AA32" s="534" t="s">
        <v>947</v>
      </c>
      <c r="AB32" s="189" t="s">
        <v>435</v>
      </c>
      <c r="AC32" s="198" t="s">
        <v>435</v>
      </c>
      <c r="AD32" s="4"/>
    </row>
    <row r="33">
      <c r="A33" s="97" t="s">
        <v>5</v>
      </c>
      <c r="B33" s="535" t="s">
        <v>435</v>
      </c>
      <c r="C33" s="198" t="s">
        <v>435</v>
      </c>
      <c r="D33" s="189" t="s">
        <v>435</v>
      </c>
      <c r="E33" s="52"/>
      <c r="F33" s="4"/>
      <c r="G33" s="97" t="s">
        <v>5</v>
      </c>
      <c r="H33" s="189" t="s">
        <v>435</v>
      </c>
      <c r="I33" s="189" t="s">
        <v>231</v>
      </c>
      <c r="J33" s="166" t="s">
        <v>1260</v>
      </c>
      <c r="K33" s="189" t="s">
        <v>435</v>
      </c>
      <c r="L33" s="4"/>
      <c r="M33" s="97" t="s">
        <v>5</v>
      </c>
      <c r="N33" s="189" t="s">
        <v>435</v>
      </c>
      <c r="O33" s="189" t="s">
        <v>1473</v>
      </c>
      <c r="P33" s="189" t="s">
        <v>472</v>
      </c>
      <c r="Q33" s="189" t="s">
        <v>435</v>
      </c>
      <c r="R33" s="4"/>
      <c r="S33" s="97" t="s">
        <v>5</v>
      </c>
      <c r="T33" s="525" t="s">
        <v>435</v>
      </c>
      <c r="U33" s="166" t="s">
        <v>1635</v>
      </c>
      <c r="V33" s="166" t="s">
        <v>1115</v>
      </c>
      <c r="W33" s="525" t="s">
        <v>435</v>
      </c>
      <c r="X33" s="4"/>
      <c r="Y33" s="97" t="s">
        <v>5</v>
      </c>
      <c r="Z33" s="208" t="s">
        <v>435</v>
      </c>
      <c r="AA33" s="534" t="s">
        <v>1742</v>
      </c>
      <c r="AB33" s="189" t="s">
        <v>435</v>
      </c>
      <c r="AC33" s="198" t="s">
        <v>435</v>
      </c>
      <c r="AD33" s="4"/>
    </row>
    <row r="34">
      <c r="A34" s="97" t="s">
        <v>13</v>
      </c>
      <c r="B34" s="208" t="s">
        <v>435</v>
      </c>
      <c r="C34" s="198" t="s">
        <v>805</v>
      </c>
      <c r="D34" s="189" t="s">
        <v>945</v>
      </c>
      <c r="E34" s="52"/>
      <c r="F34" s="4"/>
      <c r="G34" s="97" t="s">
        <v>13</v>
      </c>
      <c r="H34" s="189" t="s">
        <v>435</v>
      </c>
      <c r="I34" s="189" t="s">
        <v>322</v>
      </c>
      <c r="J34" s="189" t="s">
        <v>1275</v>
      </c>
      <c r="K34" s="189" t="s">
        <v>435</v>
      </c>
      <c r="L34" s="4"/>
      <c r="M34" s="97" t="s">
        <v>13</v>
      </c>
      <c r="N34" s="189" t="s">
        <v>435</v>
      </c>
      <c r="O34" s="189" t="s">
        <v>322</v>
      </c>
      <c r="P34" s="189" t="s">
        <v>805</v>
      </c>
      <c r="Q34" s="189" t="s">
        <v>435</v>
      </c>
      <c r="R34" s="4"/>
      <c r="S34" s="97" t="s">
        <v>13</v>
      </c>
      <c r="T34" s="525" t="s">
        <v>435</v>
      </c>
      <c r="U34" s="166" t="s">
        <v>904</v>
      </c>
      <c r="V34" s="166" t="s">
        <v>237</v>
      </c>
      <c r="W34" s="525" t="s">
        <v>435</v>
      </c>
      <c r="X34" s="4"/>
      <c r="Y34" s="97" t="s">
        <v>13</v>
      </c>
      <c r="Z34" s="208" t="s">
        <v>435</v>
      </c>
      <c r="AA34" s="534" t="s">
        <v>322</v>
      </c>
      <c r="AB34" s="189" t="s">
        <v>435</v>
      </c>
      <c r="AC34" s="533" t="s">
        <v>435</v>
      </c>
      <c r="AD34" s="4"/>
    </row>
    <row r="35">
      <c r="A35" s="97" t="s">
        <v>19</v>
      </c>
      <c r="B35" s="208" t="s">
        <v>754</v>
      </c>
      <c r="C35" s="198" t="s">
        <v>296</v>
      </c>
      <c r="D35" s="189" t="s">
        <v>435</v>
      </c>
      <c r="E35" s="52"/>
      <c r="F35" s="4"/>
      <c r="G35" s="97" t="s">
        <v>19</v>
      </c>
      <c r="H35" s="189" t="s">
        <v>435</v>
      </c>
      <c r="I35" s="189" t="s">
        <v>1174</v>
      </c>
      <c r="J35" s="189" t="s">
        <v>1295</v>
      </c>
      <c r="K35" s="189" t="s">
        <v>435</v>
      </c>
      <c r="L35" s="4"/>
      <c r="M35" s="97" t="s">
        <v>19</v>
      </c>
      <c r="N35" s="189" t="s">
        <v>435</v>
      </c>
      <c r="O35" s="189" t="s">
        <v>435</v>
      </c>
      <c r="P35" s="189" t="s">
        <v>296</v>
      </c>
      <c r="Q35" s="189" t="s">
        <v>435</v>
      </c>
      <c r="R35" s="4"/>
      <c r="S35" s="97" t="s">
        <v>19</v>
      </c>
      <c r="T35" s="525" t="s">
        <v>435</v>
      </c>
      <c r="U35" s="189" t="s">
        <v>754</v>
      </c>
      <c r="V35" s="526" t="s">
        <v>435</v>
      </c>
      <c r="W35" s="525" t="s">
        <v>435</v>
      </c>
      <c r="X35" s="4"/>
      <c r="Y35" s="97" t="s">
        <v>19</v>
      </c>
      <c r="Z35" s="208" t="s">
        <v>435</v>
      </c>
      <c r="AA35" s="534" t="s">
        <v>1454</v>
      </c>
      <c r="AB35" s="189" t="s">
        <v>435</v>
      </c>
      <c r="AC35" s="533" t="s">
        <v>435</v>
      </c>
      <c r="AD35" s="4"/>
    </row>
    <row r="36">
      <c r="A36" s="97" t="s">
        <v>39</v>
      </c>
      <c r="B36" s="208" t="s">
        <v>435</v>
      </c>
      <c r="C36" s="198" t="s">
        <v>435</v>
      </c>
      <c r="D36" s="189" t="s">
        <v>435</v>
      </c>
      <c r="E36" s="52"/>
      <c r="F36" s="4"/>
      <c r="G36" s="97" t="s">
        <v>39</v>
      </c>
      <c r="H36" s="189" t="s">
        <v>435</v>
      </c>
      <c r="I36" s="166" t="s">
        <v>435</v>
      </c>
      <c r="J36" s="189" t="s">
        <v>435</v>
      </c>
      <c r="K36" s="189" t="s">
        <v>435</v>
      </c>
      <c r="L36" s="4"/>
      <c r="M36" s="97" t="s">
        <v>39</v>
      </c>
      <c r="N36" s="189" t="s">
        <v>435</v>
      </c>
      <c r="O36" s="189" t="s">
        <v>435</v>
      </c>
      <c r="P36" s="189" t="s">
        <v>435</v>
      </c>
      <c r="Q36" s="189" t="s">
        <v>435</v>
      </c>
      <c r="R36" s="4"/>
      <c r="S36" s="97" t="s">
        <v>39</v>
      </c>
      <c r="T36" s="525" t="s">
        <v>435</v>
      </c>
      <c r="U36" s="189" t="s">
        <v>435</v>
      </c>
      <c r="V36" s="166" t="s">
        <v>435</v>
      </c>
      <c r="W36" s="525" t="s">
        <v>435</v>
      </c>
      <c r="X36" s="4"/>
      <c r="Y36" s="97" t="s">
        <v>39</v>
      </c>
      <c r="Z36" s="208" t="s">
        <v>435</v>
      </c>
      <c r="AA36" s="534" t="s">
        <v>435</v>
      </c>
      <c r="AB36" s="189" t="s">
        <v>435</v>
      </c>
      <c r="AC36" s="198" t="s">
        <v>435</v>
      </c>
      <c r="AD36" s="4"/>
    </row>
    <row r="37">
      <c r="A37" s="97" t="s">
        <v>45</v>
      </c>
      <c r="B37" s="535" t="s">
        <v>435</v>
      </c>
      <c r="C37" s="198" t="s">
        <v>464</v>
      </c>
      <c r="D37" s="189"/>
      <c r="E37" s="52"/>
      <c r="F37" s="4"/>
      <c r="G37" s="97" t="s">
        <v>45</v>
      </c>
      <c r="H37" s="189" t="s">
        <v>435</v>
      </c>
      <c r="I37" s="189" t="s">
        <v>435</v>
      </c>
      <c r="J37" s="468" t="s">
        <v>435</v>
      </c>
      <c r="K37" s="189" t="s">
        <v>435</v>
      </c>
      <c r="L37" s="4"/>
      <c r="M37" s="97" t="s">
        <v>45</v>
      </c>
      <c r="N37" s="189" t="s">
        <v>435</v>
      </c>
      <c r="O37" s="189" t="s">
        <v>1324</v>
      </c>
      <c r="P37" s="189" t="s">
        <v>231</v>
      </c>
      <c r="Q37" s="189" t="s">
        <v>731</v>
      </c>
      <c r="R37" s="4"/>
      <c r="S37" s="97" t="s">
        <v>45</v>
      </c>
      <c r="T37" s="525" t="s">
        <v>435</v>
      </c>
      <c r="U37" s="460" t="s">
        <v>435</v>
      </c>
      <c r="V37" s="166" t="s">
        <v>1697</v>
      </c>
      <c r="W37" s="189" t="s">
        <v>624</v>
      </c>
      <c r="X37" s="4"/>
      <c r="Y37" s="97" t="s">
        <v>45</v>
      </c>
      <c r="Z37" s="208" t="s">
        <v>435</v>
      </c>
      <c r="AA37" s="534" t="s">
        <v>435</v>
      </c>
      <c r="AB37" s="189" t="s">
        <v>435</v>
      </c>
      <c r="AC37" s="198" t="s">
        <v>57</v>
      </c>
      <c r="AD37" s="4"/>
    </row>
    <row r="38">
      <c r="A38" s="97" t="s">
        <v>54</v>
      </c>
      <c r="B38" s="208" t="s">
        <v>623</v>
      </c>
      <c r="C38" s="533" t="s">
        <v>435</v>
      </c>
      <c r="D38" s="189" t="s">
        <v>311</v>
      </c>
      <c r="E38" s="52"/>
      <c r="F38" s="4"/>
      <c r="G38" s="97" t="s">
        <v>54</v>
      </c>
      <c r="H38" s="468" t="s">
        <v>435</v>
      </c>
      <c r="I38" s="189" t="s">
        <v>804</v>
      </c>
      <c r="J38" s="189" t="s">
        <v>238</v>
      </c>
      <c r="K38" s="189" t="s">
        <v>624</v>
      </c>
      <c r="L38" s="4"/>
      <c r="M38" s="97" t="s">
        <v>54</v>
      </c>
      <c r="N38" s="189" t="s">
        <v>623</v>
      </c>
      <c r="O38" s="189" t="s">
        <v>804</v>
      </c>
      <c r="P38" s="189" t="s">
        <v>237</v>
      </c>
      <c r="Q38" s="189" t="s">
        <v>831</v>
      </c>
      <c r="R38" s="4"/>
      <c r="S38" s="97" t="s">
        <v>54</v>
      </c>
      <c r="T38" s="189" t="s">
        <v>435</v>
      </c>
      <c r="U38" s="189" t="s">
        <v>435</v>
      </c>
      <c r="V38" s="166" t="s">
        <v>232</v>
      </c>
      <c r="W38" s="526" t="s">
        <v>472</v>
      </c>
      <c r="X38" s="4"/>
      <c r="Y38" s="97" t="s">
        <v>54</v>
      </c>
      <c r="Z38" s="208" t="s">
        <v>735</v>
      </c>
      <c r="AA38" s="534" t="s">
        <v>731</v>
      </c>
      <c r="AB38" s="189" t="s">
        <v>624</v>
      </c>
      <c r="AC38" s="198" t="s">
        <v>946</v>
      </c>
      <c r="AD38" s="4"/>
    </row>
    <row r="39">
      <c r="A39" s="97" t="s">
        <v>64</v>
      </c>
      <c r="B39" s="208" t="s">
        <v>435</v>
      </c>
      <c r="C39" s="228" t="s">
        <v>435</v>
      </c>
      <c r="D39" s="526" t="s">
        <v>982</v>
      </c>
      <c r="E39" s="52"/>
      <c r="F39" s="4"/>
      <c r="G39" s="97" t="s">
        <v>64</v>
      </c>
      <c r="H39" s="189" t="s">
        <v>57</v>
      </c>
      <c r="I39" s="189" t="s">
        <v>1203</v>
      </c>
      <c r="J39" s="189" t="s">
        <v>435</v>
      </c>
      <c r="K39" s="166" t="s">
        <v>982</v>
      </c>
      <c r="L39" s="4"/>
      <c r="M39" s="97" t="s">
        <v>64</v>
      </c>
      <c r="N39" s="189" t="s">
        <v>1297</v>
      </c>
      <c r="O39" s="189" t="s">
        <v>330</v>
      </c>
      <c r="P39" s="189" t="s">
        <v>435</v>
      </c>
      <c r="Q39" s="189" t="s">
        <v>435</v>
      </c>
      <c r="R39" s="4"/>
      <c r="S39" s="97" t="s">
        <v>64</v>
      </c>
      <c r="T39" s="189" t="s">
        <v>525</v>
      </c>
      <c r="U39" s="189" t="s">
        <v>1653</v>
      </c>
      <c r="V39" s="189" t="s">
        <v>1708</v>
      </c>
      <c r="W39" s="164" t="s">
        <v>779</v>
      </c>
      <c r="X39" s="4"/>
      <c r="Y39" s="97" t="s">
        <v>64</v>
      </c>
      <c r="Z39" s="208" t="s">
        <v>289</v>
      </c>
      <c r="AA39" s="534" t="s">
        <v>878</v>
      </c>
      <c r="AB39" s="189" t="s">
        <v>1060</v>
      </c>
      <c r="AC39" s="228" t="s">
        <v>435</v>
      </c>
      <c r="AD39" s="4"/>
    </row>
    <row r="40">
      <c r="A40" s="97" t="s">
        <v>71</v>
      </c>
      <c r="B40" s="208" t="s">
        <v>435</v>
      </c>
      <c r="C40" s="198" t="s">
        <v>882</v>
      </c>
      <c r="D40" s="189" t="s">
        <v>365</v>
      </c>
      <c r="E40" s="52"/>
      <c r="F40" s="4"/>
      <c r="G40" s="97" t="s">
        <v>71</v>
      </c>
      <c r="H40" s="189" t="s">
        <v>906</v>
      </c>
      <c r="I40" s="527" t="s">
        <v>251</v>
      </c>
      <c r="J40" s="189" t="s">
        <v>1205</v>
      </c>
      <c r="K40" s="189" t="s">
        <v>750</v>
      </c>
      <c r="L40" s="4"/>
      <c r="M40" s="97" t="s">
        <v>71</v>
      </c>
      <c r="N40" s="189" t="s">
        <v>1431</v>
      </c>
      <c r="O40" s="189" t="s">
        <v>878</v>
      </c>
      <c r="P40" s="189" t="s">
        <v>882</v>
      </c>
      <c r="Q40" s="189" t="s">
        <v>435</v>
      </c>
      <c r="R40" s="4"/>
      <c r="S40" s="97" t="s">
        <v>71</v>
      </c>
      <c r="T40" s="189" t="s">
        <v>596</v>
      </c>
      <c r="U40" s="164" t="s">
        <v>251</v>
      </c>
      <c r="V40" s="189" t="s">
        <v>1714</v>
      </c>
      <c r="W40" s="142" t="s">
        <v>1230</v>
      </c>
      <c r="X40" s="4"/>
      <c r="Y40" s="97" t="s">
        <v>71</v>
      </c>
      <c r="Z40" s="208" t="s">
        <v>1098</v>
      </c>
      <c r="AA40" s="534" t="s">
        <v>1083</v>
      </c>
      <c r="AB40" s="189" t="s">
        <v>1755</v>
      </c>
      <c r="AC40" s="198" t="s">
        <v>1376</v>
      </c>
      <c r="AD40" s="4"/>
    </row>
    <row r="41">
      <c r="A41" s="97" t="s">
        <v>80</v>
      </c>
      <c r="B41" s="208" t="s">
        <v>435</v>
      </c>
      <c r="C41" s="536" t="s">
        <v>804</v>
      </c>
      <c r="D41" s="189" t="s">
        <v>1023</v>
      </c>
      <c r="E41" s="52"/>
      <c r="F41" s="4"/>
      <c r="G41" s="97" t="s">
        <v>80</v>
      </c>
      <c r="H41" s="189" t="s">
        <v>1083</v>
      </c>
      <c r="I41" s="189" t="s">
        <v>132</v>
      </c>
      <c r="J41" s="189" t="s">
        <v>120</v>
      </c>
      <c r="K41" s="189" t="s">
        <v>232</v>
      </c>
      <c r="L41" s="4"/>
      <c r="M41" s="97" t="s">
        <v>80</v>
      </c>
      <c r="N41" s="526" t="s">
        <v>472</v>
      </c>
      <c r="O41" s="189" t="s">
        <v>928</v>
      </c>
      <c r="P41" s="189" t="s">
        <v>780</v>
      </c>
      <c r="Q41" s="189" t="s">
        <v>435</v>
      </c>
      <c r="R41" s="4"/>
      <c r="S41" s="97" t="s">
        <v>80</v>
      </c>
      <c r="T41" s="166" t="s">
        <v>1434</v>
      </c>
      <c r="U41" s="142" t="s">
        <v>807</v>
      </c>
      <c r="V41" s="189" t="s">
        <v>1721</v>
      </c>
      <c r="W41" s="142" t="s">
        <v>1732</v>
      </c>
      <c r="X41" s="4"/>
      <c r="Y41" s="97" t="s">
        <v>80</v>
      </c>
      <c r="Z41" s="208" t="s">
        <v>1000</v>
      </c>
      <c r="AA41" s="534" t="s">
        <v>435</v>
      </c>
      <c r="AB41" s="189" t="s">
        <v>435</v>
      </c>
      <c r="AC41" s="536" t="s">
        <v>780</v>
      </c>
      <c r="AD41" s="4"/>
    </row>
    <row r="42">
      <c r="A42" s="479" t="s">
        <v>95</v>
      </c>
      <c r="B42" s="208" t="s">
        <v>435</v>
      </c>
      <c r="C42" s="198" t="s">
        <v>928</v>
      </c>
      <c r="D42" s="189" t="s">
        <v>435</v>
      </c>
      <c r="E42" s="52"/>
      <c r="F42" s="4"/>
      <c r="G42" s="479" t="s">
        <v>95</v>
      </c>
      <c r="H42" s="189" t="s">
        <v>1097</v>
      </c>
      <c r="I42" s="189" t="s">
        <v>435</v>
      </c>
      <c r="J42" s="189" t="s">
        <v>96</v>
      </c>
      <c r="K42" s="533" t="s">
        <v>435</v>
      </c>
      <c r="L42" s="4"/>
      <c r="M42" s="479" t="s">
        <v>95</v>
      </c>
      <c r="N42" s="189" t="s">
        <v>596</v>
      </c>
      <c r="O42" s="468" t="s">
        <v>435</v>
      </c>
      <c r="P42" s="189" t="s">
        <v>435</v>
      </c>
      <c r="Q42" s="189" t="s">
        <v>435</v>
      </c>
      <c r="R42" s="4"/>
      <c r="S42" s="479" t="s">
        <v>95</v>
      </c>
      <c r="T42" s="166" t="s">
        <v>1098</v>
      </c>
      <c r="U42" s="468" t="s">
        <v>435</v>
      </c>
      <c r="V42" s="189" t="s">
        <v>804</v>
      </c>
      <c r="W42" s="166" t="s">
        <v>1889</v>
      </c>
      <c r="X42" s="4"/>
      <c r="Y42" s="479" t="s">
        <v>95</v>
      </c>
      <c r="Z42" s="208" t="s">
        <v>1137</v>
      </c>
      <c r="AA42" s="534" t="s">
        <v>435</v>
      </c>
      <c r="AB42" s="189" t="s">
        <v>435</v>
      </c>
      <c r="AC42" s="198" t="s">
        <v>435</v>
      </c>
      <c r="AD42" s="4"/>
    </row>
    <row r="43">
      <c r="A43" s="4"/>
      <c r="B43" s="52"/>
      <c r="C43" s="52"/>
      <c r="D43" s="52"/>
      <c r="E43" s="52"/>
      <c r="F43" s="4"/>
      <c r="G43" s="4"/>
      <c r="H43" s="52"/>
      <c r="I43" s="52"/>
      <c r="J43" s="52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52"/>
      <c r="C44" s="52"/>
      <c r="D44" s="52"/>
      <c r="E44" s="52"/>
      <c r="F44" s="4"/>
      <c r="G44" s="4"/>
      <c r="H44" s="52"/>
      <c r="I44" s="52"/>
      <c r="J44" s="52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61"/>
      <c r="B45" s="472">
        <v>45019.0</v>
      </c>
      <c r="C45" s="472">
        <v>45020.0</v>
      </c>
      <c r="D45" s="472">
        <v>45022.0</v>
      </c>
      <c r="E45" s="472">
        <v>45023.0</v>
      </c>
      <c r="F45" s="4"/>
      <c r="G45" s="461"/>
      <c r="H45" s="472">
        <v>45026.0</v>
      </c>
      <c r="I45" s="472">
        <v>45027.0</v>
      </c>
      <c r="J45" s="472">
        <v>45029.0</v>
      </c>
      <c r="K45" s="472">
        <v>45030.0</v>
      </c>
      <c r="L45" s="4"/>
      <c r="M45" s="461"/>
      <c r="N45" s="472">
        <v>45033.0</v>
      </c>
      <c r="O45" s="472">
        <v>45034.0</v>
      </c>
      <c r="P45" s="472">
        <v>45036.0</v>
      </c>
      <c r="Q45" s="472">
        <v>45037.0</v>
      </c>
      <c r="R45" s="4"/>
      <c r="S45" s="461"/>
      <c r="T45" s="472">
        <v>45040.0</v>
      </c>
      <c r="U45" s="472">
        <v>45041.0</v>
      </c>
      <c r="V45" s="472">
        <v>45043.0</v>
      </c>
      <c r="W45" s="472">
        <v>45044.0</v>
      </c>
      <c r="X45" s="4"/>
      <c r="Y45" s="4"/>
      <c r="Z45" s="4"/>
      <c r="AA45" s="4"/>
      <c r="AB45" s="4"/>
      <c r="AC45" s="4"/>
      <c r="AD45" s="4"/>
    </row>
    <row r="46">
      <c r="A46" s="97" t="s">
        <v>0</v>
      </c>
      <c r="B46" s="189" t="s">
        <v>435</v>
      </c>
      <c r="C46" s="189" t="s">
        <v>883</v>
      </c>
      <c r="D46" s="189" t="s">
        <v>435</v>
      </c>
      <c r="E46" s="189" t="s">
        <v>435</v>
      </c>
      <c r="F46" s="4"/>
      <c r="G46" s="97" t="s">
        <v>0</v>
      </c>
      <c r="H46" s="189" t="s">
        <v>435</v>
      </c>
      <c r="I46" s="189" t="s">
        <v>947</v>
      </c>
      <c r="J46" s="189" t="s">
        <v>435</v>
      </c>
      <c r="K46" s="189" t="s">
        <v>435</v>
      </c>
      <c r="L46" s="4"/>
      <c r="M46" s="97" t="s">
        <v>0</v>
      </c>
      <c r="N46" s="208" t="s">
        <v>435</v>
      </c>
      <c r="O46" s="208" t="s">
        <v>947</v>
      </c>
      <c r="P46" s="198" t="s">
        <v>435</v>
      </c>
      <c r="Q46" s="189" t="s">
        <v>435</v>
      </c>
      <c r="R46" s="4"/>
      <c r="S46" s="97" t="s">
        <v>0</v>
      </c>
      <c r="T46" s="189" t="s">
        <v>435</v>
      </c>
      <c r="U46" s="164" t="s">
        <v>947</v>
      </c>
      <c r="V46" s="164" t="s">
        <v>1889</v>
      </c>
      <c r="W46" s="189" t="s">
        <v>435</v>
      </c>
      <c r="X46" s="4"/>
      <c r="Y46" s="4"/>
      <c r="Z46" s="4"/>
      <c r="AA46" s="4"/>
      <c r="AB46" s="4"/>
      <c r="AC46" s="4"/>
      <c r="AD46" s="4"/>
    </row>
    <row r="47">
      <c r="A47" s="97" t="s">
        <v>5</v>
      </c>
      <c r="B47" s="189" t="s">
        <v>435</v>
      </c>
      <c r="C47" s="189" t="s">
        <v>906</v>
      </c>
      <c r="D47" s="189" t="s">
        <v>435</v>
      </c>
      <c r="E47" s="189" t="s">
        <v>435</v>
      </c>
      <c r="F47" s="4"/>
      <c r="G47" s="97" t="s">
        <v>5</v>
      </c>
      <c r="H47" s="189" t="s">
        <v>435</v>
      </c>
      <c r="I47" s="189" t="s">
        <v>1175</v>
      </c>
      <c r="J47" s="166" t="s">
        <v>1736</v>
      </c>
      <c r="K47" s="189" t="s">
        <v>435</v>
      </c>
      <c r="L47" s="4"/>
      <c r="M47" s="97" t="s">
        <v>5</v>
      </c>
      <c r="N47" s="208" t="s">
        <v>435</v>
      </c>
      <c r="O47" s="208" t="s">
        <v>734</v>
      </c>
      <c r="P47" s="198" t="s">
        <v>732</v>
      </c>
      <c r="Q47" s="189" t="s">
        <v>435</v>
      </c>
      <c r="R47" s="4"/>
      <c r="S47" s="97" t="s">
        <v>5</v>
      </c>
      <c r="T47" s="189" t="s">
        <v>435</v>
      </c>
      <c r="U47" s="164" t="s">
        <v>1680</v>
      </c>
      <c r="V47" s="164" t="s">
        <v>1722</v>
      </c>
      <c r="W47" s="189" t="s">
        <v>435</v>
      </c>
      <c r="X47" s="4"/>
      <c r="Y47" s="4"/>
      <c r="Z47" s="4"/>
      <c r="AA47" s="4"/>
      <c r="AB47" s="4"/>
      <c r="AC47" s="4"/>
      <c r="AD47" s="4"/>
    </row>
    <row r="48">
      <c r="A48" s="97" t="s">
        <v>13</v>
      </c>
      <c r="B48" s="189" t="s">
        <v>237</v>
      </c>
      <c r="C48" s="189" t="s">
        <v>929</v>
      </c>
      <c r="D48" s="189" t="s">
        <v>435</v>
      </c>
      <c r="E48" s="189" t="s">
        <v>435</v>
      </c>
      <c r="F48" s="4"/>
      <c r="G48" s="97" t="s">
        <v>13</v>
      </c>
      <c r="H48" s="189" t="s">
        <v>435</v>
      </c>
      <c r="I48" s="189" t="s">
        <v>904</v>
      </c>
      <c r="J48" s="189" t="s">
        <v>805</v>
      </c>
      <c r="K48" s="189" t="s">
        <v>435</v>
      </c>
      <c r="L48" s="4"/>
      <c r="M48" s="97" t="s">
        <v>13</v>
      </c>
      <c r="N48" s="208" t="s">
        <v>435</v>
      </c>
      <c r="O48" s="208" t="s">
        <v>904</v>
      </c>
      <c r="P48" s="198" t="s">
        <v>1117</v>
      </c>
      <c r="Q48" s="189" t="s">
        <v>435</v>
      </c>
      <c r="R48" s="4"/>
      <c r="S48" s="97" t="s">
        <v>13</v>
      </c>
      <c r="T48" s="189" t="s">
        <v>435</v>
      </c>
      <c r="U48" s="218" t="s">
        <v>1688</v>
      </c>
      <c r="V48" s="164" t="s">
        <v>1248</v>
      </c>
      <c r="W48" s="189" t="s">
        <v>435</v>
      </c>
      <c r="X48" s="4"/>
      <c r="Y48" s="4"/>
      <c r="Z48" s="4"/>
      <c r="AA48" s="4"/>
      <c r="AB48" s="4"/>
      <c r="AC48" s="4"/>
      <c r="AD48" s="4"/>
    </row>
    <row r="49">
      <c r="A49" s="97" t="s">
        <v>19</v>
      </c>
      <c r="B49" s="189" t="s">
        <v>268</v>
      </c>
      <c r="C49" s="189" t="s">
        <v>946</v>
      </c>
      <c r="D49" s="189" t="s">
        <v>435</v>
      </c>
      <c r="E49" s="189" t="s">
        <v>435</v>
      </c>
      <c r="F49" s="4"/>
      <c r="G49" s="97" t="s">
        <v>19</v>
      </c>
      <c r="H49" s="189" t="s">
        <v>435</v>
      </c>
      <c r="I49" s="189" t="s">
        <v>435</v>
      </c>
      <c r="J49" s="189" t="s">
        <v>1325</v>
      </c>
      <c r="K49" s="189" t="s">
        <v>435</v>
      </c>
      <c r="L49" s="4"/>
      <c r="M49" s="97" t="s">
        <v>19</v>
      </c>
      <c r="N49" s="208" t="s">
        <v>435</v>
      </c>
      <c r="O49" s="208" t="s">
        <v>777</v>
      </c>
      <c r="P49" s="198" t="s">
        <v>642</v>
      </c>
      <c r="Q49" s="189" t="s">
        <v>435</v>
      </c>
      <c r="R49" s="4"/>
      <c r="S49" s="97" t="s">
        <v>19</v>
      </c>
      <c r="T49" s="189" t="s">
        <v>435</v>
      </c>
      <c r="U49" s="164" t="s">
        <v>232</v>
      </c>
      <c r="V49" s="164" t="s">
        <v>1325</v>
      </c>
      <c r="W49" s="189" t="s">
        <v>435</v>
      </c>
      <c r="X49" s="4"/>
      <c r="Y49" s="4"/>
      <c r="Z49" s="4"/>
      <c r="AA49" s="4"/>
      <c r="AB49" s="4"/>
      <c r="AC49" s="4"/>
      <c r="AD49" s="4"/>
    </row>
    <row r="50">
      <c r="A50" s="97" t="s">
        <v>39</v>
      </c>
      <c r="B50" s="189" t="s">
        <v>435</v>
      </c>
      <c r="C50" s="189" t="s">
        <v>435</v>
      </c>
      <c r="D50" s="189" t="s">
        <v>435</v>
      </c>
      <c r="E50" s="189" t="s">
        <v>435</v>
      </c>
      <c r="F50" s="4"/>
      <c r="G50" s="97" t="s">
        <v>39</v>
      </c>
      <c r="H50" s="189" t="s">
        <v>435</v>
      </c>
      <c r="I50" s="166" t="s">
        <v>435</v>
      </c>
      <c r="J50" s="189" t="s">
        <v>435</v>
      </c>
      <c r="K50" s="189" t="s">
        <v>435</v>
      </c>
      <c r="L50" s="4"/>
      <c r="M50" s="97" t="s">
        <v>39</v>
      </c>
      <c r="N50" s="208" t="s">
        <v>435</v>
      </c>
      <c r="O50" s="208" t="s">
        <v>435</v>
      </c>
      <c r="P50" s="198" t="s">
        <v>435</v>
      </c>
      <c r="Q50" s="189" t="s">
        <v>435</v>
      </c>
      <c r="R50" s="4"/>
      <c r="S50" s="97" t="s">
        <v>39</v>
      </c>
      <c r="T50" s="189" t="s">
        <v>435</v>
      </c>
      <c r="U50" s="164" t="s">
        <v>435</v>
      </c>
      <c r="V50" s="164" t="s">
        <v>435</v>
      </c>
      <c r="W50" s="189" t="s">
        <v>435</v>
      </c>
      <c r="X50" s="4"/>
      <c r="Y50" s="4"/>
      <c r="Z50" s="4"/>
      <c r="AA50" s="4"/>
      <c r="AB50" s="4"/>
      <c r="AC50" s="4"/>
      <c r="AD50" s="4"/>
    </row>
    <row r="51">
      <c r="A51" s="97" t="s">
        <v>45</v>
      </c>
      <c r="B51" s="189" t="s">
        <v>435</v>
      </c>
      <c r="C51" s="189" t="s">
        <v>435</v>
      </c>
      <c r="D51" s="189" t="s">
        <v>1890</v>
      </c>
      <c r="E51" s="189" t="s">
        <v>1891</v>
      </c>
      <c r="F51" s="4"/>
      <c r="G51" s="97" t="s">
        <v>45</v>
      </c>
      <c r="H51" s="189" t="s">
        <v>435</v>
      </c>
      <c r="I51" s="189" t="s">
        <v>807</v>
      </c>
      <c r="J51" s="189" t="s">
        <v>1297</v>
      </c>
      <c r="K51" s="189" t="s">
        <v>435</v>
      </c>
      <c r="L51" s="4"/>
      <c r="M51" s="97" t="s">
        <v>45</v>
      </c>
      <c r="N51" s="208" t="s">
        <v>435</v>
      </c>
      <c r="O51" s="208" t="s">
        <v>1524</v>
      </c>
      <c r="P51" s="198" t="s">
        <v>1297</v>
      </c>
      <c r="Q51" s="189" t="s">
        <v>435</v>
      </c>
      <c r="R51" s="4"/>
      <c r="S51" s="97" t="s">
        <v>45</v>
      </c>
      <c r="T51" s="189" t="s">
        <v>435</v>
      </c>
      <c r="U51" s="164" t="s">
        <v>289</v>
      </c>
      <c r="V51" s="164" t="s">
        <v>57</v>
      </c>
      <c r="W51" s="189" t="s">
        <v>435</v>
      </c>
      <c r="X51" s="4"/>
      <c r="Y51" s="4"/>
      <c r="Z51" s="4"/>
      <c r="AA51" s="4"/>
      <c r="AB51" s="4"/>
      <c r="AC51" s="4"/>
      <c r="AD51" s="4"/>
    </row>
    <row r="52">
      <c r="A52" s="97" t="s">
        <v>54</v>
      </c>
      <c r="B52" s="189" t="s">
        <v>777</v>
      </c>
      <c r="C52" s="189" t="s">
        <v>330</v>
      </c>
      <c r="D52" s="189" t="s">
        <v>435</v>
      </c>
      <c r="E52" s="189" t="s">
        <v>435</v>
      </c>
      <c r="F52" s="4"/>
      <c r="G52" s="97" t="s">
        <v>54</v>
      </c>
      <c r="H52" s="189" t="s">
        <v>623</v>
      </c>
      <c r="I52" s="189" t="s">
        <v>757</v>
      </c>
      <c r="J52" s="189" t="s">
        <v>268</v>
      </c>
      <c r="K52" s="189" t="s">
        <v>1061</v>
      </c>
      <c r="L52" s="4"/>
      <c r="M52" s="97" t="s">
        <v>54</v>
      </c>
      <c r="N52" s="208" t="s">
        <v>231</v>
      </c>
      <c r="O52" s="208" t="s">
        <v>435</v>
      </c>
      <c r="P52" s="198" t="s">
        <v>268</v>
      </c>
      <c r="Q52" s="189" t="s">
        <v>624</v>
      </c>
      <c r="R52" s="4"/>
      <c r="S52" s="97" t="s">
        <v>54</v>
      </c>
      <c r="T52" s="189" t="s">
        <v>623</v>
      </c>
      <c r="U52" s="164" t="s">
        <v>1696</v>
      </c>
      <c r="V52" s="164" t="s">
        <v>268</v>
      </c>
      <c r="W52" s="189" t="s">
        <v>624</v>
      </c>
      <c r="X52" s="4"/>
      <c r="Y52" s="4"/>
      <c r="Z52" s="4"/>
      <c r="AA52" s="4"/>
      <c r="AB52" s="4"/>
      <c r="AC52" s="4"/>
      <c r="AD52" s="4"/>
    </row>
    <row r="53">
      <c r="A53" s="97" t="s">
        <v>64</v>
      </c>
      <c r="B53" s="189" t="s">
        <v>806</v>
      </c>
      <c r="C53" s="189" t="s">
        <v>562</v>
      </c>
      <c r="D53" s="189" t="s">
        <v>435</v>
      </c>
      <c r="E53" s="189" t="s">
        <v>435</v>
      </c>
      <c r="F53" s="4"/>
      <c r="G53" s="97" t="s">
        <v>64</v>
      </c>
      <c r="H53" s="189" t="s">
        <v>1060</v>
      </c>
      <c r="I53" s="189" t="s">
        <v>1231</v>
      </c>
      <c r="J53" s="189" t="s">
        <v>1261</v>
      </c>
      <c r="K53" s="166" t="s">
        <v>1418</v>
      </c>
      <c r="L53" s="4"/>
      <c r="M53" s="97" t="s">
        <v>64</v>
      </c>
      <c r="N53" s="208" t="s">
        <v>435</v>
      </c>
      <c r="O53" s="208" t="s">
        <v>435</v>
      </c>
      <c r="P53" s="228" t="s">
        <v>1261</v>
      </c>
      <c r="Q53" s="526" t="s">
        <v>1624</v>
      </c>
      <c r="R53" s="4"/>
      <c r="S53" s="97" t="s">
        <v>64</v>
      </c>
      <c r="T53" s="189" t="s">
        <v>1060</v>
      </c>
      <c r="U53" s="164" t="s">
        <v>330</v>
      </c>
      <c r="V53" s="164" t="s">
        <v>1433</v>
      </c>
      <c r="W53" s="189" t="s">
        <v>1738</v>
      </c>
      <c r="X53" s="4"/>
      <c r="Y53" s="4"/>
      <c r="Z53" s="4"/>
      <c r="AA53" s="4"/>
      <c r="AB53" s="4"/>
      <c r="AC53" s="4"/>
      <c r="AD53" s="4"/>
    </row>
    <row r="54">
      <c r="A54" s="97" t="s">
        <v>71</v>
      </c>
      <c r="B54" s="189" t="s">
        <v>289</v>
      </c>
      <c r="C54" s="189" t="s">
        <v>132</v>
      </c>
      <c r="D54" s="189" t="s">
        <v>435</v>
      </c>
      <c r="E54" s="189" t="s">
        <v>435</v>
      </c>
      <c r="F54" s="4"/>
      <c r="G54" s="97" t="s">
        <v>71</v>
      </c>
      <c r="H54" s="189" t="s">
        <v>1098</v>
      </c>
      <c r="I54" s="527" t="s">
        <v>999</v>
      </c>
      <c r="J54" s="189" t="s">
        <v>1376</v>
      </c>
      <c r="K54" s="189" t="s">
        <v>1432</v>
      </c>
      <c r="L54" s="4"/>
      <c r="M54" s="97" t="s">
        <v>71</v>
      </c>
      <c r="N54" s="208" t="s">
        <v>475</v>
      </c>
      <c r="O54" s="208" t="s">
        <v>464</v>
      </c>
      <c r="P54" s="198" t="s">
        <v>1205</v>
      </c>
      <c r="Q54" s="189" t="s">
        <v>365</v>
      </c>
      <c r="R54" s="4"/>
      <c r="S54" s="97" t="s">
        <v>71</v>
      </c>
      <c r="T54" s="189" t="s">
        <v>733</v>
      </c>
      <c r="U54" s="164" t="s">
        <v>464</v>
      </c>
      <c r="V54" s="164" t="s">
        <v>882</v>
      </c>
      <c r="W54" s="189" t="s">
        <v>1740</v>
      </c>
      <c r="X54" s="4"/>
      <c r="Y54" s="4"/>
      <c r="Z54" s="4"/>
      <c r="AA54" s="4"/>
      <c r="AB54" s="4"/>
      <c r="AC54" s="4"/>
      <c r="AD54" s="4"/>
    </row>
    <row r="55">
      <c r="A55" s="97" t="s">
        <v>80</v>
      </c>
      <c r="B55" s="189" t="s">
        <v>472</v>
      </c>
      <c r="C55" s="189" t="s">
        <v>1024</v>
      </c>
      <c r="D55" s="189" t="s">
        <v>435</v>
      </c>
      <c r="E55" s="189" t="s">
        <v>435</v>
      </c>
      <c r="F55" s="4"/>
      <c r="G55" s="97" t="s">
        <v>80</v>
      </c>
      <c r="H55" s="189" t="s">
        <v>1116</v>
      </c>
      <c r="I55" s="189" t="s">
        <v>878</v>
      </c>
      <c r="J55" s="189" t="s">
        <v>285</v>
      </c>
      <c r="K55" s="189" t="s">
        <v>1444</v>
      </c>
      <c r="L55" s="4"/>
      <c r="M55" s="97" t="s">
        <v>80</v>
      </c>
      <c r="N55" s="208" t="s">
        <v>1083</v>
      </c>
      <c r="O55" s="208" t="s">
        <v>1443</v>
      </c>
      <c r="P55" s="536" t="s">
        <v>435</v>
      </c>
      <c r="Q55" s="189" t="s">
        <v>294</v>
      </c>
      <c r="R55" s="4"/>
      <c r="S55" s="97" t="s">
        <v>80</v>
      </c>
      <c r="T55" s="189" t="s">
        <v>1116</v>
      </c>
      <c r="U55" s="164" t="s">
        <v>1709</v>
      </c>
      <c r="V55" s="164" t="s">
        <v>1115</v>
      </c>
      <c r="W55" s="189" t="s">
        <v>541</v>
      </c>
      <c r="X55" s="4"/>
      <c r="Y55" s="4"/>
      <c r="Z55" s="4"/>
      <c r="AA55" s="4"/>
      <c r="AB55" s="4"/>
      <c r="AC55" s="4"/>
      <c r="AD55" s="4"/>
    </row>
    <row r="56">
      <c r="A56" s="479" t="s">
        <v>95</v>
      </c>
      <c r="B56" s="189" t="s">
        <v>435</v>
      </c>
      <c r="C56" s="189" t="s">
        <v>541</v>
      </c>
      <c r="D56" s="189" t="s">
        <v>435</v>
      </c>
      <c r="E56" s="189" t="s">
        <v>435</v>
      </c>
      <c r="F56" s="4"/>
      <c r="G56" s="479" t="s">
        <v>95</v>
      </c>
      <c r="H56" s="189" t="s">
        <v>1137</v>
      </c>
      <c r="I56" s="189" t="s">
        <v>777</v>
      </c>
      <c r="J56" s="189" t="s">
        <v>1191</v>
      </c>
      <c r="K56" s="198" t="s">
        <v>1454</v>
      </c>
      <c r="L56" s="4"/>
      <c r="M56" s="479" t="s">
        <v>95</v>
      </c>
      <c r="N56" s="208" t="s">
        <v>435</v>
      </c>
      <c r="O56" s="208" t="s">
        <v>1550</v>
      </c>
      <c r="P56" s="198" t="s">
        <v>245</v>
      </c>
      <c r="Q56" s="189" t="s">
        <v>1640</v>
      </c>
      <c r="R56" s="4"/>
      <c r="S56" s="479" t="s">
        <v>95</v>
      </c>
      <c r="T56" s="189" t="s">
        <v>245</v>
      </c>
      <c r="U56" s="189" t="s">
        <v>1715</v>
      </c>
      <c r="V56" s="189" t="s">
        <v>1736</v>
      </c>
      <c r="W56" s="189" t="s">
        <v>435</v>
      </c>
      <c r="X56" s="4"/>
      <c r="Y56" s="4"/>
      <c r="Z56" s="4"/>
      <c r="AA56" s="4"/>
      <c r="AB56" s="4"/>
      <c r="AC56" s="4"/>
      <c r="AD56" s="4"/>
    </row>
    <row r="57">
      <c r="A57" s="4"/>
      <c r="B57" s="52"/>
      <c r="C57" s="52"/>
      <c r="D57" s="52"/>
      <c r="E57" s="52"/>
      <c r="F57" s="4"/>
      <c r="G57" s="4"/>
      <c r="H57" s="52"/>
      <c r="I57" s="52"/>
      <c r="J57" s="5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52"/>
      <c r="C58" s="52"/>
      <c r="D58" s="52"/>
      <c r="E58" s="52"/>
      <c r="F58" s="4"/>
      <c r="G58" s="4"/>
      <c r="H58" s="52"/>
      <c r="I58" s="52"/>
      <c r="J58" s="52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61"/>
      <c r="B59" s="537">
        <v>45048.0</v>
      </c>
      <c r="C59" s="538">
        <v>45049.0</v>
      </c>
      <c r="D59" s="537">
        <v>45050.0</v>
      </c>
      <c r="E59" s="537">
        <v>45051.0</v>
      </c>
      <c r="F59" s="4"/>
      <c r="G59" s="461"/>
      <c r="H59" s="537">
        <v>45054.0</v>
      </c>
      <c r="I59" s="537">
        <v>45055.0</v>
      </c>
      <c r="J59" s="537">
        <v>45057.0</v>
      </c>
      <c r="K59" s="537">
        <v>45058.0</v>
      </c>
      <c r="L59" s="4"/>
      <c r="M59" s="461"/>
      <c r="N59" s="537">
        <v>45061.0</v>
      </c>
      <c r="O59" s="537">
        <v>45062.0</v>
      </c>
      <c r="P59" s="537">
        <v>45064.0</v>
      </c>
      <c r="Q59" s="537">
        <v>45065.0</v>
      </c>
      <c r="R59" s="4"/>
      <c r="S59" s="461"/>
      <c r="T59" s="537">
        <v>45068.0</v>
      </c>
      <c r="U59" s="538">
        <v>45069.0</v>
      </c>
      <c r="V59" s="539">
        <v>45071.0</v>
      </c>
      <c r="W59" s="539">
        <v>45072.0</v>
      </c>
      <c r="X59" s="4"/>
      <c r="Y59" s="461"/>
      <c r="Z59" s="498">
        <v>45075.0</v>
      </c>
      <c r="AA59" s="540">
        <v>45076.0</v>
      </c>
      <c r="AB59" s="541">
        <v>45077.0</v>
      </c>
      <c r="AC59" s="4"/>
      <c r="AD59" s="4"/>
    </row>
    <row r="60">
      <c r="A60" s="97" t="s">
        <v>0</v>
      </c>
      <c r="B60" s="189" t="s">
        <v>435</v>
      </c>
      <c r="C60" s="164" t="s">
        <v>435</v>
      </c>
      <c r="D60" s="189" t="s">
        <v>947</v>
      </c>
      <c r="E60" s="189" t="s">
        <v>435</v>
      </c>
      <c r="F60" s="4"/>
      <c r="G60" s="97" t="s">
        <v>0</v>
      </c>
      <c r="H60" s="189" t="s">
        <v>435</v>
      </c>
      <c r="I60" s="164" t="s">
        <v>1296</v>
      </c>
      <c r="J60" s="164" t="s">
        <v>731</v>
      </c>
      <c r="K60" s="189" t="s">
        <v>435</v>
      </c>
      <c r="L60" s="4"/>
      <c r="M60" s="97" t="s">
        <v>0</v>
      </c>
      <c r="N60" s="189" t="s">
        <v>435</v>
      </c>
      <c r="O60" s="189" t="s">
        <v>435</v>
      </c>
      <c r="P60" s="189" t="s">
        <v>435</v>
      </c>
      <c r="Q60" s="189" t="s">
        <v>435</v>
      </c>
      <c r="R60" s="4"/>
      <c r="S60" s="97" t="s">
        <v>0</v>
      </c>
      <c r="T60" s="189" t="s">
        <v>435</v>
      </c>
      <c r="U60" s="164" t="s">
        <v>947</v>
      </c>
      <c r="V60" s="189" t="s">
        <v>754</v>
      </c>
      <c r="W60" s="189" t="s">
        <v>435</v>
      </c>
      <c r="X60" s="4"/>
      <c r="Y60" s="97" t="s">
        <v>0</v>
      </c>
      <c r="Z60" s="189" t="s">
        <v>435</v>
      </c>
      <c r="AA60" s="164" t="s">
        <v>947</v>
      </c>
      <c r="AB60" s="189" t="s">
        <v>1533</v>
      </c>
      <c r="AC60" s="4"/>
      <c r="AD60" s="4"/>
    </row>
    <row r="61">
      <c r="A61" s="97" t="s">
        <v>5</v>
      </c>
      <c r="B61" s="189" t="s">
        <v>731</v>
      </c>
      <c r="C61" s="164" t="s">
        <v>435</v>
      </c>
      <c r="D61" s="189" t="s">
        <v>642</v>
      </c>
      <c r="E61" s="189" t="s">
        <v>435</v>
      </c>
      <c r="F61" s="4"/>
      <c r="G61" s="97" t="s">
        <v>5</v>
      </c>
      <c r="H61" s="189" t="s">
        <v>435</v>
      </c>
      <c r="I61" s="164" t="s">
        <v>199</v>
      </c>
      <c r="J61" s="164" t="s">
        <v>1117</v>
      </c>
      <c r="K61" s="189" t="s">
        <v>435</v>
      </c>
      <c r="L61" s="4"/>
      <c r="M61" s="97" t="s">
        <v>5</v>
      </c>
      <c r="N61" s="189" t="s">
        <v>435</v>
      </c>
      <c r="O61" s="189" t="s">
        <v>435</v>
      </c>
      <c r="P61" s="189" t="s">
        <v>435</v>
      </c>
      <c r="Q61" s="189" t="s">
        <v>435</v>
      </c>
      <c r="R61" s="4"/>
      <c r="S61" s="97" t="s">
        <v>5</v>
      </c>
      <c r="T61" s="189" t="s">
        <v>1495</v>
      </c>
      <c r="U61" s="164" t="s">
        <v>199</v>
      </c>
      <c r="V61" s="189" t="s">
        <v>596</v>
      </c>
      <c r="W61" s="189" t="s">
        <v>1139</v>
      </c>
      <c r="X61" s="4"/>
      <c r="Y61" s="97" t="s">
        <v>5</v>
      </c>
      <c r="Z61" s="189" t="s">
        <v>435</v>
      </c>
      <c r="AA61" s="164" t="s">
        <v>199</v>
      </c>
      <c r="AB61" s="189" t="s">
        <v>1139</v>
      </c>
      <c r="AC61" s="4"/>
      <c r="AD61" s="4"/>
    </row>
    <row r="62">
      <c r="A62" s="97" t="s">
        <v>13</v>
      </c>
      <c r="B62" s="189" t="s">
        <v>734</v>
      </c>
      <c r="C62" s="164" t="s">
        <v>435</v>
      </c>
      <c r="D62" s="189" t="s">
        <v>805</v>
      </c>
      <c r="E62" s="189" t="s">
        <v>435</v>
      </c>
      <c r="F62" s="4"/>
      <c r="G62" s="97" t="s">
        <v>13</v>
      </c>
      <c r="H62" s="189" t="s">
        <v>435</v>
      </c>
      <c r="I62" s="164" t="s">
        <v>322</v>
      </c>
      <c r="J62" s="164" t="s">
        <v>1349</v>
      </c>
      <c r="K62" s="189" t="s">
        <v>435</v>
      </c>
      <c r="L62" s="4"/>
      <c r="M62" s="97" t="s">
        <v>13</v>
      </c>
      <c r="N62" s="189" t="s">
        <v>435</v>
      </c>
      <c r="O62" s="189" t="s">
        <v>435</v>
      </c>
      <c r="P62" s="189" t="s">
        <v>435</v>
      </c>
      <c r="Q62" s="189" t="s">
        <v>435</v>
      </c>
      <c r="R62" s="4"/>
      <c r="S62" s="97" t="s">
        <v>13</v>
      </c>
      <c r="T62" s="189" t="s">
        <v>435</v>
      </c>
      <c r="U62" s="164" t="s">
        <v>1596</v>
      </c>
      <c r="V62" s="189" t="s">
        <v>642</v>
      </c>
      <c r="W62" s="189" t="s">
        <v>435</v>
      </c>
      <c r="X62" s="4"/>
      <c r="Y62" s="97" t="s">
        <v>13</v>
      </c>
      <c r="Z62" s="189" t="s">
        <v>435</v>
      </c>
      <c r="AA62" s="164" t="s">
        <v>322</v>
      </c>
      <c r="AB62" s="189" t="s">
        <v>1083</v>
      </c>
      <c r="AC62" s="4"/>
      <c r="AD62" s="4"/>
    </row>
    <row r="63">
      <c r="A63" s="97" t="s">
        <v>19</v>
      </c>
      <c r="B63" s="189" t="s">
        <v>778</v>
      </c>
      <c r="C63" s="164" t="s">
        <v>435</v>
      </c>
      <c r="D63" s="189" t="s">
        <v>234</v>
      </c>
      <c r="E63" s="189" t="s">
        <v>435</v>
      </c>
      <c r="F63" s="4"/>
      <c r="G63" s="97" t="s">
        <v>19</v>
      </c>
      <c r="H63" s="189" t="s">
        <v>435</v>
      </c>
      <c r="I63" s="164" t="s">
        <v>232</v>
      </c>
      <c r="J63" s="164" t="s">
        <v>237</v>
      </c>
      <c r="K63" s="189" t="s">
        <v>435</v>
      </c>
      <c r="L63" s="4"/>
      <c r="M63" s="97" t="s">
        <v>19</v>
      </c>
      <c r="N63" s="189" t="s">
        <v>435</v>
      </c>
      <c r="O63" s="189" t="s">
        <v>435</v>
      </c>
      <c r="P63" s="189" t="s">
        <v>435</v>
      </c>
      <c r="Q63" s="189" t="s">
        <v>435</v>
      </c>
      <c r="R63" s="4"/>
      <c r="S63" s="97" t="s">
        <v>19</v>
      </c>
      <c r="T63" s="189" t="s">
        <v>435</v>
      </c>
      <c r="U63" s="164" t="s">
        <v>232</v>
      </c>
      <c r="V63" s="189" t="s">
        <v>1137</v>
      </c>
      <c r="W63" s="189" t="s">
        <v>435</v>
      </c>
      <c r="X63" s="4"/>
      <c r="Y63" s="97" t="s">
        <v>19</v>
      </c>
      <c r="Z63" s="189" t="s">
        <v>435</v>
      </c>
      <c r="AA63" s="164" t="s">
        <v>232</v>
      </c>
      <c r="AB63" s="189" t="s">
        <v>1192</v>
      </c>
      <c r="AC63" s="4"/>
      <c r="AD63" s="4"/>
    </row>
    <row r="64">
      <c r="A64" s="97" t="s">
        <v>39</v>
      </c>
      <c r="B64" s="189" t="s">
        <v>435</v>
      </c>
      <c r="C64" s="164" t="s">
        <v>435</v>
      </c>
      <c r="D64" s="189" t="s">
        <v>435</v>
      </c>
      <c r="E64" s="189" t="s">
        <v>435</v>
      </c>
      <c r="F64" s="4"/>
      <c r="G64" s="97" t="s">
        <v>39</v>
      </c>
      <c r="H64" s="189" t="s">
        <v>435</v>
      </c>
      <c r="I64" s="164" t="s">
        <v>435</v>
      </c>
      <c r="J64" s="164" t="s">
        <v>435</v>
      </c>
      <c r="K64" s="189" t="s">
        <v>435</v>
      </c>
      <c r="L64" s="4"/>
      <c r="M64" s="97" t="s">
        <v>39</v>
      </c>
      <c r="N64" s="189" t="s">
        <v>435</v>
      </c>
      <c r="O64" s="189" t="s">
        <v>435</v>
      </c>
      <c r="P64" s="189" t="s">
        <v>435</v>
      </c>
      <c r="Q64" s="189" t="s">
        <v>435</v>
      </c>
      <c r="R64" s="4"/>
      <c r="S64" s="97" t="s">
        <v>39</v>
      </c>
      <c r="T64" s="189" t="s">
        <v>435</v>
      </c>
      <c r="U64" s="164" t="s">
        <v>435</v>
      </c>
      <c r="V64" s="189" t="s">
        <v>435</v>
      </c>
      <c r="W64" s="189" t="s">
        <v>435</v>
      </c>
      <c r="X64" s="4"/>
      <c r="Y64" s="97" t="s">
        <v>39</v>
      </c>
      <c r="Z64" s="189" t="s">
        <v>435</v>
      </c>
      <c r="AA64" s="164" t="s">
        <v>435</v>
      </c>
      <c r="AB64" s="189" t="s">
        <v>435</v>
      </c>
      <c r="AC64" s="4"/>
      <c r="AD64" s="4"/>
    </row>
    <row r="65">
      <c r="A65" s="97" t="s">
        <v>45</v>
      </c>
      <c r="B65" s="189" t="s">
        <v>182</v>
      </c>
      <c r="C65" s="164" t="s">
        <v>435</v>
      </c>
      <c r="D65" s="189" t="s">
        <v>57</v>
      </c>
      <c r="E65" s="189" t="s">
        <v>435</v>
      </c>
      <c r="F65" s="4"/>
      <c r="G65" s="97" t="s">
        <v>45</v>
      </c>
      <c r="H65" s="189" t="s">
        <v>435</v>
      </c>
      <c r="I65" s="164" t="s">
        <v>1348</v>
      </c>
      <c r="J65" s="164" t="s">
        <v>57</v>
      </c>
      <c r="K65" s="189" t="s">
        <v>435</v>
      </c>
      <c r="L65" s="4"/>
      <c r="M65" s="97" t="s">
        <v>45</v>
      </c>
      <c r="N65" s="189" t="s">
        <v>435</v>
      </c>
      <c r="O65" s="189" t="s">
        <v>435</v>
      </c>
      <c r="P65" s="189" t="s">
        <v>435</v>
      </c>
      <c r="Q65" s="189" t="s">
        <v>435</v>
      </c>
      <c r="R65" s="4"/>
      <c r="S65" s="97" t="s">
        <v>45</v>
      </c>
      <c r="T65" s="189" t="s">
        <v>435</v>
      </c>
      <c r="U65" s="164" t="s">
        <v>807</v>
      </c>
      <c r="V65" s="189" t="s">
        <v>57</v>
      </c>
      <c r="W65" s="189" t="s">
        <v>832</v>
      </c>
      <c r="X65" s="4"/>
      <c r="Y65" s="97" t="s">
        <v>45</v>
      </c>
      <c r="Z65" s="189" t="s">
        <v>435</v>
      </c>
      <c r="AA65" s="164" t="s">
        <v>1176</v>
      </c>
      <c r="AB65" s="189" t="s">
        <v>1746</v>
      </c>
      <c r="AC65" s="4"/>
      <c r="AD65" s="4"/>
    </row>
    <row r="66">
      <c r="A66" s="97" t="s">
        <v>54</v>
      </c>
      <c r="B66" s="164" t="s">
        <v>231</v>
      </c>
      <c r="C66" s="164" t="s">
        <v>435</v>
      </c>
      <c r="D66" s="189" t="s">
        <v>268</v>
      </c>
      <c r="E66" s="189" t="s">
        <v>435</v>
      </c>
      <c r="F66" s="4"/>
      <c r="G66" s="97" t="s">
        <v>54</v>
      </c>
      <c r="H66" s="189" t="s">
        <v>623</v>
      </c>
      <c r="I66" s="164" t="s">
        <v>182</v>
      </c>
      <c r="J66" s="164" t="s">
        <v>268</v>
      </c>
      <c r="K66" s="189" t="s">
        <v>730</v>
      </c>
      <c r="L66" s="4"/>
      <c r="M66" s="97" t="s">
        <v>54</v>
      </c>
      <c r="N66" s="189" t="s">
        <v>435</v>
      </c>
      <c r="O66" s="189" t="s">
        <v>435</v>
      </c>
      <c r="P66" s="189" t="s">
        <v>435</v>
      </c>
      <c r="Q66" s="189" t="s">
        <v>435</v>
      </c>
      <c r="R66" s="4"/>
      <c r="S66" s="97" t="s">
        <v>54</v>
      </c>
      <c r="T66" s="164" t="s">
        <v>623</v>
      </c>
      <c r="U66" s="164" t="s">
        <v>231</v>
      </c>
      <c r="V66" s="189" t="s">
        <v>268</v>
      </c>
      <c r="W66" s="189" t="s">
        <v>624</v>
      </c>
      <c r="X66" s="4"/>
      <c r="Y66" s="97" t="s">
        <v>54</v>
      </c>
      <c r="Z66" s="164" t="s">
        <v>623</v>
      </c>
      <c r="AA66" s="164" t="s">
        <v>182</v>
      </c>
      <c r="AB66" s="189" t="s">
        <v>268</v>
      </c>
      <c r="AC66" s="4"/>
      <c r="AD66" s="4"/>
    </row>
    <row r="67">
      <c r="A67" s="97" t="s">
        <v>64</v>
      </c>
      <c r="B67" s="164" t="s">
        <v>857</v>
      </c>
      <c r="C67" s="164" t="s">
        <v>1892</v>
      </c>
      <c r="D67" s="189" t="s">
        <v>1138</v>
      </c>
      <c r="E67" s="189" t="s">
        <v>1176</v>
      </c>
      <c r="F67" s="4"/>
      <c r="G67" s="97" t="s">
        <v>64</v>
      </c>
      <c r="H67" s="189" t="s">
        <v>756</v>
      </c>
      <c r="I67" s="164" t="s">
        <v>1377</v>
      </c>
      <c r="J67" s="164" t="s">
        <v>1484</v>
      </c>
      <c r="K67" s="189" t="s">
        <v>1157</v>
      </c>
      <c r="L67" s="4"/>
      <c r="M67" s="97" t="s">
        <v>64</v>
      </c>
      <c r="N67" s="189" t="s">
        <v>435</v>
      </c>
      <c r="O67" s="189" t="s">
        <v>435</v>
      </c>
      <c r="P67" s="189" t="s">
        <v>435</v>
      </c>
      <c r="Q67" s="189" t="s">
        <v>435</v>
      </c>
      <c r="R67" s="4"/>
      <c r="S67" s="97" t="s">
        <v>64</v>
      </c>
      <c r="T67" s="164" t="s">
        <v>435</v>
      </c>
      <c r="U67" s="164" t="s">
        <v>857</v>
      </c>
      <c r="V67" s="189" t="s">
        <v>779</v>
      </c>
      <c r="W67" s="189" t="s">
        <v>435</v>
      </c>
      <c r="X67" s="4"/>
      <c r="Y67" s="97" t="s">
        <v>64</v>
      </c>
      <c r="Z67" s="164" t="s">
        <v>756</v>
      </c>
      <c r="AA67" s="164" t="s">
        <v>435</v>
      </c>
      <c r="AB67" s="189" t="s">
        <v>150</v>
      </c>
      <c r="AC67" s="4"/>
      <c r="AD67" s="4"/>
    </row>
    <row r="68">
      <c r="A68" s="97" t="s">
        <v>71</v>
      </c>
      <c r="B68" s="164" t="s">
        <v>251</v>
      </c>
      <c r="C68" s="164" t="s">
        <v>964</v>
      </c>
      <c r="D68" s="189" t="s">
        <v>1156</v>
      </c>
      <c r="E68" s="189" t="s">
        <v>1192</v>
      </c>
      <c r="F68" s="4"/>
      <c r="G68" s="97" t="s">
        <v>71</v>
      </c>
      <c r="H68" s="189" t="s">
        <v>1248</v>
      </c>
      <c r="I68" s="164" t="s">
        <v>475</v>
      </c>
      <c r="J68" s="164" t="s">
        <v>1205</v>
      </c>
      <c r="K68" s="189" t="s">
        <v>1533</v>
      </c>
      <c r="L68" s="4"/>
      <c r="M68" s="97" t="s">
        <v>71</v>
      </c>
      <c r="N68" s="189" t="s">
        <v>435</v>
      </c>
      <c r="O68" s="189" t="s">
        <v>435</v>
      </c>
      <c r="P68" s="189" t="s">
        <v>435</v>
      </c>
      <c r="Q68" s="189" t="s">
        <v>435</v>
      </c>
      <c r="R68" s="4"/>
      <c r="S68" s="97" t="s">
        <v>71</v>
      </c>
      <c r="T68" s="164" t="s">
        <v>733</v>
      </c>
      <c r="U68" s="164" t="s">
        <v>464</v>
      </c>
      <c r="V68" s="189" t="s">
        <v>1689</v>
      </c>
      <c r="W68" s="189" t="s">
        <v>1702</v>
      </c>
      <c r="X68" s="4"/>
      <c r="Y68" s="97" t="s">
        <v>71</v>
      </c>
      <c r="Z68" s="164" t="s">
        <v>750</v>
      </c>
      <c r="AA68" s="164" t="s">
        <v>1120</v>
      </c>
      <c r="AB68" s="189" t="s">
        <v>1752</v>
      </c>
      <c r="AC68" s="4"/>
      <c r="AD68" s="4"/>
    </row>
    <row r="69">
      <c r="A69" s="97" t="s">
        <v>80</v>
      </c>
      <c r="B69" s="189" t="s">
        <v>907</v>
      </c>
      <c r="C69" s="164" t="s">
        <v>983</v>
      </c>
      <c r="D69" s="166" t="s">
        <v>435</v>
      </c>
      <c r="E69" s="189" t="s">
        <v>1204</v>
      </c>
      <c r="F69" s="4"/>
      <c r="G69" s="97" t="s">
        <v>80</v>
      </c>
      <c r="H69" s="189" t="s">
        <v>1116</v>
      </c>
      <c r="I69" s="164" t="s">
        <v>311</v>
      </c>
      <c r="J69" s="164" t="s">
        <v>980</v>
      </c>
      <c r="K69" s="189" t="s">
        <v>928</v>
      </c>
      <c r="L69" s="4"/>
      <c r="M69" s="97" t="s">
        <v>80</v>
      </c>
      <c r="N69" s="189" t="s">
        <v>435</v>
      </c>
      <c r="O69" s="189" t="s">
        <v>435</v>
      </c>
      <c r="P69" s="189" t="s">
        <v>435</v>
      </c>
      <c r="Q69" s="189" t="s">
        <v>435</v>
      </c>
      <c r="R69" s="4"/>
      <c r="S69" s="97" t="s">
        <v>80</v>
      </c>
      <c r="T69" s="189" t="s">
        <v>1083</v>
      </c>
      <c r="U69" s="164" t="s">
        <v>1641</v>
      </c>
      <c r="V69" s="189" t="s">
        <v>780</v>
      </c>
      <c r="W69" s="189" t="s">
        <v>1432</v>
      </c>
      <c r="X69" s="4"/>
      <c r="Y69" s="97" t="s">
        <v>80</v>
      </c>
      <c r="Z69" s="189" t="s">
        <v>1116</v>
      </c>
      <c r="AA69" s="164" t="s">
        <v>132</v>
      </c>
      <c r="AB69" s="189" t="s">
        <v>1443</v>
      </c>
      <c r="AC69" s="4"/>
      <c r="AD69" s="4"/>
    </row>
    <row r="70">
      <c r="A70" s="479" t="s">
        <v>95</v>
      </c>
      <c r="B70" s="189" t="s">
        <v>596</v>
      </c>
      <c r="C70" s="189" t="s">
        <v>999</v>
      </c>
      <c r="D70" s="189" t="s">
        <v>435</v>
      </c>
      <c r="E70" s="468"/>
      <c r="F70" s="4"/>
      <c r="G70" s="479" t="s">
        <v>95</v>
      </c>
      <c r="H70" s="189" t="s">
        <v>245</v>
      </c>
      <c r="I70" s="189" t="s">
        <v>464</v>
      </c>
      <c r="J70" s="189" t="s">
        <v>1495</v>
      </c>
      <c r="K70" s="189" t="s">
        <v>541</v>
      </c>
      <c r="L70" s="4"/>
      <c r="M70" s="479" t="s">
        <v>95</v>
      </c>
      <c r="N70" s="189" t="s">
        <v>435</v>
      </c>
      <c r="O70" s="189" t="s">
        <v>435</v>
      </c>
      <c r="P70" s="189" t="s">
        <v>435</v>
      </c>
      <c r="Q70" s="189" t="s">
        <v>435</v>
      </c>
      <c r="R70" s="4"/>
      <c r="S70" s="479" t="s">
        <v>95</v>
      </c>
      <c r="T70" s="189" t="s">
        <v>435</v>
      </c>
      <c r="U70" s="189" t="s">
        <v>435</v>
      </c>
      <c r="V70" s="189" t="s">
        <v>435</v>
      </c>
      <c r="W70" s="189" t="s">
        <v>435</v>
      </c>
      <c r="X70" s="4"/>
      <c r="Y70" s="479" t="s">
        <v>95</v>
      </c>
      <c r="Z70" s="189" t="s">
        <v>1728</v>
      </c>
      <c r="AA70" s="189" t="s">
        <v>1433</v>
      </c>
      <c r="AB70" s="189" t="s">
        <v>1061</v>
      </c>
      <c r="AC70" s="4"/>
      <c r="AD70" s="4"/>
    </row>
    <row r="71">
      <c r="A71" s="4"/>
      <c r="B71" s="52"/>
      <c r="C71" s="52"/>
      <c r="D71" s="52"/>
      <c r="E71" s="52"/>
      <c r="F71" s="4"/>
      <c r="G71" s="4"/>
      <c r="H71" s="52"/>
      <c r="I71" s="52"/>
      <c r="J71" s="52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52"/>
      <c r="C72" s="52"/>
      <c r="D72" s="52"/>
      <c r="E72" s="52"/>
      <c r="F72" s="4"/>
      <c r="G72" s="4"/>
      <c r="H72" s="52"/>
      <c r="I72" s="52"/>
      <c r="J72" s="52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542">
        <v>45078.0</v>
      </c>
      <c r="C73" s="543">
        <v>45079.0</v>
      </c>
      <c r="D73" s="57"/>
      <c r="E73" s="57"/>
      <c r="F73" s="57"/>
      <c r="G73" s="57"/>
      <c r="H73" s="542">
        <v>45082.0</v>
      </c>
      <c r="I73" s="542">
        <v>45083.0</v>
      </c>
      <c r="J73" s="542">
        <v>45085.0</v>
      </c>
      <c r="K73" s="544">
        <v>45086.0</v>
      </c>
      <c r="L73" s="57"/>
      <c r="M73" s="57"/>
      <c r="N73" s="545">
        <v>45090.0</v>
      </c>
      <c r="O73" s="545">
        <v>45091.0</v>
      </c>
      <c r="P73" s="546">
        <v>45092.0</v>
      </c>
      <c r="Q73" s="546">
        <v>45093.0</v>
      </c>
      <c r="R73" s="57"/>
      <c r="S73" s="57"/>
      <c r="T73" s="542">
        <v>45096.0</v>
      </c>
      <c r="U73" s="542">
        <v>45097.0</v>
      </c>
      <c r="V73" s="542">
        <v>45098.0</v>
      </c>
      <c r="W73" s="542">
        <v>45099.0</v>
      </c>
      <c r="X73" s="57"/>
      <c r="Y73" s="57"/>
      <c r="Z73" s="542">
        <v>45103.0</v>
      </c>
      <c r="AA73" s="542">
        <v>45104.0</v>
      </c>
      <c r="AB73" s="542">
        <v>45105.0</v>
      </c>
      <c r="AC73" s="542">
        <v>45106.0</v>
      </c>
      <c r="AD73" s="4"/>
    </row>
    <row r="74">
      <c r="A74" s="97" t="s">
        <v>0</v>
      </c>
      <c r="B74" s="189" t="s">
        <v>435</v>
      </c>
      <c r="C74" s="144" t="s">
        <v>435</v>
      </c>
      <c r="D74" s="52"/>
      <c r="E74" s="52"/>
      <c r="F74" s="4"/>
      <c r="G74" s="97" t="s">
        <v>0</v>
      </c>
      <c r="H74" s="189" t="s">
        <v>435</v>
      </c>
      <c r="I74" s="164" t="s">
        <v>947</v>
      </c>
      <c r="J74" s="189" t="s">
        <v>731</v>
      </c>
      <c r="K74" s="189" t="s">
        <v>435</v>
      </c>
      <c r="L74" s="4"/>
      <c r="M74" s="97" t="s">
        <v>0</v>
      </c>
      <c r="N74" s="164" t="s">
        <v>435</v>
      </c>
      <c r="O74" s="164" t="s">
        <v>435</v>
      </c>
      <c r="P74" s="189" t="s">
        <v>947</v>
      </c>
      <c r="Q74" s="189" t="s">
        <v>435</v>
      </c>
      <c r="R74" s="4"/>
      <c r="S74" s="97" t="s">
        <v>0</v>
      </c>
      <c r="T74" s="189" t="s">
        <v>435</v>
      </c>
      <c r="U74" s="164" t="s">
        <v>435</v>
      </c>
      <c r="V74" s="143" t="s">
        <v>435</v>
      </c>
      <c r="W74" s="189" t="s">
        <v>754</v>
      </c>
      <c r="X74" s="4"/>
      <c r="Y74" s="97" t="s">
        <v>0</v>
      </c>
      <c r="Z74" s="189" t="s">
        <v>435</v>
      </c>
      <c r="AA74" s="164" t="s">
        <v>435</v>
      </c>
      <c r="AB74" s="189" t="s">
        <v>435</v>
      </c>
      <c r="AC74" s="189" t="s">
        <v>834</v>
      </c>
      <c r="AD74" s="4"/>
    </row>
    <row r="75">
      <c r="A75" s="97" t="s">
        <v>5</v>
      </c>
      <c r="B75" s="189" t="s">
        <v>435</v>
      </c>
      <c r="C75" s="144" t="s">
        <v>732</v>
      </c>
      <c r="D75" s="52"/>
      <c r="E75" s="52"/>
      <c r="F75" s="4"/>
      <c r="G75" s="97" t="s">
        <v>5</v>
      </c>
      <c r="H75" s="189" t="s">
        <v>435</v>
      </c>
      <c r="I75" s="164" t="s">
        <v>199</v>
      </c>
      <c r="J75" s="189" t="s">
        <v>1117</v>
      </c>
      <c r="K75" s="189" t="s">
        <v>435</v>
      </c>
      <c r="L75" s="4"/>
      <c r="M75" s="97" t="s">
        <v>5</v>
      </c>
      <c r="N75" s="491" t="s">
        <v>435</v>
      </c>
      <c r="O75" s="164" t="s">
        <v>435</v>
      </c>
      <c r="P75" s="189" t="s">
        <v>732</v>
      </c>
      <c r="Q75" s="189" t="s">
        <v>435</v>
      </c>
      <c r="R75" s="4"/>
      <c r="S75" s="97" t="s">
        <v>5</v>
      </c>
      <c r="T75" s="189" t="s">
        <v>435</v>
      </c>
      <c r="U75" s="164" t="s">
        <v>199</v>
      </c>
      <c r="V75" s="135" t="s">
        <v>435</v>
      </c>
      <c r="W75" s="189" t="s">
        <v>435</v>
      </c>
      <c r="X75" s="4"/>
      <c r="Y75" s="97" t="s">
        <v>5</v>
      </c>
      <c r="Z75" s="189" t="s">
        <v>435</v>
      </c>
      <c r="AA75" s="491" t="s">
        <v>435</v>
      </c>
      <c r="AB75" s="189" t="s">
        <v>435</v>
      </c>
      <c r="AC75" s="189" t="s">
        <v>1119</v>
      </c>
      <c r="AD75" s="4"/>
    </row>
    <row r="76">
      <c r="A76" s="97" t="s">
        <v>13</v>
      </c>
      <c r="B76" s="189" t="s">
        <v>435</v>
      </c>
      <c r="C76" s="144" t="s">
        <v>435</v>
      </c>
      <c r="D76" s="52"/>
      <c r="E76" s="52"/>
      <c r="F76" s="4"/>
      <c r="G76" s="97" t="s">
        <v>13</v>
      </c>
      <c r="H76" s="189" t="s">
        <v>435</v>
      </c>
      <c r="I76" s="164" t="s">
        <v>984</v>
      </c>
      <c r="J76" s="189" t="s">
        <v>1139</v>
      </c>
      <c r="K76" s="189" t="s">
        <v>435</v>
      </c>
      <c r="L76" s="4"/>
      <c r="M76" s="97" t="s">
        <v>13</v>
      </c>
      <c r="N76" s="164" t="s">
        <v>435</v>
      </c>
      <c r="O76" s="164" t="s">
        <v>435</v>
      </c>
      <c r="P76" s="189" t="s">
        <v>237</v>
      </c>
      <c r="Q76" s="189" t="s">
        <v>435</v>
      </c>
      <c r="R76" s="4"/>
      <c r="S76" s="97" t="s">
        <v>13</v>
      </c>
      <c r="T76" s="189" t="s">
        <v>435</v>
      </c>
      <c r="U76" s="164" t="s">
        <v>322</v>
      </c>
      <c r="V76" s="143" t="s">
        <v>435</v>
      </c>
      <c r="W76" s="189" t="s">
        <v>475</v>
      </c>
      <c r="X76" s="4"/>
      <c r="Y76" s="97" t="s">
        <v>13</v>
      </c>
      <c r="Z76" s="189" t="s">
        <v>435</v>
      </c>
      <c r="AA76" s="164" t="s">
        <v>322</v>
      </c>
      <c r="AB76" s="189" t="s">
        <v>435</v>
      </c>
      <c r="AC76" s="189" t="s">
        <v>1485</v>
      </c>
      <c r="AD76" s="4"/>
    </row>
    <row r="77">
      <c r="A77" s="97" t="s">
        <v>19</v>
      </c>
      <c r="B77" s="189" t="s">
        <v>435</v>
      </c>
      <c r="C77" s="144" t="s">
        <v>435</v>
      </c>
      <c r="D77" s="52"/>
      <c r="E77" s="52"/>
      <c r="F77" s="4"/>
      <c r="G77" s="97" t="s">
        <v>19</v>
      </c>
      <c r="H77" s="189" t="s">
        <v>435</v>
      </c>
      <c r="I77" s="164" t="s">
        <v>1000</v>
      </c>
      <c r="J77" s="189" t="s">
        <v>435</v>
      </c>
      <c r="K77" s="189" t="s">
        <v>435</v>
      </c>
      <c r="L77" s="4"/>
      <c r="M77" s="97" t="s">
        <v>19</v>
      </c>
      <c r="N77" s="164" t="s">
        <v>734</v>
      </c>
      <c r="O77" s="164" t="s">
        <v>435</v>
      </c>
      <c r="P77" s="189" t="s">
        <v>1495</v>
      </c>
      <c r="Q77" s="189" t="s">
        <v>435</v>
      </c>
      <c r="R77" s="4"/>
      <c r="S77" s="97" t="s">
        <v>19</v>
      </c>
      <c r="T77" s="189" t="s">
        <v>435</v>
      </c>
      <c r="U77" s="164" t="s">
        <v>1625</v>
      </c>
      <c r="V77" s="143" t="s">
        <v>435</v>
      </c>
      <c r="W77" s="189" t="s">
        <v>435</v>
      </c>
      <c r="X77" s="4"/>
      <c r="Y77" s="97" t="s">
        <v>19</v>
      </c>
      <c r="Z77" s="189" t="s">
        <v>435</v>
      </c>
      <c r="AA77" s="164" t="s">
        <v>199</v>
      </c>
      <c r="AB77" s="189" t="s">
        <v>435</v>
      </c>
      <c r="AC77" s="189" t="s">
        <v>237</v>
      </c>
      <c r="AD77" s="4"/>
    </row>
    <row r="78">
      <c r="A78" s="97" t="s">
        <v>39</v>
      </c>
      <c r="B78" s="189" t="s">
        <v>435</v>
      </c>
      <c r="C78" s="529" t="s">
        <v>435</v>
      </c>
      <c r="D78" s="52"/>
      <c r="E78" s="52"/>
      <c r="F78" s="4"/>
      <c r="G78" s="97" t="s">
        <v>39</v>
      </c>
      <c r="H78" s="189" t="s">
        <v>435</v>
      </c>
      <c r="I78" s="164" t="s">
        <v>435</v>
      </c>
      <c r="J78" s="189" t="s">
        <v>435</v>
      </c>
      <c r="K78" s="189" t="s">
        <v>435</v>
      </c>
      <c r="L78" s="4"/>
      <c r="M78" s="97" t="s">
        <v>39</v>
      </c>
      <c r="N78" s="164" t="s">
        <v>435</v>
      </c>
      <c r="O78" s="164" t="s">
        <v>435</v>
      </c>
      <c r="P78" s="189" t="s">
        <v>435</v>
      </c>
      <c r="Q78" s="189" t="s">
        <v>435</v>
      </c>
      <c r="R78" s="4"/>
      <c r="S78" s="97" t="s">
        <v>39</v>
      </c>
      <c r="T78" s="189" t="s">
        <v>435</v>
      </c>
      <c r="U78" s="164" t="s">
        <v>435</v>
      </c>
      <c r="V78" s="143" t="s">
        <v>435</v>
      </c>
      <c r="W78" s="189" t="s">
        <v>435</v>
      </c>
      <c r="X78" s="4"/>
      <c r="Y78" s="97" t="s">
        <v>39</v>
      </c>
      <c r="Z78" s="189" t="s">
        <v>435</v>
      </c>
      <c r="AA78" s="164" t="s">
        <v>435</v>
      </c>
      <c r="AB78" s="189" t="s">
        <v>435</v>
      </c>
      <c r="AC78" s="189" t="s">
        <v>435</v>
      </c>
      <c r="AD78" s="4"/>
    </row>
    <row r="79">
      <c r="A79" s="97" t="s">
        <v>45</v>
      </c>
      <c r="B79" s="189" t="s">
        <v>435</v>
      </c>
      <c r="C79" s="144" t="s">
        <v>435</v>
      </c>
      <c r="D79" s="52"/>
      <c r="E79" s="52"/>
      <c r="F79" s="4"/>
      <c r="G79" s="97" t="s">
        <v>45</v>
      </c>
      <c r="H79" s="189" t="s">
        <v>435</v>
      </c>
      <c r="I79" s="164" t="s">
        <v>130</v>
      </c>
      <c r="J79" s="189" t="s">
        <v>1157</v>
      </c>
      <c r="K79" s="189" t="s">
        <v>435</v>
      </c>
      <c r="L79" s="4"/>
      <c r="M79" s="97" t="s">
        <v>45</v>
      </c>
      <c r="N79" s="164" t="s">
        <v>182</v>
      </c>
      <c r="O79" s="164" t="s">
        <v>1395</v>
      </c>
      <c r="P79" s="189" t="s">
        <v>57</v>
      </c>
      <c r="Q79" s="189" t="s">
        <v>435</v>
      </c>
      <c r="R79" s="4"/>
      <c r="S79" s="97" t="s">
        <v>45</v>
      </c>
      <c r="T79" s="189" t="s">
        <v>435</v>
      </c>
      <c r="U79" s="164" t="s">
        <v>435</v>
      </c>
      <c r="V79" s="143" t="s">
        <v>435</v>
      </c>
      <c r="W79" s="189" t="s">
        <v>887</v>
      </c>
      <c r="X79" s="4"/>
      <c r="Y79" s="97" t="s">
        <v>45</v>
      </c>
      <c r="Z79" s="189" t="s">
        <v>435</v>
      </c>
      <c r="AA79" s="164" t="s">
        <v>435</v>
      </c>
      <c r="AB79" s="189" t="s">
        <v>435</v>
      </c>
      <c r="AC79" s="189" t="s">
        <v>1297</v>
      </c>
      <c r="AD79" s="4"/>
    </row>
    <row r="80">
      <c r="A80" s="97" t="s">
        <v>54</v>
      </c>
      <c r="B80" s="189" t="s">
        <v>435</v>
      </c>
      <c r="C80" s="144" t="s">
        <v>755</v>
      </c>
      <c r="D80" s="52"/>
      <c r="E80" s="52"/>
      <c r="F80" s="4"/>
      <c r="G80" s="97" t="s">
        <v>54</v>
      </c>
      <c r="H80" s="164" t="s">
        <v>623</v>
      </c>
      <c r="I80" s="164" t="s">
        <v>349</v>
      </c>
      <c r="J80" s="189" t="s">
        <v>268</v>
      </c>
      <c r="K80" s="189" t="s">
        <v>831</v>
      </c>
      <c r="L80" s="4"/>
      <c r="M80" s="97" t="s">
        <v>54</v>
      </c>
      <c r="N80" s="164" t="s">
        <v>1338</v>
      </c>
      <c r="O80" s="164" t="s">
        <v>623</v>
      </c>
      <c r="P80" s="189" t="s">
        <v>268</v>
      </c>
      <c r="Q80" s="189" t="s">
        <v>624</v>
      </c>
      <c r="R80" s="4"/>
      <c r="S80" s="97" t="s">
        <v>54</v>
      </c>
      <c r="T80" s="164" t="s">
        <v>1543</v>
      </c>
      <c r="U80" s="164" t="s">
        <v>1261</v>
      </c>
      <c r="V80" s="143" t="s">
        <v>624</v>
      </c>
      <c r="W80" s="189" t="s">
        <v>268</v>
      </c>
      <c r="X80" s="4"/>
      <c r="Y80" s="97" t="s">
        <v>54</v>
      </c>
      <c r="Z80" s="164" t="s">
        <v>623</v>
      </c>
      <c r="AA80" s="164" t="s">
        <v>464</v>
      </c>
      <c r="AB80" s="189" t="s">
        <v>435</v>
      </c>
      <c r="AC80" s="189" t="s">
        <v>268</v>
      </c>
      <c r="AD80" s="4"/>
    </row>
    <row r="81">
      <c r="A81" s="97" t="s">
        <v>64</v>
      </c>
      <c r="B81" s="189" t="s">
        <v>435</v>
      </c>
      <c r="C81" s="144" t="s">
        <v>779</v>
      </c>
      <c r="D81" s="52"/>
      <c r="E81" s="52"/>
      <c r="F81" s="4"/>
      <c r="G81" s="97" t="s">
        <v>64</v>
      </c>
      <c r="H81" s="164" t="s">
        <v>884</v>
      </c>
      <c r="I81" s="164" t="s">
        <v>1062</v>
      </c>
      <c r="J81" s="189" t="s">
        <v>1138</v>
      </c>
      <c r="K81" s="189" t="s">
        <v>982</v>
      </c>
      <c r="L81" s="4"/>
      <c r="M81" s="97" t="s">
        <v>64</v>
      </c>
      <c r="N81" s="164" t="s">
        <v>58</v>
      </c>
      <c r="O81" s="164" t="s">
        <v>464</v>
      </c>
      <c r="P81" s="189" t="s">
        <v>1515</v>
      </c>
      <c r="Q81" s="189" t="s">
        <v>982</v>
      </c>
      <c r="R81" s="4"/>
      <c r="S81" s="97" t="s">
        <v>64</v>
      </c>
      <c r="T81" s="164" t="s">
        <v>756</v>
      </c>
      <c r="U81" s="164" t="s">
        <v>757</v>
      </c>
      <c r="V81" s="135" t="s">
        <v>779</v>
      </c>
      <c r="W81" s="189" t="s">
        <v>947</v>
      </c>
      <c r="X81" s="4"/>
      <c r="Y81" s="97" t="s">
        <v>64</v>
      </c>
      <c r="Z81" s="164" t="s">
        <v>1195</v>
      </c>
      <c r="AA81" s="164" t="s">
        <v>1115</v>
      </c>
      <c r="AB81" s="189" t="s">
        <v>982</v>
      </c>
      <c r="AC81" s="189" t="s">
        <v>1747</v>
      </c>
      <c r="AD81" s="4"/>
    </row>
    <row r="82">
      <c r="A82" s="97" t="s">
        <v>71</v>
      </c>
      <c r="B82" s="189" t="s">
        <v>435</v>
      </c>
      <c r="C82" s="144" t="s">
        <v>807</v>
      </c>
      <c r="D82" s="52"/>
      <c r="E82" s="52"/>
      <c r="F82" s="4"/>
      <c r="G82" s="97" t="s">
        <v>71</v>
      </c>
      <c r="H82" s="189" t="s">
        <v>733</v>
      </c>
      <c r="I82" s="164" t="s">
        <v>1084</v>
      </c>
      <c r="J82" s="189" t="s">
        <v>1205</v>
      </c>
      <c r="K82" s="189" t="s">
        <v>1276</v>
      </c>
      <c r="L82" s="4"/>
      <c r="M82" s="97" t="s">
        <v>71</v>
      </c>
      <c r="N82" s="164" t="s">
        <v>1358</v>
      </c>
      <c r="O82" s="164" t="s">
        <v>1433</v>
      </c>
      <c r="P82" s="189" t="s">
        <v>882</v>
      </c>
      <c r="Q82" s="189" t="s">
        <v>289</v>
      </c>
      <c r="R82" s="4"/>
      <c r="S82" s="97" t="s">
        <v>71</v>
      </c>
      <c r="T82" s="164" t="s">
        <v>733</v>
      </c>
      <c r="U82" s="164" t="s">
        <v>1193</v>
      </c>
      <c r="V82" s="135" t="s">
        <v>464</v>
      </c>
      <c r="W82" s="189" t="s">
        <v>882</v>
      </c>
      <c r="X82" s="4"/>
      <c r="Y82" s="97" t="s">
        <v>71</v>
      </c>
      <c r="Z82" s="164" t="s">
        <v>1219</v>
      </c>
      <c r="AA82" s="164" t="s">
        <v>132</v>
      </c>
      <c r="AB82" s="189" t="s">
        <v>289</v>
      </c>
      <c r="AC82" s="189" t="s">
        <v>1205</v>
      </c>
      <c r="AD82" s="4"/>
    </row>
    <row r="83">
      <c r="A83" s="97" t="s">
        <v>80</v>
      </c>
      <c r="B83" s="189" t="s">
        <v>435</v>
      </c>
      <c r="C83" s="144" t="s">
        <v>832</v>
      </c>
      <c r="D83" s="52"/>
      <c r="E83" s="52"/>
      <c r="F83" s="4"/>
      <c r="G83" s="97" t="s">
        <v>80</v>
      </c>
      <c r="H83" s="520" t="s">
        <v>930</v>
      </c>
      <c r="I83" s="164" t="s">
        <v>435</v>
      </c>
      <c r="J83" s="189" t="s">
        <v>1219</v>
      </c>
      <c r="K83" s="189" t="s">
        <v>435</v>
      </c>
      <c r="L83" s="4"/>
      <c r="M83" s="97" t="s">
        <v>80</v>
      </c>
      <c r="N83" s="164" t="s">
        <v>907</v>
      </c>
      <c r="O83" s="164" t="s">
        <v>1116</v>
      </c>
      <c r="P83" s="189" t="s">
        <v>1115</v>
      </c>
      <c r="Q83" s="189" t="s">
        <v>1083</v>
      </c>
      <c r="R83" s="4"/>
      <c r="S83" s="97" t="s">
        <v>80</v>
      </c>
      <c r="T83" s="189" t="s">
        <v>1065</v>
      </c>
      <c r="U83" s="164" t="s">
        <v>281</v>
      </c>
      <c r="V83" s="135" t="s">
        <v>289</v>
      </c>
      <c r="W83" s="189" t="s">
        <v>928</v>
      </c>
      <c r="X83" s="4"/>
      <c r="Y83" s="97" t="s">
        <v>80</v>
      </c>
      <c r="Z83" s="189" t="s">
        <v>1083</v>
      </c>
      <c r="AA83" s="164" t="s">
        <v>1735</v>
      </c>
      <c r="AB83" s="189" t="s">
        <v>1045</v>
      </c>
      <c r="AC83" s="189" t="s">
        <v>642</v>
      </c>
      <c r="AD83" s="4"/>
    </row>
    <row r="84">
      <c r="A84" s="479" t="s">
        <v>95</v>
      </c>
      <c r="B84" s="189" t="s">
        <v>435</v>
      </c>
      <c r="C84" s="144" t="s">
        <v>435</v>
      </c>
      <c r="D84" s="52"/>
      <c r="E84" s="52"/>
      <c r="F84" s="4"/>
      <c r="G84" s="479" t="s">
        <v>95</v>
      </c>
      <c r="H84" s="166" t="s">
        <v>435</v>
      </c>
      <c r="I84" s="198" t="s">
        <v>435</v>
      </c>
      <c r="J84" s="189" t="s">
        <v>1232</v>
      </c>
      <c r="K84" s="189" t="s">
        <v>807</v>
      </c>
      <c r="L84" s="4"/>
      <c r="M84" s="479" t="s">
        <v>95</v>
      </c>
      <c r="N84" s="189" t="s">
        <v>1385</v>
      </c>
      <c r="O84" s="189" t="s">
        <v>1455</v>
      </c>
      <c r="P84" s="189" t="s">
        <v>435</v>
      </c>
      <c r="Q84" s="189" t="s">
        <v>435</v>
      </c>
      <c r="R84" s="4"/>
      <c r="S84" s="479" t="s">
        <v>95</v>
      </c>
      <c r="T84" s="189" t="s">
        <v>1597</v>
      </c>
      <c r="U84" s="468" t="s">
        <v>435</v>
      </c>
      <c r="V84" s="135" t="s">
        <v>435</v>
      </c>
      <c r="W84" s="189" t="s">
        <v>1703</v>
      </c>
      <c r="X84" s="4"/>
      <c r="Y84" s="479" t="s">
        <v>95</v>
      </c>
      <c r="Z84" s="189" t="s">
        <v>435</v>
      </c>
      <c r="AA84" s="189" t="s">
        <v>435</v>
      </c>
      <c r="AB84" s="189" t="s">
        <v>435</v>
      </c>
      <c r="AC84" s="189" t="s">
        <v>1193</v>
      </c>
      <c r="AD84" s="4"/>
    </row>
    <row r="85">
      <c r="A85" s="4"/>
      <c r="B85" s="52"/>
      <c r="C85" s="52"/>
      <c r="D85" s="52"/>
      <c r="E85" s="52"/>
      <c r="F85" s="4"/>
      <c r="G85" s="4"/>
      <c r="H85" s="52"/>
      <c r="I85" s="52"/>
      <c r="J85" s="52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52"/>
      <c r="C86" s="52"/>
      <c r="D86" s="52"/>
      <c r="E86" s="52"/>
      <c r="F86" s="4"/>
      <c r="G86" s="4"/>
      <c r="H86" s="52"/>
      <c r="I86" s="52"/>
      <c r="J86" s="52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547">
        <v>45110.0</v>
      </c>
      <c r="C87" s="548">
        <v>45111.0</v>
      </c>
      <c r="D87" s="548">
        <v>45112.0</v>
      </c>
      <c r="E87" s="548">
        <v>45113.0</v>
      </c>
      <c r="F87" s="4"/>
      <c r="G87" s="4"/>
      <c r="H87" s="549">
        <v>45117.0</v>
      </c>
      <c r="I87" s="549">
        <v>45118.0</v>
      </c>
      <c r="J87" s="549">
        <v>45119.0</v>
      </c>
      <c r="K87" s="549">
        <v>45120.0</v>
      </c>
      <c r="L87" s="4"/>
      <c r="M87" s="4"/>
      <c r="N87" s="549">
        <v>45124.0</v>
      </c>
      <c r="O87" s="549">
        <v>45125.0</v>
      </c>
      <c r="P87" s="549">
        <v>45126.0</v>
      </c>
      <c r="Q87" s="549">
        <v>45127.0</v>
      </c>
      <c r="R87" s="4"/>
      <c r="S87" s="4"/>
      <c r="T87" s="549">
        <v>45131.0</v>
      </c>
      <c r="U87" s="549">
        <v>45132.0</v>
      </c>
      <c r="V87" s="549">
        <v>45133.0</v>
      </c>
      <c r="W87" s="549">
        <v>45134.0</v>
      </c>
      <c r="X87" s="4"/>
      <c r="Y87" s="4"/>
      <c r="Z87" s="549">
        <v>45138.0</v>
      </c>
      <c r="AA87" s="489"/>
      <c r="AB87" s="489"/>
      <c r="AC87" s="489"/>
      <c r="AD87" s="4"/>
    </row>
    <row r="88">
      <c r="A88" s="97" t="s">
        <v>0</v>
      </c>
      <c r="B88" s="189" t="s">
        <v>435</v>
      </c>
      <c r="C88" s="164" t="s">
        <v>435</v>
      </c>
      <c r="D88" s="189" t="s">
        <v>435</v>
      </c>
      <c r="E88" s="189" t="s">
        <v>435</v>
      </c>
      <c r="F88" s="4"/>
      <c r="G88" s="97" t="s">
        <v>0</v>
      </c>
      <c r="H88" s="189" t="s">
        <v>435</v>
      </c>
      <c r="I88" s="164" t="s">
        <v>435</v>
      </c>
      <c r="J88" s="189" t="s">
        <v>435</v>
      </c>
      <c r="K88" s="189" t="s">
        <v>435</v>
      </c>
      <c r="L88" s="4"/>
      <c r="M88" s="97" t="s">
        <v>0</v>
      </c>
      <c r="N88" s="189" t="s">
        <v>435</v>
      </c>
      <c r="O88" s="164" t="s">
        <v>1554</v>
      </c>
      <c r="P88" s="189" t="s">
        <v>1893</v>
      </c>
      <c r="Q88" s="189" t="s">
        <v>435</v>
      </c>
      <c r="R88" s="4"/>
      <c r="S88" s="97" t="s">
        <v>0</v>
      </c>
      <c r="T88" s="158" t="s">
        <v>435</v>
      </c>
      <c r="U88" s="550" t="s">
        <v>435</v>
      </c>
      <c r="V88" s="550" t="s">
        <v>435</v>
      </c>
      <c r="W88" s="550" t="s">
        <v>834</v>
      </c>
      <c r="X88" s="4"/>
      <c r="Y88" s="97" t="s">
        <v>0</v>
      </c>
      <c r="Z88" s="189" t="s">
        <v>435</v>
      </c>
      <c r="AA88" s="4"/>
      <c r="AB88" s="4"/>
      <c r="AC88" s="4"/>
      <c r="AD88" s="4"/>
    </row>
    <row r="89">
      <c r="A89" s="97" t="s">
        <v>5</v>
      </c>
      <c r="B89" s="189" t="s">
        <v>435</v>
      </c>
      <c r="C89" s="164" t="s">
        <v>435</v>
      </c>
      <c r="D89" s="189" t="s">
        <v>435</v>
      </c>
      <c r="E89" s="189" t="s">
        <v>596</v>
      </c>
      <c r="F89" s="4"/>
      <c r="G89" s="97" t="s">
        <v>5</v>
      </c>
      <c r="H89" s="189" t="s">
        <v>435</v>
      </c>
      <c r="I89" s="164" t="s">
        <v>1206</v>
      </c>
      <c r="J89" s="189" t="s">
        <v>435</v>
      </c>
      <c r="K89" s="189" t="s">
        <v>1434</v>
      </c>
      <c r="L89" s="4"/>
      <c r="M89" s="97" t="s">
        <v>5</v>
      </c>
      <c r="N89" s="189" t="s">
        <v>435</v>
      </c>
      <c r="O89" s="164" t="s">
        <v>199</v>
      </c>
      <c r="P89" s="189" t="s">
        <v>1893</v>
      </c>
      <c r="Q89" s="189" t="s">
        <v>1206</v>
      </c>
      <c r="R89" s="4"/>
      <c r="S89" s="97" t="s">
        <v>5</v>
      </c>
      <c r="T89" s="144" t="s">
        <v>1894</v>
      </c>
      <c r="U89" s="143" t="s">
        <v>199</v>
      </c>
      <c r="V89" s="143" t="s">
        <v>435</v>
      </c>
      <c r="W89" s="143" t="s">
        <v>1206</v>
      </c>
      <c r="X89" s="4"/>
      <c r="Y89" s="97" t="s">
        <v>5</v>
      </c>
      <c r="Z89" s="189" t="s">
        <v>435</v>
      </c>
      <c r="AA89" s="4"/>
      <c r="AB89" s="4"/>
      <c r="AC89" s="4"/>
      <c r="AD89" s="4"/>
    </row>
    <row r="90">
      <c r="A90" s="97" t="s">
        <v>13</v>
      </c>
      <c r="B90" s="189" t="s">
        <v>435</v>
      </c>
      <c r="C90" s="164" t="s">
        <v>322</v>
      </c>
      <c r="D90" s="189" t="s">
        <v>435</v>
      </c>
      <c r="E90" s="189" t="s">
        <v>435</v>
      </c>
      <c r="F90" s="4"/>
      <c r="G90" s="97" t="s">
        <v>13</v>
      </c>
      <c r="H90" s="189" t="s">
        <v>435</v>
      </c>
      <c r="I90" s="164" t="s">
        <v>322</v>
      </c>
      <c r="J90" s="189" t="s">
        <v>1895</v>
      </c>
      <c r="K90" s="189" t="s">
        <v>1445</v>
      </c>
      <c r="L90" s="4"/>
      <c r="M90" s="97" t="s">
        <v>13</v>
      </c>
      <c r="N90" s="189" t="s">
        <v>435</v>
      </c>
      <c r="O90" s="164" t="s">
        <v>1119</v>
      </c>
      <c r="P90" s="189" t="s">
        <v>1893</v>
      </c>
      <c r="Q90" s="189" t="s">
        <v>231</v>
      </c>
      <c r="R90" s="4"/>
      <c r="S90" s="97" t="s">
        <v>13</v>
      </c>
      <c r="T90" s="144" t="s">
        <v>435</v>
      </c>
      <c r="U90" s="143" t="s">
        <v>1716</v>
      </c>
      <c r="V90" s="143" t="s">
        <v>435</v>
      </c>
      <c r="W90" s="143" t="s">
        <v>1119</v>
      </c>
      <c r="X90" s="4"/>
      <c r="Y90" s="97" t="s">
        <v>13</v>
      </c>
      <c r="Z90" s="189" t="s">
        <v>435</v>
      </c>
      <c r="AA90" s="4"/>
      <c r="AB90" s="4"/>
      <c r="AC90" s="4"/>
      <c r="AD90" s="4"/>
    </row>
    <row r="91">
      <c r="A91" s="97" t="s">
        <v>19</v>
      </c>
      <c r="B91" s="189" t="s">
        <v>435</v>
      </c>
      <c r="C91" s="164" t="s">
        <v>435</v>
      </c>
      <c r="D91" s="189" t="s">
        <v>435</v>
      </c>
      <c r="E91" s="189" t="s">
        <v>1896</v>
      </c>
      <c r="F91" s="4"/>
      <c r="G91" s="97" t="s">
        <v>19</v>
      </c>
      <c r="H91" s="189" t="s">
        <v>435</v>
      </c>
      <c r="I91" s="164" t="s">
        <v>1326</v>
      </c>
      <c r="J91" s="189" t="s">
        <v>435</v>
      </c>
      <c r="K91" s="189" t="s">
        <v>289</v>
      </c>
      <c r="L91" s="4"/>
      <c r="M91" s="97" t="s">
        <v>19</v>
      </c>
      <c r="N91" s="189" t="s">
        <v>435</v>
      </c>
      <c r="O91" s="164" t="s">
        <v>781</v>
      </c>
      <c r="P91" s="189" t="s">
        <v>1893</v>
      </c>
      <c r="Q91" s="189" t="s">
        <v>1667</v>
      </c>
      <c r="R91" s="4"/>
      <c r="S91" s="97" t="s">
        <v>19</v>
      </c>
      <c r="T91" s="144" t="s">
        <v>435</v>
      </c>
      <c r="U91" s="143" t="s">
        <v>781</v>
      </c>
      <c r="V91" s="143" t="s">
        <v>435</v>
      </c>
      <c r="W91" s="143" t="s">
        <v>1138</v>
      </c>
      <c r="X91" s="4"/>
      <c r="Y91" s="97" t="s">
        <v>19</v>
      </c>
      <c r="Z91" s="189" t="s">
        <v>758</v>
      </c>
      <c r="AA91" s="4"/>
      <c r="AB91" s="4"/>
      <c r="AC91" s="4"/>
      <c r="AD91" s="4"/>
    </row>
    <row r="92">
      <c r="A92" s="97" t="s">
        <v>39</v>
      </c>
      <c r="B92" s="189" t="s">
        <v>435</v>
      </c>
      <c r="C92" s="164" t="s">
        <v>435</v>
      </c>
      <c r="D92" s="189" t="s">
        <v>435</v>
      </c>
      <c r="E92" s="189" t="s">
        <v>435</v>
      </c>
      <c r="F92" s="4"/>
      <c r="G92" s="97" t="s">
        <v>39</v>
      </c>
      <c r="H92" s="189" t="s">
        <v>435</v>
      </c>
      <c r="I92" s="164" t="s">
        <v>435</v>
      </c>
      <c r="J92" s="189" t="s">
        <v>435</v>
      </c>
      <c r="K92" s="189" t="s">
        <v>435</v>
      </c>
      <c r="L92" s="4"/>
      <c r="M92" s="97" t="s">
        <v>39</v>
      </c>
      <c r="N92" s="189" t="s">
        <v>435</v>
      </c>
      <c r="O92" s="164" t="s">
        <v>435</v>
      </c>
      <c r="P92" s="189" t="s">
        <v>435</v>
      </c>
      <c r="Q92" s="189" t="s">
        <v>435</v>
      </c>
      <c r="R92" s="4"/>
      <c r="S92" s="97" t="s">
        <v>39</v>
      </c>
      <c r="T92" s="144" t="s">
        <v>435</v>
      </c>
      <c r="U92" s="143" t="s">
        <v>435</v>
      </c>
      <c r="V92" s="135" t="s">
        <v>435</v>
      </c>
      <c r="W92" s="135" t="s">
        <v>435</v>
      </c>
      <c r="X92" s="4"/>
      <c r="Y92" s="97" t="s">
        <v>39</v>
      </c>
      <c r="Z92" s="189" t="s">
        <v>435</v>
      </c>
      <c r="AA92" s="4"/>
      <c r="AB92" s="4"/>
      <c r="AC92" s="4"/>
      <c r="AD92" s="4"/>
    </row>
    <row r="93">
      <c r="A93" s="97" t="s">
        <v>45</v>
      </c>
      <c r="B93" s="189" t="s">
        <v>435</v>
      </c>
      <c r="C93" s="164" t="s">
        <v>833</v>
      </c>
      <c r="D93" s="189" t="s">
        <v>811</v>
      </c>
      <c r="E93" s="189" t="s">
        <v>1118</v>
      </c>
      <c r="F93" s="4"/>
      <c r="G93" s="97" t="s">
        <v>45</v>
      </c>
      <c r="H93" s="189" t="s">
        <v>435</v>
      </c>
      <c r="I93" s="164" t="s">
        <v>987</v>
      </c>
      <c r="J93" s="189" t="s">
        <v>435</v>
      </c>
      <c r="K93" s="189" t="s">
        <v>57</v>
      </c>
      <c r="L93" s="4"/>
      <c r="M93" s="97" t="s">
        <v>45</v>
      </c>
      <c r="N93" s="189" t="s">
        <v>435</v>
      </c>
      <c r="O93" s="164" t="s">
        <v>1065</v>
      </c>
      <c r="P93" s="189" t="s">
        <v>435</v>
      </c>
      <c r="Q93" s="189" t="s">
        <v>1674</v>
      </c>
      <c r="R93" s="4"/>
      <c r="S93" s="97" t="s">
        <v>45</v>
      </c>
      <c r="T93" s="144" t="s">
        <v>435</v>
      </c>
      <c r="U93" s="135" t="s">
        <v>435</v>
      </c>
      <c r="V93" s="143" t="s">
        <v>1897</v>
      </c>
      <c r="W93" s="143" t="s">
        <v>331</v>
      </c>
      <c r="X93" s="4"/>
      <c r="Y93" s="97" t="s">
        <v>45</v>
      </c>
      <c r="Z93" s="189" t="s">
        <v>1753</v>
      </c>
      <c r="AA93" s="4"/>
      <c r="AB93" s="4"/>
      <c r="AC93" s="4"/>
      <c r="AD93" s="4"/>
    </row>
    <row r="94">
      <c r="A94" s="97" t="s">
        <v>54</v>
      </c>
      <c r="B94" s="164" t="s">
        <v>733</v>
      </c>
      <c r="C94" s="164" t="s">
        <v>182</v>
      </c>
      <c r="D94" s="189" t="s">
        <v>755</v>
      </c>
      <c r="E94" s="189" t="s">
        <v>268</v>
      </c>
      <c r="F94" s="4"/>
      <c r="G94" s="97" t="s">
        <v>54</v>
      </c>
      <c r="H94" s="164" t="s">
        <v>623</v>
      </c>
      <c r="I94" s="164" t="s">
        <v>1349</v>
      </c>
      <c r="J94" s="189" t="s">
        <v>435</v>
      </c>
      <c r="K94" s="189" t="s">
        <v>268</v>
      </c>
      <c r="L94" s="4"/>
      <c r="M94" s="97" t="s">
        <v>54</v>
      </c>
      <c r="N94" s="164" t="s">
        <v>733</v>
      </c>
      <c r="O94" s="164" t="s">
        <v>182</v>
      </c>
      <c r="P94" s="189" t="s">
        <v>624</v>
      </c>
      <c r="Q94" s="189" t="s">
        <v>268</v>
      </c>
      <c r="R94" s="4"/>
      <c r="S94" s="97" t="s">
        <v>54</v>
      </c>
      <c r="T94" s="144" t="s">
        <v>435</v>
      </c>
      <c r="U94" s="143" t="s">
        <v>57</v>
      </c>
      <c r="V94" s="143" t="s">
        <v>624</v>
      </c>
      <c r="W94" s="143" t="s">
        <v>268</v>
      </c>
      <c r="X94" s="4"/>
      <c r="Y94" s="97" t="s">
        <v>54</v>
      </c>
      <c r="Z94" s="164" t="s">
        <v>1753</v>
      </c>
      <c r="AA94" s="4"/>
      <c r="AB94" s="4"/>
      <c r="AC94" s="4"/>
      <c r="AD94" s="4"/>
    </row>
    <row r="95">
      <c r="A95" s="97" t="s">
        <v>64</v>
      </c>
      <c r="B95" s="164" t="s">
        <v>756</v>
      </c>
      <c r="C95" s="164" t="s">
        <v>885</v>
      </c>
      <c r="D95" s="189" t="s">
        <v>982</v>
      </c>
      <c r="E95" s="189" t="s">
        <v>1158</v>
      </c>
      <c r="F95" s="4"/>
      <c r="G95" s="97" t="s">
        <v>64</v>
      </c>
      <c r="H95" s="164" t="s">
        <v>1233</v>
      </c>
      <c r="I95" s="164" t="s">
        <v>1359</v>
      </c>
      <c r="J95" s="189" t="s">
        <v>982</v>
      </c>
      <c r="K95" s="189" t="s">
        <v>1138</v>
      </c>
      <c r="L95" s="4"/>
      <c r="M95" s="97" t="s">
        <v>64</v>
      </c>
      <c r="N95" s="164" t="s">
        <v>758</v>
      </c>
      <c r="O95" s="164" t="s">
        <v>1598</v>
      </c>
      <c r="P95" s="189" t="s">
        <v>982</v>
      </c>
      <c r="Q95" s="189" t="s">
        <v>435</v>
      </c>
      <c r="R95" s="4"/>
      <c r="S95" s="97" t="s">
        <v>64</v>
      </c>
      <c r="T95" s="144" t="s">
        <v>677</v>
      </c>
      <c r="U95" s="143" t="s">
        <v>1598</v>
      </c>
      <c r="V95" s="143" t="s">
        <v>779</v>
      </c>
      <c r="W95" s="143" t="s">
        <v>1064</v>
      </c>
      <c r="X95" s="4"/>
      <c r="Y95" s="97" t="s">
        <v>64</v>
      </c>
      <c r="Z95" s="164" t="s">
        <v>735</v>
      </c>
      <c r="AA95" s="4"/>
      <c r="AB95" s="4"/>
      <c r="AC95" s="4"/>
      <c r="AD95" s="4"/>
    </row>
    <row r="96">
      <c r="A96" s="97" t="s">
        <v>71</v>
      </c>
      <c r="B96" s="164" t="s">
        <v>780</v>
      </c>
      <c r="C96" s="164" t="s">
        <v>757</v>
      </c>
      <c r="D96" s="189" t="s">
        <v>807</v>
      </c>
      <c r="E96" s="189" t="s">
        <v>882</v>
      </c>
      <c r="F96" s="4"/>
      <c r="G96" s="97" t="s">
        <v>71</v>
      </c>
      <c r="H96" s="164" t="s">
        <v>167</v>
      </c>
      <c r="I96" s="164" t="s">
        <v>750</v>
      </c>
      <c r="J96" s="189" t="s">
        <v>1045</v>
      </c>
      <c r="K96" s="189" t="s">
        <v>882</v>
      </c>
      <c r="L96" s="4"/>
      <c r="M96" s="97" t="s">
        <v>71</v>
      </c>
      <c r="N96" s="164" t="s">
        <v>1534</v>
      </c>
      <c r="O96" s="164" t="s">
        <v>498</v>
      </c>
      <c r="P96" s="189" t="s">
        <v>289</v>
      </c>
      <c r="Q96" s="189" t="s">
        <v>882</v>
      </c>
      <c r="R96" s="4"/>
      <c r="S96" s="97" t="s">
        <v>71</v>
      </c>
      <c r="T96" s="144" t="s">
        <v>756</v>
      </c>
      <c r="U96" s="143" t="s">
        <v>642</v>
      </c>
      <c r="V96" s="143" t="s">
        <v>807</v>
      </c>
      <c r="W96" s="143" t="s">
        <v>1115</v>
      </c>
      <c r="X96" s="4"/>
      <c r="Y96" s="97" t="s">
        <v>71</v>
      </c>
      <c r="Z96" s="164" t="s">
        <v>733</v>
      </c>
      <c r="AA96" s="4"/>
      <c r="AB96" s="4"/>
      <c r="AC96" s="4"/>
      <c r="AD96" s="4"/>
    </row>
    <row r="97">
      <c r="A97" s="97" t="s">
        <v>80</v>
      </c>
      <c r="B97" s="189" t="s">
        <v>435</v>
      </c>
      <c r="C97" s="164" t="s">
        <v>281</v>
      </c>
      <c r="D97" s="189" t="s">
        <v>1045</v>
      </c>
      <c r="E97" s="189" t="s">
        <v>541</v>
      </c>
      <c r="F97" s="4"/>
      <c r="G97" s="97" t="s">
        <v>80</v>
      </c>
      <c r="H97" s="189" t="s">
        <v>1083</v>
      </c>
      <c r="I97" s="164" t="s">
        <v>132</v>
      </c>
      <c r="J97" s="189" t="s">
        <v>435</v>
      </c>
      <c r="K97" s="189" t="s">
        <v>1115</v>
      </c>
      <c r="L97" s="4"/>
      <c r="M97" s="97" t="s">
        <v>80</v>
      </c>
      <c r="N97" s="189" t="s">
        <v>1543</v>
      </c>
      <c r="O97" s="164" t="s">
        <v>1616</v>
      </c>
      <c r="P97" s="189" t="s">
        <v>1045</v>
      </c>
      <c r="Q97" s="189" t="s">
        <v>1606</v>
      </c>
      <c r="R97" s="4"/>
      <c r="S97" s="97" t="s">
        <v>80</v>
      </c>
      <c r="T97" s="144" t="s">
        <v>1195</v>
      </c>
      <c r="U97" s="143" t="s">
        <v>132</v>
      </c>
      <c r="V97" s="143" t="s">
        <v>1045</v>
      </c>
      <c r="W97" s="143" t="s">
        <v>1749</v>
      </c>
      <c r="X97" s="4"/>
      <c r="Y97" s="97" t="s">
        <v>80</v>
      </c>
      <c r="Z97" s="551" t="s">
        <v>782</v>
      </c>
      <c r="AA97" s="4"/>
      <c r="AB97" s="4"/>
      <c r="AC97" s="4"/>
      <c r="AD97" s="4"/>
    </row>
    <row r="98">
      <c r="A98" s="479" t="s">
        <v>95</v>
      </c>
      <c r="B98" s="189" t="s">
        <v>435</v>
      </c>
      <c r="C98" s="189" t="s">
        <v>948</v>
      </c>
      <c r="D98" s="189" t="s">
        <v>1063</v>
      </c>
      <c r="E98" s="189" t="s">
        <v>199</v>
      </c>
      <c r="F98" s="4"/>
      <c r="G98" s="479" t="s">
        <v>95</v>
      </c>
      <c r="H98" s="189" t="s">
        <v>1277</v>
      </c>
      <c r="I98" s="189" t="s">
        <v>1396</v>
      </c>
      <c r="J98" s="189" t="s">
        <v>435</v>
      </c>
      <c r="K98" s="166" t="s">
        <v>782</v>
      </c>
      <c r="L98" s="4"/>
      <c r="M98" s="479" t="s">
        <v>95</v>
      </c>
      <c r="N98" s="189" t="s">
        <v>1445</v>
      </c>
      <c r="O98" s="189" t="s">
        <v>58</v>
      </c>
      <c r="P98" s="189" t="s">
        <v>541</v>
      </c>
      <c r="Q98" s="189" t="s">
        <v>1693</v>
      </c>
      <c r="R98" s="4"/>
      <c r="S98" s="479" t="s">
        <v>95</v>
      </c>
      <c r="T98" s="144" t="s">
        <v>435</v>
      </c>
      <c r="U98" s="143" t="s">
        <v>58</v>
      </c>
      <c r="V98" s="143" t="s">
        <v>435</v>
      </c>
      <c r="W98" s="143" t="s">
        <v>435</v>
      </c>
      <c r="X98" s="4"/>
      <c r="Y98" s="479" t="s">
        <v>95</v>
      </c>
      <c r="Z98" s="189" t="s">
        <v>435</v>
      </c>
      <c r="AA98" s="4"/>
      <c r="AB98" s="4"/>
      <c r="AC98" s="4"/>
      <c r="AD98" s="4"/>
    </row>
    <row r="99">
      <c r="A99" s="4"/>
      <c r="B99" s="52"/>
      <c r="C99" s="52"/>
      <c r="D99" s="52"/>
      <c r="E99" s="52"/>
      <c r="F99" s="4"/>
      <c r="G99" s="4"/>
      <c r="H99" s="52"/>
      <c r="I99" s="52"/>
      <c r="J99" s="52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52"/>
      <c r="C100" s="52"/>
      <c r="D100" s="52"/>
      <c r="E100" s="52"/>
      <c r="F100" s="4"/>
      <c r="G100" s="4"/>
      <c r="H100" s="52"/>
      <c r="I100" s="52"/>
      <c r="J100" s="52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552">
        <v>45139.0</v>
      </c>
      <c r="C101" s="553">
        <v>45140.0</v>
      </c>
      <c r="D101" s="553">
        <v>45141.0</v>
      </c>
      <c r="E101" s="52"/>
      <c r="F101" s="4"/>
      <c r="G101" s="4"/>
      <c r="H101" s="554">
        <v>45145.0</v>
      </c>
      <c r="I101" s="552">
        <v>45146.0</v>
      </c>
      <c r="J101" s="552">
        <v>45147.0</v>
      </c>
      <c r="K101" s="552">
        <v>45148.0</v>
      </c>
      <c r="L101" s="4"/>
      <c r="M101" s="4"/>
      <c r="N101" s="552">
        <v>45152.0</v>
      </c>
      <c r="O101" s="552">
        <v>45153.0</v>
      </c>
      <c r="P101" s="552">
        <v>45154.0</v>
      </c>
      <c r="Q101" s="552">
        <v>45155.0</v>
      </c>
      <c r="R101" s="4"/>
      <c r="S101" s="4"/>
      <c r="T101" s="552">
        <v>45159.0</v>
      </c>
      <c r="U101" s="552">
        <v>45160.0</v>
      </c>
      <c r="V101" s="552">
        <v>45161.0</v>
      </c>
      <c r="W101" s="552">
        <v>45162.0</v>
      </c>
      <c r="X101" s="4"/>
      <c r="Y101" s="4"/>
      <c r="Z101" s="552">
        <v>45166.0</v>
      </c>
      <c r="AA101" s="552">
        <v>45167.0</v>
      </c>
      <c r="AB101" s="552">
        <v>45168.0</v>
      </c>
      <c r="AC101" s="552">
        <v>45169.0</v>
      </c>
      <c r="AD101" s="4"/>
    </row>
    <row r="102">
      <c r="A102" s="97" t="s">
        <v>0</v>
      </c>
      <c r="B102" s="164" t="s">
        <v>435</v>
      </c>
      <c r="C102" s="189" t="s">
        <v>435</v>
      </c>
      <c r="D102" s="189" t="s">
        <v>754</v>
      </c>
      <c r="E102" s="52"/>
      <c r="F102" s="4"/>
      <c r="G102" s="97" t="s">
        <v>0</v>
      </c>
      <c r="H102" s="189" t="s">
        <v>758</v>
      </c>
      <c r="I102" s="164" t="s">
        <v>731</v>
      </c>
      <c r="J102" s="189" t="s">
        <v>435</v>
      </c>
      <c r="K102" s="189" t="s">
        <v>435</v>
      </c>
      <c r="L102" s="4"/>
      <c r="M102" s="97" t="s">
        <v>0</v>
      </c>
      <c r="N102" s="189" t="s">
        <v>435</v>
      </c>
      <c r="O102" s="189" t="s">
        <v>435</v>
      </c>
      <c r="P102" s="189" t="s">
        <v>435</v>
      </c>
      <c r="Q102" s="189" t="s">
        <v>435</v>
      </c>
      <c r="R102" s="4"/>
      <c r="S102" s="97" t="s">
        <v>0</v>
      </c>
      <c r="T102" s="189" t="s">
        <v>435</v>
      </c>
      <c r="U102" s="164" t="s">
        <v>1263</v>
      </c>
      <c r="V102" s="189" t="s">
        <v>435</v>
      </c>
      <c r="W102" s="189" t="s">
        <v>435</v>
      </c>
      <c r="X102" s="4"/>
      <c r="Y102" s="97" t="s">
        <v>0</v>
      </c>
      <c r="Z102" s="189" t="s">
        <v>435</v>
      </c>
      <c r="AA102" s="164" t="s">
        <v>435</v>
      </c>
      <c r="AB102" s="189" t="s">
        <v>435</v>
      </c>
      <c r="AC102" s="189" t="s">
        <v>1898</v>
      </c>
      <c r="AD102" s="4"/>
    </row>
    <row r="103">
      <c r="A103" s="97" t="s">
        <v>5</v>
      </c>
      <c r="B103" s="164" t="s">
        <v>734</v>
      </c>
      <c r="C103" s="189" t="s">
        <v>435</v>
      </c>
      <c r="D103" s="189" t="s">
        <v>237</v>
      </c>
      <c r="E103" s="52"/>
      <c r="F103" s="4"/>
      <c r="G103" s="97" t="s">
        <v>5</v>
      </c>
      <c r="H103" s="189" t="s">
        <v>435</v>
      </c>
      <c r="I103" s="555" t="s">
        <v>1249</v>
      </c>
      <c r="J103" s="189" t="s">
        <v>435</v>
      </c>
      <c r="K103" s="189" t="s">
        <v>435</v>
      </c>
      <c r="L103" s="4"/>
      <c r="M103" s="97" t="s">
        <v>5</v>
      </c>
      <c r="N103" s="189" t="s">
        <v>435</v>
      </c>
      <c r="O103" s="189" t="s">
        <v>435</v>
      </c>
      <c r="P103" s="189" t="s">
        <v>435</v>
      </c>
      <c r="Q103" s="189" t="s">
        <v>435</v>
      </c>
      <c r="R103" s="4"/>
      <c r="S103" s="97" t="s">
        <v>5</v>
      </c>
      <c r="T103" s="189" t="s">
        <v>435</v>
      </c>
      <c r="U103" s="164" t="s">
        <v>734</v>
      </c>
      <c r="V103" s="189" t="s">
        <v>435</v>
      </c>
      <c r="W103" s="556" t="s">
        <v>1485</v>
      </c>
      <c r="X103" s="4"/>
      <c r="Y103" s="97" t="s">
        <v>5</v>
      </c>
      <c r="Z103" s="189" t="s">
        <v>435</v>
      </c>
      <c r="AA103" s="164" t="s">
        <v>435</v>
      </c>
      <c r="AB103" s="189" t="s">
        <v>435</v>
      </c>
      <c r="AC103" s="556" t="s">
        <v>1647</v>
      </c>
      <c r="AD103" s="4"/>
    </row>
    <row r="104">
      <c r="A104" s="97" t="s">
        <v>13</v>
      </c>
      <c r="B104" s="164" t="s">
        <v>757</v>
      </c>
      <c r="C104" s="189" t="s">
        <v>435</v>
      </c>
      <c r="D104" s="189" t="s">
        <v>134</v>
      </c>
      <c r="E104" s="496"/>
      <c r="F104" s="4"/>
      <c r="G104" s="97" t="s">
        <v>13</v>
      </c>
      <c r="H104" s="189" t="s">
        <v>982</v>
      </c>
      <c r="I104" s="164" t="s">
        <v>896</v>
      </c>
      <c r="J104" s="189" t="s">
        <v>435</v>
      </c>
      <c r="K104" s="189" t="s">
        <v>435</v>
      </c>
      <c r="L104" s="4"/>
      <c r="M104" s="97" t="s">
        <v>13</v>
      </c>
      <c r="N104" s="189" t="s">
        <v>435</v>
      </c>
      <c r="O104" s="189" t="s">
        <v>435</v>
      </c>
      <c r="P104" s="189" t="s">
        <v>435</v>
      </c>
      <c r="Q104" s="189" t="s">
        <v>435</v>
      </c>
      <c r="R104" s="4"/>
      <c r="S104" s="97" t="s">
        <v>13</v>
      </c>
      <c r="T104" s="189" t="s">
        <v>435</v>
      </c>
      <c r="U104" s="164" t="s">
        <v>786</v>
      </c>
      <c r="V104" s="189" t="s">
        <v>435</v>
      </c>
      <c r="W104" s="189" t="s">
        <v>858</v>
      </c>
      <c r="X104" s="4"/>
      <c r="Y104" s="97" t="s">
        <v>13</v>
      </c>
      <c r="Z104" s="189" t="s">
        <v>435</v>
      </c>
      <c r="AA104" s="164" t="s">
        <v>731</v>
      </c>
      <c r="AB104" s="189" t="s">
        <v>435</v>
      </c>
      <c r="AC104" s="189" t="s">
        <v>435</v>
      </c>
      <c r="AD104" s="4"/>
    </row>
    <row r="105">
      <c r="A105" s="97" t="s">
        <v>19</v>
      </c>
      <c r="B105" s="164" t="s">
        <v>781</v>
      </c>
      <c r="C105" s="189" t="s">
        <v>435</v>
      </c>
      <c r="D105" s="556" t="s">
        <v>985</v>
      </c>
      <c r="E105" s="52"/>
      <c r="F105" s="4"/>
      <c r="G105" s="97" t="s">
        <v>19</v>
      </c>
      <c r="H105" s="189" t="s">
        <v>1119</v>
      </c>
      <c r="I105" s="164" t="s">
        <v>831</v>
      </c>
      <c r="J105" s="189" t="s">
        <v>435</v>
      </c>
      <c r="K105" s="189" t="s">
        <v>435</v>
      </c>
      <c r="L105" s="4"/>
      <c r="M105" s="97" t="s">
        <v>19</v>
      </c>
      <c r="N105" s="189" t="s">
        <v>435</v>
      </c>
      <c r="O105" s="189" t="s">
        <v>435</v>
      </c>
      <c r="P105" s="189" t="s">
        <v>435</v>
      </c>
      <c r="Q105" s="189" t="s">
        <v>435</v>
      </c>
      <c r="R105" s="4"/>
      <c r="S105" s="97" t="s">
        <v>19</v>
      </c>
      <c r="T105" s="189" t="s">
        <v>435</v>
      </c>
      <c r="U105" s="164" t="s">
        <v>1397</v>
      </c>
      <c r="V105" s="189" t="s">
        <v>435</v>
      </c>
      <c r="W105" s="189" t="s">
        <v>1503</v>
      </c>
      <c r="X105" s="4"/>
      <c r="Y105" s="97" t="s">
        <v>19</v>
      </c>
      <c r="Z105" s="189" t="s">
        <v>435</v>
      </c>
      <c r="AA105" s="164" t="s">
        <v>435</v>
      </c>
      <c r="AB105" s="189" t="s">
        <v>435</v>
      </c>
      <c r="AC105" s="189" t="s">
        <v>435</v>
      </c>
      <c r="AD105" s="4"/>
    </row>
    <row r="106">
      <c r="A106" s="97" t="s">
        <v>39</v>
      </c>
      <c r="B106" s="164" t="s">
        <v>435</v>
      </c>
      <c r="C106" s="189" t="s">
        <v>435</v>
      </c>
      <c r="D106" s="189" t="s">
        <v>435</v>
      </c>
      <c r="E106" s="52"/>
      <c r="F106" s="4"/>
      <c r="G106" s="97" t="s">
        <v>39</v>
      </c>
      <c r="H106" s="189" t="s">
        <v>435</v>
      </c>
      <c r="I106" s="164" t="s">
        <v>435</v>
      </c>
      <c r="J106" s="189" t="s">
        <v>435</v>
      </c>
      <c r="K106" s="189" t="s">
        <v>435</v>
      </c>
      <c r="L106" s="4"/>
      <c r="M106" s="97" t="s">
        <v>39</v>
      </c>
      <c r="N106" s="189" t="s">
        <v>435</v>
      </c>
      <c r="O106" s="189" t="s">
        <v>435</v>
      </c>
      <c r="P106" s="189" t="s">
        <v>435</v>
      </c>
      <c r="Q106" s="189" t="s">
        <v>435</v>
      </c>
      <c r="R106" s="4"/>
      <c r="S106" s="97" t="s">
        <v>39</v>
      </c>
      <c r="T106" s="189" t="s">
        <v>435</v>
      </c>
      <c r="U106" s="164" t="s">
        <v>435</v>
      </c>
      <c r="V106" s="189" t="s">
        <v>435</v>
      </c>
      <c r="W106" s="189" t="s">
        <v>435</v>
      </c>
      <c r="X106" s="4"/>
      <c r="Y106" s="97" t="s">
        <v>39</v>
      </c>
      <c r="Z106" s="189" t="s">
        <v>1328</v>
      </c>
      <c r="AA106" s="164" t="s">
        <v>1587</v>
      </c>
      <c r="AB106" s="189" t="s">
        <v>435</v>
      </c>
      <c r="AC106" s="556" t="s">
        <v>57</v>
      </c>
      <c r="AD106" s="4"/>
    </row>
    <row r="107">
      <c r="A107" s="97" t="s">
        <v>45</v>
      </c>
      <c r="B107" s="164" t="s">
        <v>435</v>
      </c>
      <c r="C107" s="189" t="s">
        <v>808</v>
      </c>
      <c r="D107" s="189" t="s">
        <v>435</v>
      </c>
      <c r="E107" s="52"/>
      <c r="F107" s="4"/>
      <c r="G107" s="97" t="s">
        <v>45</v>
      </c>
      <c r="H107" s="189" t="s">
        <v>1140</v>
      </c>
      <c r="I107" s="555" t="s">
        <v>1297</v>
      </c>
      <c r="J107" s="189" t="s">
        <v>435</v>
      </c>
      <c r="K107" s="189" t="s">
        <v>435</v>
      </c>
      <c r="L107" s="4"/>
      <c r="M107" s="97" t="s">
        <v>45</v>
      </c>
      <c r="N107" s="189" t="s">
        <v>435</v>
      </c>
      <c r="O107" s="189" t="s">
        <v>435</v>
      </c>
      <c r="P107" s="189" t="s">
        <v>435</v>
      </c>
      <c r="Q107" s="189" t="s">
        <v>435</v>
      </c>
      <c r="R107" s="4"/>
      <c r="S107" s="97" t="s">
        <v>45</v>
      </c>
      <c r="T107" s="189" t="s">
        <v>1327</v>
      </c>
      <c r="U107" s="164" t="s">
        <v>931</v>
      </c>
      <c r="V107" s="189" t="s">
        <v>435</v>
      </c>
      <c r="W107" s="468" t="s">
        <v>435</v>
      </c>
      <c r="X107" s="4"/>
      <c r="Y107" s="97" t="s">
        <v>45</v>
      </c>
      <c r="Z107" s="189" t="s">
        <v>1328</v>
      </c>
      <c r="AA107" s="164" t="s">
        <v>435</v>
      </c>
      <c r="AB107" s="189" t="s">
        <v>624</v>
      </c>
      <c r="AC107" s="189" t="s">
        <v>1065</v>
      </c>
      <c r="AD107" s="4"/>
    </row>
    <row r="108">
      <c r="A108" s="97" t="s">
        <v>54</v>
      </c>
      <c r="B108" s="164" t="s">
        <v>435</v>
      </c>
      <c r="C108" s="189" t="s">
        <v>624</v>
      </c>
      <c r="D108" s="189" t="s">
        <v>904</v>
      </c>
      <c r="E108" s="52"/>
      <c r="F108" s="4"/>
      <c r="G108" s="97" t="s">
        <v>54</v>
      </c>
      <c r="H108" s="164" t="s">
        <v>1140</v>
      </c>
      <c r="I108" s="555" t="s">
        <v>1310</v>
      </c>
      <c r="J108" s="189" t="s">
        <v>435</v>
      </c>
      <c r="K108" s="189" t="s">
        <v>435</v>
      </c>
      <c r="L108" s="4"/>
      <c r="M108" s="97" t="s">
        <v>54</v>
      </c>
      <c r="N108" s="189" t="s">
        <v>435</v>
      </c>
      <c r="O108" s="189" t="s">
        <v>435</v>
      </c>
      <c r="P108" s="189" t="s">
        <v>435</v>
      </c>
      <c r="Q108" s="189" t="s">
        <v>435</v>
      </c>
      <c r="R108" s="4"/>
      <c r="S108" s="97" t="s">
        <v>54</v>
      </c>
      <c r="T108" s="164" t="s">
        <v>1327</v>
      </c>
      <c r="U108" s="164" t="s">
        <v>1419</v>
      </c>
      <c r="V108" s="189" t="s">
        <v>435</v>
      </c>
      <c r="W108" s="189" t="s">
        <v>1025</v>
      </c>
      <c r="X108" s="4"/>
      <c r="Y108" s="97" t="s">
        <v>54</v>
      </c>
      <c r="Z108" s="189" t="s">
        <v>1328</v>
      </c>
      <c r="AA108" s="164" t="s">
        <v>435</v>
      </c>
      <c r="AB108" s="189" t="s">
        <v>779</v>
      </c>
      <c r="AC108" s="189" t="s">
        <v>1138</v>
      </c>
      <c r="AD108" s="4"/>
    </row>
    <row r="109">
      <c r="A109" s="97" t="s">
        <v>64</v>
      </c>
      <c r="B109" s="164" t="s">
        <v>435</v>
      </c>
      <c r="C109" s="189" t="s">
        <v>623</v>
      </c>
      <c r="D109" s="189" t="s">
        <v>1025</v>
      </c>
      <c r="E109" s="52"/>
      <c r="F109" s="4"/>
      <c r="G109" s="97" t="s">
        <v>64</v>
      </c>
      <c r="H109" s="164" t="s">
        <v>735</v>
      </c>
      <c r="I109" s="164" t="s">
        <v>435</v>
      </c>
      <c r="J109" s="189" t="s">
        <v>435</v>
      </c>
      <c r="K109" s="189" t="s">
        <v>435</v>
      </c>
      <c r="L109" s="4"/>
      <c r="M109" s="97" t="s">
        <v>64</v>
      </c>
      <c r="N109" s="189" t="s">
        <v>435</v>
      </c>
      <c r="O109" s="189" t="s">
        <v>435</v>
      </c>
      <c r="P109" s="189" t="s">
        <v>435</v>
      </c>
      <c r="Q109" s="189" t="s">
        <v>435</v>
      </c>
      <c r="R109" s="4"/>
      <c r="S109" s="97" t="s">
        <v>64</v>
      </c>
      <c r="T109" s="164" t="s">
        <v>623</v>
      </c>
      <c r="U109" s="164" t="s">
        <v>435</v>
      </c>
      <c r="V109" s="189" t="s">
        <v>779</v>
      </c>
      <c r="W109" s="189" t="s">
        <v>607</v>
      </c>
      <c r="X109" s="4"/>
      <c r="Y109" s="97" t="s">
        <v>64</v>
      </c>
      <c r="Z109" s="164" t="s">
        <v>735</v>
      </c>
      <c r="AA109" s="164" t="s">
        <v>435</v>
      </c>
      <c r="AB109" s="189" t="s">
        <v>1119</v>
      </c>
      <c r="AC109" s="189" t="s">
        <v>907</v>
      </c>
      <c r="AD109" s="4"/>
    </row>
    <row r="110">
      <c r="A110" s="97" t="s">
        <v>71</v>
      </c>
      <c r="B110" s="164" t="s">
        <v>435</v>
      </c>
      <c r="C110" s="556" t="s">
        <v>345</v>
      </c>
      <c r="D110" s="189" t="s">
        <v>435</v>
      </c>
      <c r="E110" s="52"/>
      <c r="F110" s="4"/>
      <c r="G110" s="97" t="s">
        <v>71</v>
      </c>
      <c r="H110" s="164" t="s">
        <v>1193</v>
      </c>
      <c r="I110" s="164" t="s">
        <v>435</v>
      </c>
      <c r="J110" s="189" t="s">
        <v>435</v>
      </c>
      <c r="K110" s="189" t="s">
        <v>435</v>
      </c>
      <c r="L110" s="4"/>
      <c r="M110" s="97" t="s">
        <v>71</v>
      </c>
      <c r="N110" s="189" t="s">
        <v>435</v>
      </c>
      <c r="O110" s="189" t="s">
        <v>435</v>
      </c>
      <c r="P110" s="189" t="s">
        <v>435</v>
      </c>
      <c r="Q110" s="189" t="s">
        <v>435</v>
      </c>
      <c r="R110" s="4"/>
      <c r="S110" s="97" t="s">
        <v>71</v>
      </c>
      <c r="T110" s="164" t="s">
        <v>435</v>
      </c>
      <c r="U110" s="164" t="s">
        <v>435</v>
      </c>
      <c r="V110" s="556" t="s">
        <v>1045</v>
      </c>
      <c r="W110" s="189" t="s">
        <v>1115</v>
      </c>
      <c r="X110" s="4"/>
      <c r="Y110" s="97" t="s">
        <v>71</v>
      </c>
      <c r="Z110" s="164" t="s">
        <v>733</v>
      </c>
      <c r="AA110" s="164" t="s">
        <v>150</v>
      </c>
      <c r="AB110" s="556" t="s">
        <v>345</v>
      </c>
      <c r="AC110" s="189" t="s">
        <v>750</v>
      </c>
      <c r="AD110" s="4"/>
    </row>
    <row r="111">
      <c r="A111" s="97" t="s">
        <v>80</v>
      </c>
      <c r="B111" s="164" t="s">
        <v>435</v>
      </c>
      <c r="C111" s="189" t="s">
        <v>908</v>
      </c>
      <c r="D111" s="189" t="s">
        <v>1046</v>
      </c>
      <c r="E111" s="52"/>
      <c r="F111" s="4"/>
      <c r="G111" s="97" t="s">
        <v>80</v>
      </c>
      <c r="H111" s="556" t="s">
        <v>1195</v>
      </c>
      <c r="I111" s="164" t="s">
        <v>435</v>
      </c>
      <c r="J111" s="189" t="s">
        <v>435</v>
      </c>
      <c r="K111" s="189" t="s">
        <v>435</v>
      </c>
      <c r="L111" s="4"/>
      <c r="M111" s="97" t="s">
        <v>80</v>
      </c>
      <c r="N111" s="189" t="s">
        <v>435</v>
      </c>
      <c r="O111" s="189" t="s">
        <v>435</v>
      </c>
      <c r="P111" s="189" t="s">
        <v>435</v>
      </c>
      <c r="Q111" s="189" t="s">
        <v>435</v>
      </c>
      <c r="R111" s="4"/>
      <c r="S111" s="97" t="s">
        <v>80</v>
      </c>
      <c r="T111" s="189" t="s">
        <v>435</v>
      </c>
      <c r="U111" s="164" t="s">
        <v>498</v>
      </c>
      <c r="V111" s="189" t="s">
        <v>1064</v>
      </c>
      <c r="W111" s="189" t="s">
        <v>1047</v>
      </c>
      <c r="X111" s="4"/>
      <c r="Y111" s="97" t="s">
        <v>80</v>
      </c>
      <c r="Z111" s="189" t="s">
        <v>231</v>
      </c>
      <c r="AA111" s="164" t="s">
        <v>1606</v>
      </c>
      <c r="AB111" s="189" t="s">
        <v>435</v>
      </c>
      <c r="AC111" s="189" t="s">
        <v>435</v>
      </c>
      <c r="AD111" s="4"/>
    </row>
    <row r="112">
      <c r="A112" s="479" t="s">
        <v>95</v>
      </c>
      <c r="B112" s="189" t="s">
        <v>435</v>
      </c>
      <c r="C112" s="189" t="s">
        <v>435</v>
      </c>
      <c r="D112" s="189" t="s">
        <v>1064</v>
      </c>
      <c r="E112" s="52"/>
      <c r="F112" s="4"/>
      <c r="G112" s="479" t="s">
        <v>95</v>
      </c>
      <c r="H112" s="189" t="s">
        <v>1220</v>
      </c>
      <c r="I112" s="189" t="s">
        <v>435</v>
      </c>
      <c r="J112" s="189" t="s">
        <v>435</v>
      </c>
      <c r="K112" s="189" t="s">
        <v>435</v>
      </c>
      <c r="L112" s="4"/>
      <c r="M112" s="479" t="s">
        <v>95</v>
      </c>
      <c r="N112" s="189" t="s">
        <v>435</v>
      </c>
      <c r="O112" s="189" t="s">
        <v>435</v>
      </c>
      <c r="P112" s="189" t="s">
        <v>435</v>
      </c>
      <c r="Q112" s="189" t="s">
        <v>435</v>
      </c>
      <c r="R112" s="4"/>
      <c r="S112" s="479" t="s">
        <v>95</v>
      </c>
      <c r="T112" s="189" t="s">
        <v>435</v>
      </c>
      <c r="U112" s="189" t="s">
        <v>58</v>
      </c>
      <c r="V112" s="189" t="s">
        <v>435</v>
      </c>
      <c r="W112" s="189" t="s">
        <v>435</v>
      </c>
      <c r="X112" s="4"/>
      <c r="Y112" s="479" t="s">
        <v>95</v>
      </c>
      <c r="Z112" s="189" t="s">
        <v>435</v>
      </c>
      <c r="AA112" s="164" t="s">
        <v>435</v>
      </c>
      <c r="AB112" s="189" t="s">
        <v>435</v>
      </c>
      <c r="AC112" s="189" t="s">
        <v>435</v>
      </c>
      <c r="AD112" s="4"/>
    </row>
    <row r="113">
      <c r="A113" s="4"/>
      <c r="B113" s="52"/>
      <c r="C113" s="52"/>
      <c r="D113" s="52"/>
      <c r="E113" s="52"/>
      <c r="F113" s="4"/>
      <c r="G113" s="4"/>
      <c r="H113" s="52"/>
      <c r="I113" s="52"/>
      <c r="J113" s="52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52"/>
      <c r="C114" s="52"/>
      <c r="D114" s="52"/>
      <c r="E114" s="52"/>
      <c r="F114" s="4"/>
      <c r="G114" s="4"/>
      <c r="H114" s="52"/>
      <c r="I114" s="52"/>
      <c r="J114" s="52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557">
        <v>45173.0</v>
      </c>
      <c r="C115" s="558">
        <v>45174.0</v>
      </c>
      <c r="D115" s="558">
        <v>45175.0</v>
      </c>
      <c r="E115" s="558">
        <v>45176.0</v>
      </c>
      <c r="F115" s="4"/>
      <c r="G115" s="4"/>
      <c r="H115" s="557">
        <v>45180.0</v>
      </c>
      <c r="I115" s="558">
        <v>45181.0</v>
      </c>
      <c r="J115" s="558">
        <v>45182.0</v>
      </c>
      <c r="K115" s="558">
        <v>45183.0</v>
      </c>
      <c r="L115" s="4"/>
      <c r="M115" s="4"/>
      <c r="N115" s="557">
        <v>45187.0</v>
      </c>
      <c r="O115" s="558">
        <v>45188.0</v>
      </c>
      <c r="P115" s="558">
        <v>45189.0</v>
      </c>
      <c r="Q115" s="558">
        <v>45190.0</v>
      </c>
      <c r="R115" s="4"/>
      <c r="S115" s="4"/>
      <c r="T115" s="557">
        <v>45194.0</v>
      </c>
      <c r="U115" s="558">
        <v>45195.0</v>
      </c>
      <c r="V115" s="558">
        <v>45196.0</v>
      </c>
      <c r="W115" s="558">
        <v>45197.0</v>
      </c>
      <c r="X115" s="4"/>
      <c r="Y115" s="4"/>
      <c r="Z115" s="559"/>
      <c r="AA115" s="499"/>
      <c r="AB115" s="499"/>
      <c r="AC115" s="499"/>
      <c r="AD115" s="4"/>
    </row>
    <row r="116">
      <c r="A116" s="97" t="s">
        <v>0</v>
      </c>
      <c r="B116" s="189" t="s">
        <v>435</v>
      </c>
      <c r="C116" s="164" t="s">
        <v>834</v>
      </c>
      <c r="D116" s="189" t="s">
        <v>435</v>
      </c>
      <c r="E116" s="468" t="s">
        <v>435</v>
      </c>
      <c r="F116" s="4"/>
      <c r="G116" s="97" t="s">
        <v>0</v>
      </c>
      <c r="H116" s="189" t="s">
        <v>435</v>
      </c>
      <c r="I116" s="164" t="s">
        <v>435</v>
      </c>
      <c r="J116" s="189" t="s">
        <v>435</v>
      </c>
      <c r="K116" s="189" t="s">
        <v>435</v>
      </c>
      <c r="L116" s="4"/>
      <c r="M116" s="97" t="s">
        <v>0</v>
      </c>
      <c r="N116" s="189" t="s">
        <v>435</v>
      </c>
      <c r="O116" s="164" t="s">
        <v>435</v>
      </c>
      <c r="P116" s="189" t="s">
        <v>435</v>
      </c>
      <c r="Q116" s="189" t="s">
        <v>435</v>
      </c>
      <c r="R116" s="4"/>
      <c r="S116" s="97" t="s">
        <v>0</v>
      </c>
      <c r="T116" s="189" t="s">
        <v>435</v>
      </c>
      <c r="U116" s="164" t="s">
        <v>435</v>
      </c>
      <c r="V116" s="189" t="s">
        <v>435</v>
      </c>
      <c r="W116" s="189" t="s">
        <v>435</v>
      </c>
      <c r="X116" s="4"/>
      <c r="Y116" s="97"/>
      <c r="Z116" s="52"/>
      <c r="AA116" s="4"/>
      <c r="AB116" s="4"/>
      <c r="AC116" s="4"/>
      <c r="AD116" s="4"/>
    </row>
    <row r="117">
      <c r="A117" s="97" t="s">
        <v>5</v>
      </c>
      <c r="B117" s="189" t="s">
        <v>435</v>
      </c>
      <c r="C117" s="164" t="s">
        <v>858</v>
      </c>
      <c r="D117" s="189" t="s">
        <v>435</v>
      </c>
      <c r="E117" s="189" t="s">
        <v>1119</v>
      </c>
      <c r="F117" s="4"/>
      <c r="G117" s="97" t="s">
        <v>5</v>
      </c>
      <c r="H117" s="189" t="s">
        <v>435</v>
      </c>
      <c r="I117" s="164" t="s">
        <v>435</v>
      </c>
      <c r="J117" s="189" t="s">
        <v>435</v>
      </c>
      <c r="K117" s="189" t="s">
        <v>435</v>
      </c>
      <c r="L117" s="4"/>
      <c r="M117" s="97" t="s">
        <v>5</v>
      </c>
      <c r="N117" s="189" t="s">
        <v>435</v>
      </c>
      <c r="O117" s="164" t="s">
        <v>754</v>
      </c>
      <c r="P117" s="189" t="s">
        <v>435</v>
      </c>
      <c r="Q117" s="189" t="s">
        <v>1206</v>
      </c>
      <c r="R117" s="4"/>
      <c r="S117" s="97" t="s">
        <v>5</v>
      </c>
      <c r="T117" s="189" t="s">
        <v>435</v>
      </c>
      <c r="U117" s="164" t="s">
        <v>754</v>
      </c>
      <c r="V117" s="189" t="s">
        <v>435</v>
      </c>
      <c r="W117" s="189" t="s">
        <v>1360</v>
      </c>
      <c r="X117" s="4"/>
      <c r="Y117" s="97"/>
      <c r="Z117" s="52"/>
      <c r="AA117" s="4"/>
      <c r="AB117" s="4"/>
      <c r="AC117" s="4"/>
      <c r="AD117" s="4"/>
    </row>
    <row r="118">
      <c r="A118" s="97" t="s">
        <v>13</v>
      </c>
      <c r="B118" s="189" t="s">
        <v>435</v>
      </c>
      <c r="C118" s="164" t="s">
        <v>886</v>
      </c>
      <c r="D118" s="189" t="s">
        <v>435</v>
      </c>
      <c r="E118" s="189" t="s">
        <v>896</v>
      </c>
      <c r="F118" s="4"/>
      <c r="G118" s="97" t="s">
        <v>13</v>
      </c>
      <c r="H118" s="189" t="s">
        <v>435</v>
      </c>
      <c r="I118" s="164" t="s">
        <v>199</v>
      </c>
      <c r="J118" s="189" t="s">
        <v>435</v>
      </c>
      <c r="K118" s="189" t="s">
        <v>896</v>
      </c>
      <c r="L118" s="4"/>
      <c r="M118" s="97" t="s">
        <v>13</v>
      </c>
      <c r="N118" s="189" t="s">
        <v>435</v>
      </c>
      <c r="O118" s="164" t="s">
        <v>758</v>
      </c>
      <c r="P118" s="189" t="s">
        <v>435</v>
      </c>
      <c r="Q118" s="189" t="s">
        <v>896</v>
      </c>
      <c r="R118" s="4"/>
      <c r="S118" s="97" t="s">
        <v>13</v>
      </c>
      <c r="T118" s="189" t="s">
        <v>435</v>
      </c>
      <c r="U118" s="164" t="s">
        <v>1571</v>
      </c>
      <c r="V118" s="189" t="s">
        <v>435</v>
      </c>
      <c r="W118" s="189" t="s">
        <v>435</v>
      </c>
      <c r="X118" s="4"/>
      <c r="Y118" s="97"/>
      <c r="Z118" s="52"/>
      <c r="AA118" s="4"/>
      <c r="AB118" s="4"/>
      <c r="AC118" s="4"/>
      <c r="AD118" s="4"/>
    </row>
    <row r="119">
      <c r="A119" s="97" t="s">
        <v>19</v>
      </c>
      <c r="B119" s="189" t="s">
        <v>435</v>
      </c>
      <c r="C119" s="164" t="s">
        <v>199</v>
      </c>
      <c r="D119" s="189" t="s">
        <v>1001</v>
      </c>
      <c r="E119" s="189" t="s">
        <v>435</v>
      </c>
      <c r="F119" s="4"/>
      <c r="G119" s="97" t="s">
        <v>19</v>
      </c>
      <c r="H119" s="189" t="s">
        <v>435</v>
      </c>
      <c r="I119" s="164" t="s">
        <v>435</v>
      </c>
      <c r="J119" s="189" t="s">
        <v>435</v>
      </c>
      <c r="K119" s="189"/>
      <c r="L119" s="4"/>
      <c r="M119" s="97" t="s">
        <v>19</v>
      </c>
      <c r="N119" s="189" t="s">
        <v>435</v>
      </c>
      <c r="O119" s="164" t="s">
        <v>435</v>
      </c>
      <c r="P119" s="189" t="s">
        <v>435</v>
      </c>
      <c r="Q119" s="189" t="s">
        <v>435</v>
      </c>
      <c r="R119" s="4"/>
      <c r="S119" s="97" t="s">
        <v>19</v>
      </c>
      <c r="T119" s="189" t="s">
        <v>435</v>
      </c>
      <c r="U119" s="164" t="s">
        <v>435</v>
      </c>
      <c r="V119" s="189" t="s">
        <v>435</v>
      </c>
      <c r="W119" s="189" t="s">
        <v>435</v>
      </c>
      <c r="X119" s="4"/>
      <c r="Y119" s="97"/>
      <c r="Z119" s="52"/>
      <c r="AA119" s="4"/>
      <c r="AB119" s="4"/>
      <c r="AC119" s="4"/>
      <c r="AD119" s="4"/>
    </row>
    <row r="120">
      <c r="A120" s="97" t="s">
        <v>39</v>
      </c>
      <c r="B120" s="189" t="s">
        <v>435</v>
      </c>
      <c r="C120" s="164" t="s">
        <v>124</v>
      </c>
      <c r="D120" s="189" t="s">
        <v>1001</v>
      </c>
      <c r="E120" s="189" t="s">
        <v>1141</v>
      </c>
      <c r="F120" s="4"/>
      <c r="G120" s="97" t="s">
        <v>39</v>
      </c>
      <c r="H120" s="189" t="s">
        <v>435</v>
      </c>
      <c r="I120" s="164" t="s">
        <v>1278</v>
      </c>
      <c r="J120" s="189" t="s">
        <v>1899</v>
      </c>
      <c r="K120" s="189" t="s">
        <v>1056</v>
      </c>
      <c r="L120" s="4"/>
      <c r="M120" s="97" t="s">
        <v>39</v>
      </c>
      <c r="N120" s="189" t="s">
        <v>1297</v>
      </c>
      <c r="O120" s="164" t="s">
        <v>435</v>
      </c>
      <c r="P120" s="189" t="s">
        <v>435</v>
      </c>
      <c r="Q120" s="189" t="s">
        <v>1571</v>
      </c>
      <c r="R120" s="4"/>
      <c r="S120" s="97" t="s">
        <v>39</v>
      </c>
      <c r="T120" s="189" t="s">
        <v>435</v>
      </c>
      <c r="U120" s="164" t="s">
        <v>1658</v>
      </c>
      <c r="V120" s="189" t="s">
        <v>435</v>
      </c>
      <c r="W120" s="189" t="s">
        <v>435</v>
      </c>
      <c r="X120" s="4"/>
      <c r="Y120" s="97"/>
      <c r="Z120" s="52"/>
      <c r="AA120" s="4"/>
      <c r="AB120" s="4"/>
      <c r="AC120" s="4"/>
      <c r="AD120" s="4"/>
    </row>
    <row r="121">
      <c r="A121" s="97" t="s">
        <v>45</v>
      </c>
      <c r="B121" s="189" t="s">
        <v>735</v>
      </c>
      <c r="C121" s="164" t="s">
        <v>949</v>
      </c>
      <c r="D121" s="189" t="s">
        <v>1001</v>
      </c>
      <c r="E121" s="189" t="s">
        <v>1025</v>
      </c>
      <c r="F121" s="4"/>
      <c r="G121" s="97" t="s">
        <v>45</v>
      </c>
      <c r="H121" s="189" t="s">
        <v>735</v>
      </c>
      <c r="I121" s="164" t="s">
        <v>834</v>
      </c>
      <c r="J121" s="189" t="s">
        <v>624</v>
      </c>
      <c r="K121" s="189" t="s">
        <v>1312</v>
      </c>
      <c r="L121" s="4"/>
      <c r="M121" s="97" t="s">
        <v>45</v>
      </c>
      <c r="N121" s="164" t="s">
        <v>735</v>
      </c>
      <c r="O121" s="164" t="s">
        <v>124</v>
      </c>
      <c r="P121" s="189" t="s">
        <v>1045</v>
      </c>
      <c r="Q121" s="189" t="s">
        <v>1408</v>
      </c>
      <c r="R121" s="4"/>
      <c r="S121" s="97" t="s">
        <v>45</v>
      </c>
      <c r="T121" s="189" t="s">
        <v>735</v>
      </c>
      <c r="U121" s="164" t="s">
        <v>1278</v>
      </c>
      <c r="V121" s="189" t="s">
        <v>435</v>
      </c>
      <c r="W121" s="189" t="s">
        <v>435</v>
      </c>
      <c r="X121" s="4"/>
      <c r="Y121" s="97"/>
      <c r="Z121" s="52"/>
      <c r="AA121" s="4"/>
      <c r="AB121" s="4"/>
      <c r="AC121" s="4"/>
      <c r="AD121" s="4"/>
    </row>
    <row r="122">
      <c r="A122" s="97" t="s">
        <v>54</v>
      </c>
      <c r="B122" s="164" t="s">
        <v>758</v>
      </c>
      <c r="C122" s="164" t="s">
        <v>965</v>
      </c>
      <c r="D122" s="189" t="s">
        <v>982</v>
      </c>
      <c r="E122" s="189" t="s">
        <v>1177</v>
      </c>
      <c r="F122" s="4"/>
      <c r="G122" s="97" t="s">
        <v>54</v>
      </c>
      <c r="H122" s="164" t="s">
        <v>1160</v>
      </c>
      <c r="I122" s="164" t="s">
        <v>1311</v>
      </c>
      <c r="J122" s="189" t="s">
        <v>982</v>
      </c>
      <c r="K122" s="189" t="s">
        <v>1138</v>
      </c>
      <c r="L122" s="4"/>
      <c r="M122" s="97" t="s">
        <v>54</v>
      </c>
      <c r="N122" s="164" t="s">
        <v>435</v>
      </c>
      <c r="O122" s="164" t="s">
        <v>734</v>
      </c>
      <c r="P122" s="189" t="s">
        <v>982</v>
      </c>
      <c r="Q122" s="189" t="s">
        <v>1588</v>
      </c>
      <c r="R122" s="4"/>
      <c r="S122" s="97" t="s">
        <v>54</v>
      </c>
      <c r="T122" s="164" t="s">
        <v>345</v>
      </c>
      <c r="U122" s="164" t="s">
        <v>779</v>
      </c>
      <c r="V122" s="189" t="s">
        <v>435</v>
      </c>
      <c r="W122" s="189" t="s">
        <v>231</v>
      </c>
      <c r="X122" s="4"/>
      <c r="Y122" s="97"/>
      <c r="Z122" s="52"/>
      <c r="AA122" s="4"/>
      <c r="AB122" s="4"/>
      <c r="AC122" s="4"/>
      <c r="AD122" s="4"/>
    </row>
    <row r="123">
      <c r="A123" s="97" t="s">
        <v>64</v>
      </c>
      <c r="B123" s="164" t="s">
        <v>782</v>
      </c>
      <c r="C123" s="164" t="s">
        <v>435</v>
      </c>
      <c r="D123" s="189" t="s">
        <v>1045</v>
      </c>
      <c r="E123" s="189" t="s">
        <v>1606</v>
      </c>
      <c r="F123" s="4"/>
      <c r="G123" s="97" t="s">
        <v>64</v>
      </c>
      <c r="H123" s="164" t="s">
        <v>633</v>
      </c>
      <c r="I123" s="164" t="s">
        <v>435</v>
      </c>
      <c r="J123" s="189" t="s">
        <v>58</v>
      </c>
      <c r="K123" s="189" t="s">
        <v>132</v>
      </c>
      <c r="L123" s="4"/>
      <c r="M123" s="97" t="s">
        <v>64</v>
      </c>
      <c r="N123" s="164" t="s">
        <v>782</v>
      </c>
      <c r="O123" s="164" t="s">
        <v>1900</v>
      </c>
      <c r="P123" s="468"/>
      <c r="Q123" s="189" t="s">
        <v>1056</v>
      </c>
      <c r="R123" s="4"/>
      <c r="S123" s="97" t="s">
        <v>64</v>
      </c>
      <c r="T123" s="164" t="s">
        <v>733</v>
      </c>
      <c r="U123" s="164" t="s">
        <v>1206</v>
      </c>
      <c r="V123" s="189" t="s">
        <v>1901</v>
      </c>
      <c r="W123" s="189" t="s">
        <v>1138</v>
      </c>
      <c r="X123" s="4"/>
      <c r="Y123" s="97"/>
      <c r="Z123" s="52"/>
      <c r="AA123" s="4"/>
      <c r="AB123" s="4"/>
      <c r="AC123" s="4"/>
      <c r="AD123" s="4"/>
    </row>
    <row r="124">
      <c r="A124" s="97" t="s">
        <v>71</v>
      </c>
      <c r="B124" s="164" t="s">
        <v>167</v>
      </c>
      <c r="C124" s="164" t="s">
        <v>498</v>
      </c>
      <c r="D124" s="189" t="s">
        <v>435</v>
      </c>
      <c r="E124" s="189" t="s">
        <v>1115</v>
      </c>
      <c r="F124" s="4"/>
      <c r="G124" s="97" t="s">
        <v>71</v>
      </c>
      <c r="H124" s="164" t="s">
        <v>435</v>
      </c>
      <c r="I124" s="164" t="s">
        <v>435</v>
      </c>
      <c r="J124" s="189" t="s">
        <v>345</v>
      </c>
      <c r="K124" s="189" t="s">
        <v>1434</v>
      </c>
      <c r="L124" s="4"/>
      <c r="M124" s="97" t="s">
        <v>71</v>
      </c>
      <c r="N124" s="189" t="s">
        <v>435</v>
      </c>
      <c r="O124" s="164" t="s">
        <v>498</v>
      </c>
      <c r="P124" s="189"/>
      <c r="Q124" s="189" t="s">
        <v>1120</v>
      </c>
      <c r="R124" s="4"/>
      <c r="S124" s="97" t="s">
        <v>71</v>
      </c>
      <c r="T124" s="164" t="s">
        <v>167</v>
      </c>
      <c r="U124" s="164" t="s">
        <v>782</v>
      </c>
      <c r="V124" s="189"/>
      <c r="W124" s="189" t="s">
        <v>58</v>
      </c>
      <c r="X124" s="4"/>
      <c r="Y124" s="97"/>
      <c r="Z124" s="52"/>
      <c r="AA124" s="4"/>
      <c r="AB124" s="4"/>
      <c r="AC124" s="4"/>
      <c r="AD124" s="4"/>
    </row>
    <row r="125">
      <c r="A125" s="97" t="s">
        <v>80</v>
      </c>
      <c r="B125" s="189" t="s">
        <v>435</v>
      </c>
      <c r="C125" s="164" t="s">
        <v>435</v>
      </c>
      <c r="D125" s="189" t="s">
        <v>435</v>
      </c>
      <c r="E125" s="189" t="s">
        <v>435</v>
      </c>
      <c r="F125" s="4"/>
      <c r="G125" s="97" t="s">
        <v>80</v>
      </c>
      <c r="H125" s="189" t="s">
        <v>435</v>
      </c>
      <c r="I125" s="189" t="s">
        <v>435</v>
      </c>
      <c r="J125" s="189" t="s">
        <v>1386</v>
      </c>
      <c r="K125" s="189" t="s">
        <v>1064</v>
      </c>
      <c r="L125" s="4"/>
      <c r="M125" s="97" t="s">
        <v>80</v>
      </c>
      <c r="N125" s="189" t="s">
        <v>435</v>
      </c>
      <c r="O125" s="189" t="s">
        <v>435</v>
      </c>
      <c r="P125" s="189"/>
      <c r="Q125" s="189" t="s">
        <v>1902</v>
      </c>
      <c r="R125" s="4"/>
      <c r="S125" s="97" t="s">
        <v>80</v>
      </c>
      <c r="T125" s="189" t="s">
        <v>435</v>
      </c>
      <c r="U125" s="164" t="s">
        <v>1419</v>
      </c>
      <c r="V125" s="189"/>
      <c r="W125" s="189" t="s">
        <v>1704</v>
      </c>
      <c r="X125" s="4"/>
      <c r="Y125" s="97"/>
      <c r="Z125" s="52"/>
      <c r="AA125" s="4"/>
      <c r="AB125" s="4"/>
      <c r="AC125" s="4"/>
      <c r="AD125" s="4"/>
    </row>
    <row r="126">
      <c r="A126" s="479" t="s">
        <v>95</v>
      </c>
      <c r="B126" s="560"/>
      <c r="C126" s="561"/>
      <c r="D126" s="561"/>
      <c r="E126" s="561"/>
      <c r="F126" s="4"/>
      <c r="G126" s="479" t="s">
        <v>95</v>
      </c>
      <c r="H126" s="560"/>
      <c r="I126" s="560"/>
      <c r="J126" s="560"/>
      <c r="K126" s="561"/>
      <c r="L126" s="4"/>
      <c r="M126" s="479" t="s">
        <v>95</v>
      </c>
      <c r="N126" s="560"/>
      <c r="O126" s="561"/>
      <c r="P126" s="561"/>
      <c r="Q126" s="561"/>
      <c r="R126" s="4"/>
      <c r="S126" s="479" t="s">
        <v>95</v>
      </c>
      <c r="T126" s="560"/>
      <c r="U126" s="561"/>
      <c r="V126" s="561"/>
      <c r="W126" s="189" t="s">
        <v>1121</v>
      </c>
      <c r="X126" s="4"/>
      <c r="Y126" s="479"/>
      <c r="Z126" s="52"/>
      <c r="AA126" s="4"/>
      <c r="AB126" s="4"/>
      <c r="AC126" s="4"/>
      <c r="AD126" s="4"/>
    </row>
    <row r="127">
      <c r="A127" s="4"/>
      <c r="B127" s="52"/>
      <c r="C127" s="52"/>
      <c r="D127" s="52"/>
      <c r="E127" s="52"/>
      <c r="F127" s="4"/>
      <c r="G127" s="4"/>
      <c r="H127" s="52"/>
      <c r="I127" s="52"/>
      <c r="J127" s="52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52"/>
      <c r="C128" s="52"/>
      <c r="D128" s="52"/>
      <c r="E128" s="52"/>
      <c r="F128" s="4"/>
      <c r="G128" s="4"/>
      <c r="H128" s="52"/>
      <c r="I128" s="52"/>
      <c r="J128" s="52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504"/>
      <c r="B129" s="562">
        <v>45201.0</v>
      </c>
      <c r="C129" s="563">
        <v>45202.0</v>
      </c>
      <c r="D129" s="563">
        <v>45203.0</v>
      </c>
      <c r="E129" s="563">
        <v>45204.0</v>
      </c>
      <c r="F129" s="4"/>
      <c r="G129" s="504"/>
      <c r="H129" s="562">
        <v>45208.0</v>
      </c>
      <c r="I129" s="563">
        <v>45209.0</v>
      </c>
      <c r="J129" s="563">
        <v>45210.0</v>
      </c>
      <c r="K129" s="563">
        <v>45211.0</v>
      </c>
      <c r="L129" s="4"/>
      <c r="M129" s="504"/>
      <c r="N129" s="562">
        <v>45215.0</v>
      </c>
      <c r="O129" s="563">
        <v>45216.0</v>
      </c>
      <c r="P129" s="563">
        <v>45217.0</v>
      </c>
      <c r="Q129" s="563">
        <v>45218.0</v>
      </c>
      <c r="R129" s="4"/>
      <c r="S129" s="4"/>
      <c r="T129" s="563">
        <v>45222.0</v>
      </c>
      <c r="U129" s="563">
        <v>45223.0</v>
      </c>
      <c r="V129" s="563">
        <v>45224.0</v>
      </c>
      <c r="W129" s="563">
        <v>45225.0</v>
      </c>
      <c r="X129" s="4"/>
      <c r="Y129" s="4"/>
      <c r="Z129" s="563">
        <v>45229.0</v>
      </c>
      <c r="AA129" s="563">
        <v>45230.0</v>
      </c>
      <c r="AB129" s="4"/>
      <c r="AC129" s="4"/>
      <c r="AD129" s="4"/>
    </row>
    <row r="130">
      <c r="A130" s="504" t="s">
        <v>0</v>
      </c>
      <c r="B130" s="189" t="s">
        <v>435</v>
      </c>
      <c r="C130" s="164"/>
      <c r="D130" s="189" t="s">
        <v>435</v>
      </c>
      <c r="E130" s="189"/>
      <c r="F130" s="4"/>
      <c r="G130" s="504" t="s">
        <v>0</v>
      </c>
      <c r="H130" s="189" t="s">
        <v>435</v>
      </c>
      <c r="I130" s="164" t="s">
        <v>435</v>
      </c>
      <c r="J130" s="189" t="s">
        <v>435</v>
      </c>
      <c r="K130" s="189" t="s">
        <v>435</v>
      </c>
      <c r="L130" s="4"/>
      <c r="M130" s="504" t="s">
        <v>0</v>
      </c>
      <c r="N130" s="189" t="s">
        <v>435</v>
      </c>
      <c r="O130" s="189" t="s">
        <v>435</v>
      </c>
      <c r="P130" s="189" t="s">
        <v>435</v>
      </c>
      <c r="Q130" s="189" t="s">
        <v>435</v>
      </c>
      <c r="R130" s="4"/>
      <c r="S130" s="504" t="s">
        <v>0</v>
      </c>
      <c r="T130" s="189" t="s">
        <v>435</v>
      </c>
      <c r="U130" s="164" t="s">
        <v>435</v>
      </c>
      <c r="V130" s="189" t="s">
        <v>435</v>
      </c>
      <c r="W130" s="189" t="s">
        <v>435</v>
      </c>
      <c r="X130" s="4"/>
      <c r="Y130" s="504" t="s">
        <v>0</v>
      </c>
      <c r="Z130" s="164" t="s">
        <v>435</v>
      </c>
      <c r="AA130" s="164" t="s">
        <v>435</v>
      </c>
      <c r="AB130" s="4"/>
      <c r="AC130" s="4"/>
      <c r="AD130" s="4"/>
    </row>
    <row r="131">
      <c r="A131" s="504" t="s">
        <v>5</v>
      </c>
      <c r="B131" s="189" t="s">
        <v>435</v>
      </c>
      <c r="C131" s="164" t="s">
        <v>758</v>
      </c>
      <c r="D131" s="189" t="s">
        <v>435</v>
      </c>
      <c r="E131" s="189" t="s">
        <v>831</v>
      </c>
      <c r="F131" s="4"/>
      <c r="G131" s="504" t="s">
        <v>5</v>
      </c>
      <c r="H131" s="189" t="s">
        <v>435</v>
      </c>
      <c r="I131" s="164" t="s">
        <v>435</v>
      </c>
      <c r="J131" s="189" t="s">
        <v>435</v>
      </c>
      <c r="K131" s="164" t="s">
        <v>1360</v>
      </c>
      <c r="L131" s="4"/>
      <c r="M131" s="504" t="s">
        <v>5</v>
      </c>
      <c r="N131" s="189" t="s">
        <v>435</v>
      </c>
      <c r="O131" s="164" t="s">
        <v>758</v>
      </c>
      <c r="P131" s="189" t="s">
        <v>435</v>
      </c>
      <c r="Q131" s="189" t="s">
        <v>1525</v>
      </c>
      <c r="R131" s="4"/>
      <c r="S131" s="504" t="s">
        <v>5</v>
      </c>
      <c r="T131" s="189" t="s">
        <v>435</v>
      </c>
      <c r="U131" s="164" t="s">
        <v>435</v>
      </c>
      <c r="V131" s="189" t="s">
        <v>435</v>
      </c>
      <c r="W131" s="189" t="s">
        <v>760</v>
      </c>
      <c r="X131" s="4"/>
      <c r="Y131" s="504" t="s">
        <v>5</v>
      </c>
      <c r="Z131" s="164" t="s">
        <v>435</v>
      </c>
      <c r="AA131" s="164" t="s">
        <v>1221</v>
      </c>
      <c r="AB131" s="4"/>
      <c r="AC131" s="4"/>
      <c r="AD131" s="4"/>
    </row>
    <row r="132">
      <c r="A132" s="504" t="s">
        <v>13</v>
      </c>
      <c r="B132" s="189" t="s">
        <v>435</v>
      </c>
      <c r="C132" s="164" t="s">
        <v>834</v>
      </c>
      <c r="D132" s="189" t="s">
        <v>435</v>
      </c>
      <c r="E132" s="189" t="s">
        <v>1026</v>
      </c>
      <c r="F132" s="4"/>
      <c r="G132" s="504" t="s">
        <v>13</v>
      </c>
      <c r="H132" s="189" t="s">
        <v>435</v>
      </c>
      <c r="I132" s="164" t="s">
        <v>734</v>
      </c>
      <c r="J132" s="189" t="s">
        <v>435</v>
      </c>
      <c r="K132" s="189" t="s">
        <v>1026</v>
      </c>
      <c r="L132" s="4"/>
      <c r="M132" s="504" t="s">
        <v>13</v>
      </c>
      <c r="N132" s="189" t="s">
        <v>435</v>
      </c>
      <c r="O132" s="164" t="s">
        <v>731</v>
      </c>
      <c r="P132" s="189" t="s">
        <v>435</v>
      </c>
      <c r="Q132" s="189" t="s">
        <v>1026</v>
      </c>
      <c r="R132" s="4"/>
      <c r="S132" s="504" t="s">
        <v>13</v>
      </c>
      <c r="T132" s="189" t="s">
        <v>435</v>
      </c>
      <c r="U132" s="164" t="s">
        <v>834</v>
      </c>
      <c r="V132" s="189" t="s">
        <v>435</v>
      </c>
      <c r="W132" s="164" t="s">
        <v>435</v>
      </c>
      <c r="X132" s="4"/>
      <c r="Y132" s="504" t="s">
        <v>13</v>
      </c>
      <c r="Z132" s="164" t="s">
        <v>435</v>
      </c>
      <c r="AA132" s="164" t="s">
        <v>322</v>
      </c>
      <c r="AB132" s="4"/>
      <c r="AC132" s="4"/>
      <c r="AD132" s="4"/>
    </row>
    <row r="133">
      <c r="A133" s="504" t="s">
        <v>19</v>
      </c>
      <c r="B133" s="189" t="s">
        <v>435</v>
      </c>
      <c r="C133" s="164" t="s">
        <v>909</v>
      </c>
      <c r="D133" s="189" t="s">
        <v>435</v>
      </c>
      <c r="E133" s="189" t="s">
        <v>1047</v>
      </c>
      <c r="F133" s="4"/>
      <c r="G133" s="504" t="s">
        <v>19</v>
      </c>
      <c r="H133" s="189" t="s">
        <v>435</v>
      </c>
      <c r="I133" s="164"/>
      <c r="J133" s="189" t="s">
        <v>435</v>
      </c>
      <c r="K133" s="189" t="s">
        <v>435</v>
      </c>
      <c r="L133" s="4"/>
      <c r="M133" s="504" t="s">
        <v>19</v>
      </c>
      <c r="N133" s="189" t="s">
        <v>435</v>
      </c>
      <c r="O133" s="189" t="s">
        <v>435</v>
      </c>
      <c r="P133" s="189" t="s">
        <v>435</v>
      </c>
      <c r="Q133" s="164" t="s">
        <v>966</v>
      </c>
      <c r="R133" s="4"/>
      <c r="S133" s="504" t="s">
        <v>19</v>
      </c>
      <c r="T133" s="189" t="s">
        <v>1903</v>
      </c>
      <c r="U133" s="164" t="s">
        <v>435</v>
      </c>
      <c r="V133" s="189" t="s">
        <v>435</v>
      </c>
      <c r="W133" s="189" t="s">
        <v>1572</v>
      </c>
      <c r="X133" s="4"/>
      <c r="Y133" s="504" t="s">
        <v>19</v>
      </c>
      <c r="Z133" s="164" t="s">
        <v>435</v>
      </c>
      <c r="AA133" s="164" t="s">
        <v>199</v>
      </c>
      <c r="AB133" s="4"/>
      <c r="AC133" s="4"/>
      <c r="AD133" s="4"/>
    </row>
    <row r="134">
      <c r="A134" s="504" t="s">
        <v>39</v>
      </c>
      <c r="B134" s="189" t="s">
        <v>1904</v>
      </c>
      <c r="C134" s="164" t="s">
        <v>435</v>
      </c>
      <c r="D134" s="189" t="s">
        <v>435</v>
      </c>
      <c r="E134" s="189" t="s">
        <v>435</v>
      </c>
      <c r="F134" s="4"/>
      <c r="G134" s="504" t="s">
        <v>39</v>
      </c>
      <c r="H134" s="189" t="s">
        <v>1159</v>
      </c>
      <c r="I134" s="164" t="s">
        <v>435</v>
      </c>
      <c r="J134" s="189" t="s">
        <v>435</v>
      </c>
      <c r="K134" s="189" t="s">
        <v>435</v>
      </c>
      <c r="L134" s="4"/>
      <c r="M134" s="504" t="s">
        <v>39</v>
      </c>
      <c r="N134" s="189" t="s">
        <v>435</v>
      </c>
      <c r="O134" s="164" t="s">
        <v>435</v>
      </c>
      <c r="P134" s="189" t="s">
        <v>435</v>
      </c>
      <c r="Q134" s="189" t="s">
        <v>435</v>
      </c>
      <c r="R134" s="4"/>
      <c r="S134" s="504" t="s">
        <v>39</v>
      </c>
      <c r="T134" s="189" t="s">
        <v>435</v>
      </c>
      <c r="U134" s="164" t="s">
        <v>435</v>
      </c>
      <c r="V134" s="164" t="s">
        <v>435</v>
      </c>
      <c r="W134" s="189" t="s">
        <v>435</v>
      </c>
      <c r="X134" s="4"/>
      <c r="Y134" s="504" t="s">
        <v>39</v>
      </c>
      <c r="Z134" s="164" t="s">
        <v>435</v>
      </c>
      <c r="AA134" s="164" t="s">
        <v>435</v>
      </c>
      <c r="AB134" s="4"/>
      <c r="AC134" s="4"/>
      <c r="AD134" s="4"/>
    </row>
    <row r="135">
      <c r="A135" s="504" t="s">
        <v>45</v>
      </c>
      <c r="B135" s="189" t="s">
        <v>1905</v>
      </c>
      <c r="C135" s="164" t="s">
        <v>931</v>
      </c>
      <c r="D135" s="189" t="s">
        <v>435</v>
      </c>
      <c r="E135" s="189"/>
      <c r="F135" s="4"/>
      <c r="G135" s="504" t="s">
        <v>45</v>
      </c>
      <c r="H135" s="189" t="s">
        <v>1159</v>
      </c>
      <c r="I135" s="164" t="s">
        <v>1279</v>
      </c>
      <c r="J135" s="189" t="s">
        <v>435</v>
      </c>
      <c r="K135" s="189" t="s">
        <v>1297</v>
      </c>
      <c r="L135" s="4"/>
      <c r="M135" s="504" t="s">
        <v>45</v>
      </c>
      <c r="N135" s="189" t="s">
        <v>435</v>
      </c>
      <c r="O135" s="164" t="s">
        <v>1486</v>
      </c>
      <c r="P135" s="189" t="s">
        <v>435</v>
      </c>
      <c r="Q135" s="189" t="s">
        <v>831</v>
      </c>
      <c r="R135" s="4"/>
      <c r="S135" s="504" t="s">
        <v>45</v>
      </c>
      <c r="T135" s="189" t="s">
        <v>946</v>
      </c>
      <c r="U135" s="164" t="s">
        <v>1486</v>
      </c>
      <c r="V135" s="164" t="s">
        <v>435</v>
      </c>
      <c r="W135" s="189" t="s">
        <v>1654</v>
      </c>
      <c r="X135" s="4"/>
      <c r="Y135" s="504" t="s">
        <v>45</v>
      </c>
      <c r="Z135" s="164" t="s">
        <v>623</v>
      </c>
      <c r="AA135" s="164" t="s">
        <v>268</v>
      </c>
      <c r="AB135" s="4"/>
      <c r="AC135" s="4"/>
      <c r="AD135" s="4"/>
    </row>
    <row r="136">
      <c r="A136" s="504" t="s">
        <v>54</v>
      </c>
      <c r="B136" s="164" t="s">
        <v>435</v>
      </c>
      <c r="C136" s="164" t="s">
        <v>435</v>
      </c>
      <c r="D136" s="189" t="s">
        <v>435</v>
      </c>
      <c r="E136" s="189" t="s">
        <v>1065</v>
      </c>
      <c r="F136" s="4"/>
      <c r="G136" s="504" t="s">
        <v>54</v>
      </c>
      <c r="H136" s="164" t="s">
        <v>735</v>
      </c>
      <c r="I136" s="164" t="s">
        <v>887</v>
      </c>
      <c r="J136" s="189" t="s">
        <v>435</v>
      </c>
      <c r="K136" s="189" t="s">
        <v>624</v>
      </c>
      <c r="L136" s="4"/>
      <c r="M136" s="504" t="s">
        <v>54</v>
      </c>
      <c r="N136" s="189" t="s">
        <v>435</v>
      </c>
      <c r="O136" s="164" t="s">
        <v>124</v>
      </c>
      <c r="P136" s="189" t="s">
        <v>435</v>
      </c>
      <c r="Q136" s="189" t="s">
        <v>58</v>
      </c>
      <c r="R136" s="4"/>
      <c r="S136" s="504" t="s">
        <v>54</v>
      </c>
      <c r="T136" s="164" t="s">
        <v>1138</v>
      </c>
      <c r="U136" s="164" t="s">
        <v>1626</v>
      </c>
      <c r="V136" s="164" t="s">
        <v>435</v>
      </c>
      <c r="W136" s="164" t="s">
        <v>435</v>
      </c>
      <c r="X136" s="4"/>
      <c r="Y136" s="504" t="s">
        <v>54</v>
      </c>
      <c r="Z136" s="164" t="s">
        <v>435</v>
      </c>
      <c r="AA136" s="164"/>
      <c r="AB136" s="4"/>
      <c r="AC136" s="4"/>
      <c r="AD136" s="4"/>
    </row>
    <row r="137">
      <c r="A137" s="504" t="s">
        <v>64</v>
      </c>
      <c r="B137" s="164" t="s">
        <v>345</v>
      </c>
      <c r="C137" s="164" t="s">
        <v>950</v>
      </c>
      <c r="D137" s="189" t="s">
        <v>435</v>
      </c>
      <c r="E137" s="189" t="s">
        <v>1025</v>
      </c>
      <c r="F137" s="4"/>
      <c r="G137" s="504" t="s">
        <v>64</v>
      </c>
      <c r="H137" s="164" t="s">
        <v>1206</v>
      </c>
      <c r="I137" s="189" t="s">
        <v>1312</v>
      </c>
      <c r="J137" s="189" t="s">
        <v>435</v>
      </c>
      <c r="K137" s="164"/>
      <c r="L137" s="4"/>
      <c r="M137" s="504" t="s">
        <v>64</v>
      </c>
      <c r="N137" s="164" t="s">
        <v>345</v>
      </c>
      <c r="O137" s="164" t="s">
        <v>1206</v>
      </c>
      <c r="P137" s="189" t="s">
        <v>435</v>
      </c>
      <c r="Q137" s="189" t="s">
        <v>1065</v>
      </c>
      <c r="R137" s="4"/>
      <c r="S137" s="504" t="s">
        <v>64</v>
      </c>
      <c r="T137" s="164" t="s">
        <v>953</v>
      </c>
      <c r="U137" s="164" t="s">
        <v>435</v>
      </c>
      <c r="V137" s="164" t="s">
        <v>435</v>
      </c>
      <c r="W137" s="164" t="s">
        <v>435</v>
      </c>
      <c r="X137" s="4"/>
      <c r="Y137" s="504" t="s">
        <v>64</v>
      </c>
      <c r="Z137" s="164" t="s">
        <v>435</v>
      </c>
      <c r="AA137" s="164" t="s">
        <v>96</v>
      </c>
      <c r="AB137" s="4"/>
      <c r="AC137" s="4"/>
      <c r="AD137" s="4"/>
    </row>
    <row r="138">
      <c r="A138" s="504" t="s">
        <v>71</v>
      </c>
      <c r="B138" s="164" t="s">
        <v>809</v>
      </c>
      <c r="C138" s="164" t="s">
        <v>966</v>
      </c>
      <c r="D138" s="189" t="s">
        <v>435</v>
      </c>
      <c r="E138" s="189" t="s">
        <v>1101</v>
      </c>
      <c r="F138" s="4"/>
      <c r="G138" s="504" t="s">
        <v>71</v>
      </c>
      <c r="H138" s="189" t="s">
        <v>583</v>
      </c>
      <c r="I138" s="164" t="s">
        <v>1101</v>
      </c>
      <c r="J138" s="189" t="s">
        <v>435</v>
      </c>
      <c r="K138" s="189" t="s">
        <v>1206</v>
      </c>
      <c r="L138" s="4"/>
      <c r="M138" s="504" t="s">
        <v>71</v>
      </c>
      <c r="N138" s="164" t="s">
        <v>633</v>
      </c>
      <c r="O138" s="164" t="s">
        <v>1101</v>
      </c>
      <c r="P138" s="189" t="s">
        <v>435</v>
      </c>
      <c r="Q138" s="189" t="s">
        <v>981</v>
      </c>
      <c r="R138" s="4"/>
      <c r="S138" s="504" t="s">
        <v>71</v>
      </c>
      <c r="T138" s="189" t="s">
        <v>779</v>
      </c>
      <c r="U138" s="189" t="s">
        <v>1631</v>
      </c>
      <c r="V138" s="164" t="s">
        <v>435</v>
      </c>
      <c r="W138" s="164" t="s">
        <v>435</v>
      </c>
      <c r="X138" s="4"/>
      <c r="Y138" s="504" t="s">
        <v>71</v>
      </c>
      <c r="Z138" s="164" t="s">
        <v>633</v>
      </c>
      <c r="AA138" s="164" t="s">
        <v>1698</v>
      </c>
      <c r="AB138" s="4"/>
      <c r="AC138" s="4"/>
      <c r="AD138" s="4"/>
    </row>
    <row r="139">
      <c r="A139" s="504" t="s">
        <v>80</v>
      </c>
      <c r="B139" s="189" t="s">
        <v>835</v>
      </c>
      <c r="C139" s="164" t="s">
        <v>907</v>
      </c>
      <c r="D139" s="189" t="s">
        <v>435</v>
      </c>
      <c r="E139" s="189" t="s">
        <v>1120</v>
      </c>
      <c r="F139" s="4"/>
      <c r="G139" s="504" t="s">
        <v>80</v>
      </c>
      <c r="H139" s="189" t="s">
        <v>1195</v>
      </c>
      <c r="I139" s="164" t="s">
        <v>498</v>
      </c>
      <c r="J139" s="189" t="s">
        <v>435</v>
      </c>
      <c r="K139" s="189" t="s">
        <v>435</v>
      </c>
      <c r="L139" s="4"/>
      <c r="M139" s="504" t="s">
        <v>80</v>
      </c>
      <c r="N139" s="189" t="s">
        <v>779</v>
      </c>
      <c r="O139" s="189" t="s">
        <v>435</v>
      </c>
      <c r="P139" s="189" t="s">
        <v>435</v>
      </c>
      <c r="Q139" s="189" t="s">
        <v>435</v>
      </c>
      <c r="R139" s="4"/>
      <c r="S139" s="504" t="s">
        <v>80</v>
      </c>
      <c r="T139" s="164" t="s">
        <v>435</v>
      </c>
      <c r="U139" s="164" t="s">
        <v>1206</v>
      </c>
      <c r="V139" s="164" t="s">
        <v>435</v>
      </c>
      <c r="W139" s="164" t="s">
        <v>435</v>
      </c>
      <c r="X139" s="4"/>
      <c r="Y139" s="504" t="s">
        <v>80</v>
      </c>
      <c r="Z139" s="164" t="s">
        <v>1101</v>
      </c>
      <c r="AA139" s="164" t="s">
        <v>1206</v>
      </c>
      <c r="AB139" s="4"/>
      <c r="AC139" s="4"/>
      <c r="AD139" s="4"/>
    </row>
    <row r="140">
      <c r="A140" s="504" t="s">
        <v>95</v>
      </c>
      <c r="B140" s="189"/>
      <c r="C140" s="514"/>
      <c r="D140" s="189" t="s">
        <v>435</v>
      </c>
      <c r="E140" s="189" t="s">
        <v>509</v>
      </c>
      <c r="F140" s="4"/>
      <c r="G140" s="504" t="s">
        <v>95</v>
      </c>
      <c r="H140" s="189" t="s">
        <v>217</v>
      </c>
      <c r="I140" s="164" t="s">
        <v>779</v>
      </c>
      <c r="J140" s="189" t="s">
        <v>435</v>
      </c>
      <c r="K140" s="189" t="s">
        <v>435</v>
      </c>
      <c r="L140" s="4"/>
      <c r="M140" s="504" t="s">
        <v>95</v>
      </c>
      <c r="N140" s="189" t="s">
        <v>435</v>
      </c>
      <c r="O140" s="189" t="s">
        <v>499</v>
      </c>
      <c r="P140" s="189" t="s">
        <v>435</v>
      </c>
      <c r="Q140" s="189" t="s">
        <v>435</v>
      </c>
      <c r="R140" s="4"/>
      <c r="S140" s="504" t="s">
        <v>95</v>
      </c>
      <c r="T140" s="164" t="s">
        <v>435</v>
      </c>
      <c r="U140" s="164" t="s">
        <v>435</v>
      </c>
      <c r="V140" s="164" t="s">
        <v>435</v>
      </c>
      <c r="W140" s="189" t="s">
        <v>435</v>
      </c>
      <c r="X140" s="4"/>
      <c r="Y140" s="504" t="s">
        <v>95</v>
      </c>
      <c r="Z140" s="164" t="s">
        <v>1906</v>
      </c>
      <c r="AA140" s="164" t="s">
        <v>750</v>
      </c>
      <c r="AB140" s="4"/>
      <c r="AC140" s="4"/>
      <c r="AD140" s="4"/>
    </row>
    <row r="141">
      <c r="A141" s="4"/>
      <c r="B141" s="52"/>
      <c r="C141" s="52"/>
      <c r="D141" s="52"/>
      <c r="E141" s="52"/>
      <c r="F141" s="4"/>
      <c r="G141" s="4"/>
      <c r="H141" s="52"/>
      <c r="I141" s="52"/>
      <c r="J141" s="52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52"/>
      <c r="C142" s="52"/>
      <c r="D142" s="52"/>
      <c r="E142" s="52"/>
      <c r="F142" s="4"/>
      <c r="G142" s="4"/>
      <c r="H142" s="52"/>
      <c r="I142" s="52"/>
      <c r="J142" s="52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564">
        <v>45231.0</v>
      </c>
      <c r="C143" s="565">
        <v>45232.0</v>
      </c>
      <c r="D143" s="566"/>
      <c r="E143" s="566"/>
      <c r="F143" s="4"/>
      <c r="G143" s="4"/>
      <c r="H143" s="564">
        <v>45236.0</v>
      </c>
      <c r="I143" s="564">
        <v>45237.0</v>
      </c>
      <c r="J143" s="564">
        <v>45238.0</v>
      </c>
      <c r="K143" s="564">
        <v>45239.0</v>
      </c>
      <c r="L143" s="4"/>
      <c r="M143" s="4"/>
      <c r="N143" s="564">
        <v>45243.0</v>
      </c>
      <c r="O143" s="564">
        <v>45244.0</v>
      </c>
      <c r="P143" s="564">
        <v>45245.0</v>
      </c>
      <c r="Q143" s="564">
        <v>45246.0</v>
      </c>
      <c r="R143" s="4"/>
      <c r="S143" s="4"/>
      <c r="T143" s="564">
        <v>45250.0</v>
      </c>
      <c r="U143" s="564">
        <v>45251.0</v>
      </c>
      <c r="V143" s="564">
        <v>45252.0</v>
      </c>
      <c r="W143" s="564">
        <v>45253.0</v>
      </c>
      <c r="X143" s="4"/>
      <c r="Y143" s="4"/>
      <c r="Z143" s="564">
        <v>45257.0</v>
      </c>
      <c r="AA143" s="564">
        <v>45258.0</v>
      </c>
      <c r="AB143" s="564">
        <v>45259.0</v>
      </c>
      <c r="AC143" s="564">
        <v>45260.0</v>
      </c>
      <c r="AD143" s="4"/>
    </row>
    <row r="144">
      <c r="A144" s="504" t="s">
        <v>0</v>
      </c>
      <c r="B144" s="152" t="s">
        <v>435</v>
      </c>
      <c r="C144" s="189" t="s">
        <v>435</v>
      </c>
      <c r="D144" s="5"/>
      <c r="E144" s="5"/>
      <c r="F144" s="4"/>
      <c r="G144" s="504" t="s">
        <v>0</v>
      </c>
      <c r="H144" s="189" t="s">
        <v>435</v>
      </c>
      <c r="I144" s="189" t="s">
        <v>435</v>
      </c>
      <c r="J144" s="189" t="s">
        <v>435</v>
      </c>
      <c r="K144" s="189" t="s">
        <v>435</v>
      </c>
      <c r="L144" s="4"/>
      <c r="M144" s="504" t="s">
        <v>0</v>
      </c>
      <c r="N144" s="164" t="s">
        <v>435</v>
      </c>
      <c r="O144" s="164" t="s">
        <v>783</v>
      </c>
      <c r="P144" s="164" t="s">
        <v>435</v>
      </c>
      <c r="Q144" s="164" t="s">
        <v>435</v>
      </c>
      <c r="R144" s="4"/>
      <c r="S144" s="504" t="s">
        <v>0</v>
      </c>
      <c r="T144" s="189" t="s">
        <v>435</v>
      </c>
      <c r="U144" s="189" t="s">
        <v>435</v>
      </c>
      <c r="V144" s="189"/>
      <c r="W144" s="135" t="s">
        <v>737</v>
      </c>
      <c r="X144" s="4"/>
      <c r="Y144" s="504" t="s">
        <v>0</v>
      </c>
      <c r="Z144" s="189" t="s">
        <v>435</v>
      </c>
      <c r="AA144" s="189" t="s">
        <v>435</v>
      </c>
      <c r="AB144" s="189" t="s">
        <v>435</v>
      </c>
      <c r="AC144" s="189" t="s">
        <v>435</v>
      </c>
      <c r="AD144" s="4"/>
    </row>
    <row r="145">
      <c r="A145" s="504" t="s">
        <v>5</v>
      </c>
      <c r="B145" s="164" t="s">
        <v>737</v>
      </c>
      <c r="C145" s="189" t="s">
        <v>435</v>
      </c>
      <c r="D145" s="5"/>
      <c r="E145" s="5"/>
      <c r="F145" s="4"/>
      <c r="G145" s="504" t="s">
        <v>5</v>
      </c>
      <c r="H145" s="189" t="s">
        <v>435</v>
      </c>
      <c r="I145" s="143" t="s">
        <v>322</v>
      </c>
      <c r="J145" s="189" t="s">
        <v>435</v>
      </c>
      <c r="K145" s="189" t="s">
        <v>435</v>
      </c>
      <c r="L145" s="4"/>
      <c r="M145" s="504" t="s">
        <v>5</v>
      </c>
      <c r="N145" s="164" t="s">
        <v>435</v>
      </c>
      <c r="O145" s="143" t="s">
        <v>322</v>
      </c>
      <c r="P145" s="164" t="s">
        <v>435</v>
      </c>
      <c r="Q145" s="164" t="s">
        <v>1221</v>
      </c>
      <c r="R145" s="4"/>
      <c r="S145" s="504" t="s">
        <v>5</v>
      </c>
      <c r="T145" s="189" t="s">
        <v>435</v>
      </c>
      <c r="U145" s="189" t="s">
        <v>435</v>
      </c>
      <c r="V145" s="189" t="s">
        <v>734</v>
      </c>
      <c r="W145" s="135" t="s">
        <v>1607</v>
      </c>
      <c r="X145" s="4"/>
      <c r="Y145" s="504" t="s">
        <v>5</v>
      </c>
      <c r="Z145" s="189" t="s">
        <v>435</v>
      </c>
      <c r="AA145" s="143" t="s">
        <v>322</v>
      </c>
      <c r="AB145" s="189" t="s">
        <v>435</v>
      </c>
      <c r="AC145" s="164" t="s">
        <v>1221</v>
      </c>
      <c r="AD145" s="4"/>
    </row>
    <row r="146">
      <c r="A146" s="504" t="s">
        <v>13</v>
      </c>
      <c r="B146" s="164" t="s">
        <v>677</v>
      </c>
      <c r="C146" s="189" t="s">
        <v>435</v>
      </c>
      <c r="D146" s="5"/>
      <c r="E146" s="5"/>
      <c r="F146" s="4"/>
      <c r="G146" s="504" t="s">
        <v>13</v>
      </c>
      <c r="H146" s="189" t="s">
        <v>435</v>
      </c>
      <c r="I146" s="135" t="s">
        <v>1027</v>
      </c>
      <c r="J146" s="189" t="s">
        <v>435</v>
      </c>
      <c r="K146" s="143" t="s">
        <v>504</v>
      </c>
      <c r="L146" s="4"/>
      <c r="M146" s="504" t="s">
        <v>13</v>
      </c>
      <c r="N146" s="164" t="s">
        <v>435</v>
      </c>
      <c r="O146" s="164" t="s">
        <v>199</v>
      </c>
      <c r="P146" s="164" t="s">
        <v>435</v>
      </c>
      <c r="Q146" s="567" t="s">
        <v>1907</v>
      </c>
      <c r="R146" s="4"/>
      <c r="S146" s="504" t="s">
        <v>13</v>
      </c>
      <c r="T146" s="189" t="s">
        <v>435</v>
      </c>
      <c r="U146" s="189" t="s">
        <v>435</v>
      </c>
      <c r="V146" s="189" t="s">
        <v>435</v>
      </c>
      <c r="W146" s="143" t="s">
        <v>677</v>
      </c>
      <c r="X146" s="4"/>
      <c r="Y146" s="504" t="s">
        <v>13</v>
      </c>
      <c r="Z146" s="189" t="s">
        <v>435</v>
      </c>
      <c r="AA146" s="164" t="s">
        <v>1027</v>
      </c>
      <c r="AB146" s="189" t="s">
        <v>435</v>
      </c>
      <c r="AC146" s="143" t="s">
        <v>677</v>
      </c>
      <c r="AD146" s="4"/>
    </row>
    <row r="147">
      <c r="A147" s="504" t="s">
        <v>19</v>
      </c>
      <c r="B147" s="491"/>
      <c r="C147" s="189" t="s">
        <v>435</v>
      </c>
      <c r="D147" s="5"/>
      <c r="E147" s="5"/>
      <c r="F147" s="4"/>
      <c r="G147" s="504" t="s">
        <v>19</v>
      </c>
      <c r="H147" s="189" t="s">
        <v>435</v>
      </c>
      <c r="I147" s="189" t="s">
        <v>609</v>
      </c>
      <c r="J147" s="189" t="s">
        <v>435</v>
      </c>
      <c r="K147" s="143" t="s">
        <v>493</v>
      </c>
      <c r="L147" s="4"/>
      <c r="M147" s="504" t="s">
        <v>19</v>
      </c>
      <c r="N147" s="164" t="s">
        <v>435</v>
      </c>
      <c r="O147" s="164" t="s">
        <v>435</v>
      </c>
      <c r="P147" s="164" t="s">
        <v>435</v>
      </c>
      <c r="Q147" s="189" t="s">
        <v>755</v>
      </c>
      <c r="R147" s="4"/>
      <c r="S147" s="504" t="s">
        <v>19</v>
      </c>
      <c r="T147" s="189" t="s">
        <v>435</v>
      </c>
      <c r="U147" s="189" t="s">
        <v>435</v>
      </c>
      <c r="V147" s="189" t="s">
        <v>760</v>
      </c>
      <c r="W147" s="492" t="s">
        <v>1749</v>
      </c>
      <c r="X147" s="4"/>
      <c r="Y147" s="504" t="s">
        <v>19</v>
      </c>
      <c r="Z147" s="189" t="s">
        <v>435</v>
      </c>
      <c r="AA147" s="189" t="s">
        <v>760</v>
      </c>
      <c r="AB147" s="189" t="s">
        <v>435</v>
      </c>
      <c r="AC147" s="189" t="s">
        <v>783</v>
      </c>
      <c r="AD147" s="4"/>
    </row>
    <row r="148">
      <c r="A148" s="504" t="s">
        <v>39</v>
      </c>
      <c r="B148" s="164" t="s">
        <v>435</v>
      </c>
      <c r="C148" s="189" t="s">
        <v>435</v>
      </c>
      <c r="D148" s="5"/>
      <c r="E148" s="5"/>
      <c r="F148" s="4"/>
      <c r="G148" s="504" t="s">
        <v>39</v>
      </c>
      <c r="H148" s="189" t="s">
        <v>435</v>
      </c>
      <c r="I148" s="189" t="s">
        <v>435</v>
      </c>
      <c r="J148" s="189" t="s">
        <v>435</v>
      </c>
      <c r="K148" s="189" t="s">
        <v>435</v>
      </c>
      <c r="L148" s="4"/>
      <c r="M148" s="504" t="s">
        <v>39</v>
      </c>
      <c r="N148" s="164" t="s">
        <v>435</v>
      </c>
      <c r="O148" s="164" t="s">
        <v>435</v>
      </c>
      <c r="P148" s="164" t="s">
        <v>435</v>
      </c>
      <c r="Q148" s="164" t="s">
        <v>435</v>
      </c>
      <c r="R148" s="4"/>
      <c r="S148" s="504" t="s">
        <v>39</v>
      </c>
      <c r="T148" s="189" t="s">
        <v>435</v>
      </c>
      <c r="U148" s="189" t="s">
        <v>435</v>
      </c>
      <c r="V148" s="189" t="s">
        <v>435</v>
      </c>
      <c r="W148" s="189" t="s">
        <v>435</v>
      </c>
      <c r="X148" s="4"/>
      <c r="Y148" s="504" t="s">
        <v>39</v>
      </c>
      <c r="Z148" s="189" t="s">
        <v>435</v>
      </c>
      <c r="AA148" s="164" t="s">
        <v>435</v>
      </c>
      <c r="AB148" s="189" t="s">
        <v>435</v>
      </c>
      <c r="AC148" s="164" t="s">
        <v>435</v>
      </c>
      <c r="AD148" s="4"/>
    </row>
    <row r="149">
      <c r="A149" s="504" t="s">
        <v>45</v>
      </c>
      <c r="B149" s="164" t="s">
        <v>58</v>
      </c>
      <c r="C149" s="189" t="s">
        <v>435</v>
      </c>
      <c r="D149" s="5"/>
      <c r="E149" s="5"/>
      <c r="F149" s="4"/>
      <c r="G149" s="504" t="s">
        <v>45</v>
      </c>
      <c r="H149" s="144"/>
      <c r="I149" s="143" t="s">
        <v>268</v>
      </c>
      <c r="J149" s="189" t="s">
        <v>435</v>
      </c>
      <c r="K149" s="189" t="s">
        <v>783</v>
      </c>
      <c r="L149" s="4"/>
      <c r="M149" s="504" t="s">
        <v>45</v>
      </c>
      <c r="N149" s="164" t="s">
        <v>623</v>
      </c>
      <c r="O149" s="164" t="s">
        <v>268</v>
      </c>
      <c r="P149" s="164" t="s">
        <v>435</v>
      </c>
      <c r="Q149" s="164" t="s">
        <v>1456</v>
      </c>
      <c r="R149" s="4"/>
      <c r="S149" s="504" t="s">
        <v>45</v>
      </c>
      <c r="T149" s="164" t="s">
        <v>623</v>
      </c>
      <c r="U149" s="164" t="s">
        <v>268</v>
      </c>
      <c r="V149" s="189" t="s">
        <v>435</v>
      </c>
      <c r="W149" s="259" t="s">
        <v>967</v>
      </c>
      <c r="X149" s="4"/>
      <c r="Y149" s="504" t="s">
        <v>45</v>
      </c>
      <c r="Z149" s="189" t="s">
        <v>435</v>
      </c>
      <c r="AA149" s="164" t="s">
        <v>268</v>
      </c>
      <c r="AB149" s="189" t="s">
        <v>435</v>
      </c>
      <c r="AC149" s="135" t="s">
        <v>967</v>
      </c>
      <c r="AD149" s="4"/>
    </row>
    <row r="150">
      <c r="A150" s="504" t="s">
        <v>54</v>
      </c>
      <c r="B150" s="164" t="s">
        <v>124</v>
      </c>
      <c r="C150" s="189" t="s">
        <v>932</v>
      </c>
      <c r="D150" s="5"/>
      <c r="E150" s="5"/>
      <c r="F150" s="4"/>
      <c r="G150" s="504" t="s">
        <v>54</v>
      </c>
      <c r="H150" s="189" t="s">
        <v>865</v>
      </c>
      <c r="I150" s="135" t="s">
        <v>754</v>
      </c>
      <c r="J150" s="189" t="s">
        <v>435</v>
      </c>
      <c r="K150" s="143" t="s">
        <v>57</v>
      </c>
      <c r="L150" s="4"/>
      <c r="M150" s="504" t="s">
        <v>54</v>
      </c>
      <c r="N150" s="259" t="s">
        <v>1261</v>
      </c>
      <c r="O150" s="164" t="s">
        <v>754</v>
      </c>
      <c r="P150" s="164" t="s">
        <v>435</v>
      </c>
      <c r="Q150" s="135" t="s">
        <v>967</v>
      </c>
      <c r="R150" s="4"/>
      <c r="S150" s="504" t="s">
        <v>54</v>
      </c>
      <c r="T150" s="164" t="s">
        <v>124</v>
      </c>
      <c r="U150" s="188" t="s">
        <v>754</v>
      </c>
      <c r="V150" s="189" t="s">
        <v>435</v>
      </c>
      <c r="W150" s="158" t="s">
        <v>57</v>
      </c>
      <c r="X150" s="4"/>
      <c r="Y150" s="504" t="s">
        <v>54</v>
      </c>
      <c r="Z150" s="259" t="s">
        <v>1659</v>
      </c>
      <c r="AA150" s="164" t="s">
        <v>754</v>
      </c>
      <c r="AB150" s="189" t="s">
        <v>435</v>
      </c>
      <c r="AC150" s="135" t="s">
        <v>58</v>
      </c>
      <c r="AD150" s="4"/>
    </row>
    <row r="151">
      <c r="A151" s="504" t="s">
        <v>64</v>
      </c>
      <c r="B151" s="164" t="s">
        <v>836</v>
      </c>
      <c r="C151" s="189" t="s">
        <v>435</v>
      </c>
      <c r="D151" s="5"/>
      <c r="E151" s="5"/>
      <c r="F151" s="4"/>
      <c r="G151" s="504" t="s">
        <v>64</v>
      </c>
      <c r="H151" s="144" t="s">
        <v>243</v>
      </c>
      <c r="I151" s="143" t="s">
        <v>982</v>
      </c>
      <c r="J151" s="189" t="s">
        <v>435</v>
      </c>
      <c r="K151" s="135" t="s">
        <v>967</v>
      </c>
      <c r="L151" s="4"/>
      <c r="M151" s="504" t="s">
        <v>64</v>
      </c>
      <c r="N151" s="142" t="s">
        <v>1280</v>
      </c>
      <c r="O151" s="469" t="s">
        <v>624</v>
      </c>
      <c r="P151" s="164" t="s">
        <v>435</v>
      </c>
      <c r="Q151" s="144" t="s">
        <v>58</v>
      </c>
      <c r="R151" s="4"/>
      <c r="S151" s="504" t="s">
        <v>64</v>
      </c>
      <c r="T151" s="142" t="s">
        <v>1908</v>
      </c>
      <c r="U151" s="189" t="s">
        <v>1572</v>
      </c>
      <c r="V151" s="189" t="s">
        <v>435</v>
      </c>
      <c r="W151" s="259" t="s">
        <v>349</v>
      </c>
      <c r="X151" s="4"/>
      <c r="Y151" s="504" t="s">
        <v>64</v>
      </c>
      <c r="Z151" s="142" t="s">
        <v>1340</v>
      </c>
      <c r="AA151" s="189" t="s">
        <v>779</v>
      </c>
      <c r="AB151" s="189" t="s">
        <v>435</v>
      </c>
      <c r="AC151" s="135" t="s">
        <v>96</v>
      </c>
      <c r="AD151" s="4"/>
    </row>
    <row r="152">
      <c r="A152" s="504" t="s">
        <v>71</v>
      </c>
      <c r="B152" s="164" t="s">
        <v>598</v>
      </c>
      <c r="C152" s="189" t="s">
        <v>435</v>
      </c>
      <c r="D152" s="5"/>
      <c r="E152" s="5"/>
      <c r="F152" s="4"/>
      <c r="G152" s="504" t="s">
        <v>71</v>
      </c>
      <c r="H152" s="142" t="s">
        <v>946</v>
      </c>
      <c r="I152" s="135" t="s">
        <v>1121</v>
      </c>
      <c r="J152" s="189" t="s">
        <v>435</v>
      </c>
      <c r="K152" s="189" t="s">
        <v>435</v>
      </c>
      <c r="L152" s="4"/>
      <c r="M152" s="504" t="s">
        <v>71</v>
      </c>
      <c r="N152" s="164" t="s">
        <v>633</v>
      </c>
      <c r="O152" s="189" t="s">
        <v>982</v>
      </c>
      <c r="P152" s="164" t="s">
        <v>435</v>
      </c>
      <c r="Q152" s="166" t="s">
        <v>598</v>
      </c>
      <c r="R152" s="4"/>
      <c r="S152" s="504" t="s">
        <v>71</v>
      </c>
      <c r="T152" s="135" t="s">
        <v>887</v>
      </c>
      <c r="U152" s="189" t="s">
        <v>982</v>
      </c>
      <c r="V152" s="189" t="s">
        <v>435</v>
      </c>
      <c r="W152" s="135" t="s">
        <v>1313</v>
      </c>
      <c r="X152" s="4"/>
      <c r="Y152" s="504" t="s">
        <v>71</v>
      </c>
      <c r="Z152" s="164" t="s">
        <v>782</v>
      </c>
      <c r="AA152" s="189" t="s">
        <v>550</v>
      </c>
      <c r="AB152" s="189" t="s">
        <v>435</v>
      </c>
      <c r="AC152" s="166" t="s">
        <v>598</v>
      </c>
      <c r="AD152" s="4"/>
    </row>
    <row r="153">
      <c r="A153" s="504" t="s">
        <v>80</v>
      </c>
      <c r="B153" s="164" t="s">
        <v>120</v>
      </c>
      <c r="C153" s="189" t="s">
        <v>435</v>
      </c>
      <c r="D153" s="5"/>
      <c r="E153" s="5"/>
      <c r="F153" s="4"/>
      <c r="G153" s="504" t="s">
        <v>80</v>
      </c>
      <c r="H153" s="189"/>
      <c r="I153" s="135" t="s">
        <v>840</v>
      </c>
      <c r="J153" s="189" t="s">
        <v>435</v>
      </c>
      <c r="K153" s="189" t="s">
        <v>435</v>
      </c>
      <c r="L153" s="4"/>
      <c r="M153" s="504" t="s">
        <v>80</v>
      </c>
      <c r="N153" s="164" t="s">
        <v>1101</v>
      </c>
      <c r="O153" s="164" t="s">
        <v>1206</v>
      </c>
      <c r="P153" s="164" t="s">
        <v>435</v>
      </c>
      <c r="Q153" s="189" t="s">
        <v>539</v>
      </c>
      <c r="R153" s="4"/>
      <c r="S153" s="504" t="s">
        <v>80</v>
      </c>
      <c r="T153" s="259" t="s">
        <v>865</v>
      </c>
      <c r="U153" s="164" t="s">
        <v>1206</v>
      </c>
      <c r="V153" s="189" t="s">
        <v>435</v>
      </c>
      <c r="W153" s="259" t="s">
        <v>1206</v>
      </c>
      <c r="X153" s="4"/>
      <c r="Y153" s="504" t="s">
        <v>80</v>
      </c>
      <c r="Z153" s="164" t="s">
        <v>1101</v>
      </c>
      <c r="AA153" s="164" t="s">
        <v>327</v>
      </c>
      <c r="AB153" s="189" t="s">
        <v>435</v>
      </c>
      <c r="AC153" s="164" t="s">
        <v>1716</v>
      </c>
      <c r="AD153" s="4"/>
    </row>
    <row r="154">
      <c r="A154" s="504" t="s">
        <v>95</v>
      </c>
      <c r="B154" s="164" t="s">
        <v>910</v>
      </c>
      <c r="C154" s="189" t="s">
        <v>435</v>
      </c>
      <c r="D154" s="5"/>
      <c r="E154" s="5"/>
      <c r="F154" s="4"/>
      <c r="G154" s="504" t="s">
        <v>95</v>
      </c>
      <c r="H154" s="189" t="s">
        <v>435</v>
      </c>
      <c r="I154" s="189" t="s">
        <v>910</v>
      </c>
      <c r="J154" s="189" t="s">
        <v>435</v>
      </c>
      <c r="K154" s="189" t="s">
        <v>435</v>
      </c>
      <c r="L154" s="4"/>
      <c r="M154" s="504" t="s">
        <v>95</v>
      </c>
      <c r="N154" s="164" t="s">
        <v>167</v>
      </c>
      <c r="O154" s="164" t="s">
        <v>435</v>
      </c>
      <c r="P154" s="164" t="s">
        <v>435</v>
      </c>
      <c r="Q154" s="164" t="s">
        <v>452</v>
      </c>
      <c r="R154" s="4"/>
      <c r="S154" s="504" t="s">
        <v>95</v>
      </c>
      <c r="T154" s="189" t="s">
        <v>435</v>
      </c>
      <c r="U154" s="568" t="s">
        <v>910</v>
      </c>
      <c r="V154" s="189" t="s">
        <v>435</v>
      </c>
      <c r="W154" s="189" t="s">
        <v>783</v>
      </c>
      <c r="X154" s="4"/>
      <c r="Y154" s="504" t="s">
        <v>95</v>
      </c>
      <c r="Z154" s="164" t="s">
        <v>167</v>
      </c>
      <c r="AA154" s="189"/>
      <c r="AB154" s="189" t="s">
        <v>435</v>
      </c>
      <c r="AC154" s="189" t="s">
        <v>435</v>
      </c>
      <c r="AD154" s="4"/>
    </row>
    <row r="155">
      <c r="A155" s="4"/>
      <c r="B155" s="52"/>
      <c r="C155" s="52"/>
      <c r="D155" s="52"/>
      <c r="E155" s="52"/>
      <c r="F155" s="4"/>
      <c r="G155" s="4"/>
      <c r="H155" s="52"/>
      <c r="I155" s="52"/>
      <c r="J155" s="52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52"/>
      <c r="C156" s="52"/>
      <c r="D156" s="52"/>
      <c r="E156" s="52"/>
      <c r="F156" s="4"/>
      <c r="G156" s="4"/>
      <c r="H156" s="52"/>
      <c r="I156" s="52"/>
      <c r="J156" s="52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569">
        <v>45264.0</v>
      </c>
      <c r="C157" s="569">
        <v>45265.0</v>
      </c>
      <c r="D157" s="569">
        <v>45266.0</v>
      </c>
      <c r="E157" s="569">
        <v>45267.0</v>
      </c>
      <c r="F157" s="4"/>
      <c r="G157" s="4"/>
      <c r="H157" s="569">
        <v>45271.0</v>
      </c>
      <c r="I157" s="569">
        <v>45265.0</v>
      </c>
      <c r="J157" s="569">
        <v>45266.0</v>
      </c>
      <c r="K157" s="569">
        <v>45267.0</v>
      </c>
      <c r="L157" s="4"/>
      <c r="M157" s="4"/>
      <c r="N157" s="569">
        <v>45278.0</v>
      </c>
      <c r="O157" s="569">
        <v>45279.0</v>
      </c>
      <c r="P157" s="569">
        <v>45280.0</v>
      </c>
      <c r="Q157" s="569">
        <v>45281.0</v>
      </c>
      <c r="R157" s="4"/>
      <c r="S157" s="4"/>
      <c r="T157" s="569">
        <v>45285.0</v>
      </c>
      <c r="U157" s="569">
        <v>45286.0</v>
      </c>
      <c r="V157" s="569">
        <v>45287.0</v>
      </c>
      <c r="W157" s="569">
        <v>45288.0</v>
      </c>
      <c r="X157" s="4"/>
      <c r="Y157" s="4"/>
      <c r="Z157" s="4"/>
      <c r="AA157" s="4"/>
      <c r="AB157" s="4"/>
      <c r="AC157" s="4"/>
      <c r="AD157" s="4"/>
    </row>
    <row r="158">
      <c r="A158" s="504" t="s">
        <v>0</v>
      </c>
      <c r="B158" s="69"/>
      <c r="C158" s="221" t="s">
        <v>435</v>
      </c>
      <c r="D158" s="512" t="s">
        <v>435</v>
      </c>
      <c r="E158" s="512" t="s">
        <v>435</v>
      </c>
      <c r="F158" s="4"/>
      <c r="G158" s="504" t="s">
        <v>0</v>
      </c>
      <c r="H158" s="189" t="s">
        <v>435</v>
      </c>
      <c r="I158" s="189" t="s">
        <v>435</v>
      </c>
      <c r="J158" s="189" t="s">
        <v>435</v>
      </c>
      <c r="K158" s="189" t="s">
        <v>435</v>
      </c>
      <c r="L158" s="4"/>
      <c r="M158" s="504" t="s">
        <v>0</v>
      </c>
      <c r="N158" s="189" t="s">
        <v>435</v>
      </c>
      <c r="O158" s="135" t="s">
        <v>199</v>
      </c>
      <c r="P158" s="189" t="s">
        <v>435</v>
      </c>
      <c r="Q158" s="189" t="s">
        <v>435</v>
      </c>
      <c r="R158" s="4"/>
      <c r="S158" s="504" t="s">
        <v>0</v>
      </c>
      <c r="T158" s="189" t="s">
        <v>435</v>
      </c>
      <c r="U158" s="189" t="s">
        <v>435</v>
      </c>
      <c r="V158" s="465" t="s">
        <v>199</v>
      </c>
      <c r="W158" s="189" t="s">
        <v>1599</v>
      </c>
      <c r="X158" s="4"/>
      <c r="Y158" s="4"/>
      <c r="Z158" s="4"/>
      <c r="AA158" s="4"/>
      <c r="AB158" s="4"/>
      <c r="AC158" s="4"/>
      <c r="AD158" s="4"/>
    </row>
    <row r="159">
      <c r="A159" s="504" t="s">
        <v>5</v>
      </c>
      <c r="B159" s="187" t="s">
        <v>199</v>
      </c>
      <c r="C159" s="136" t="s">
        <v>322</v>
      </c>
      <c r="D159" s="221" t="s">
        <v>435</v>
      </c>
      <c r="E159" s="221" t="s">
        <v>435</v>
      </c>
      <c r="F159" s="4"/>
      <c r="G159" s="504" t="s">
        <v>5</v>
      </c>
      <c r="H159" s="189" t="s">
        <v>435</v>
      </c>
      <c r="I159" s="189" t="s">
        <v>435</v>
      </c>
      <c r="J159" s="189" t="s">
        <v>435</v>
      </c>
      <c r="K159" s="189" t="s">
        <v>1221</v>
      </c>
      <c r="L159" s="4"/>
      <c r="M159" s="504" t="s">
        <v>5</v>
      </c>
      <c r="N159" s="189" t="s">
        <v>435</v>
      </c>
      <c r="O159" s="143" t="s">
        <v>322</v>
      </c>
      <c r="P159" s="189" t="s">
        <v>435</v>
      </c>
      <c r="Q159" s="189" t="s">
        <v>134</v>
      </c>
      <c r="R159" s="4"/>
      <c r="S159" s="504" t="s">
        <v>5</v>
      </c>
      <c r="T159" s="189" t="s">
        <v>435</v>
      </c>
      <c r="U159" s="189" t="s">
        <v>435</v>
      </c>
      <c r="V159" s="143" t="s">
        <v>322</v>
      </c>
      <c r="W159" s="135" t="s">
        <v>1221</v>
      </c>
      <c r="X159" s="4"/>
      <c r="Y159" s="4"/>
      <c r="Z159" s="4"/>
      <c r="AA159" s="4"/>
      <c r="AB159" s="4"/>
      <c r="AC159" s="4"/>
      <c r="AD159" s="4"/>
    </row>
    <row r="160">
      <c r="A160" s="504" t="s">
        <v>13</v>
      </c>
      <c r="B160" s="17"/>
      <c r="C160" s="165" t="s">
        <v>738</v>
      </c>
      <c r="D160" s="221" t="s">
        <v>435</v>
      </c>
      <c r="E160" s="221" t="s">
        <v>435</v>
      </c>
      <c r="F160" s="4"/>
      <c r="G160" s="504" t="s">
        <v>13</v>
      </c>
      <c r="H160" s="189" t="s">
        <v>435</v>
      </c>
      <c r="I160" s="189" t="s">
        <v>435</v>
      </c>
      <c r="J160" s="189" t="s">
        <v>435</v>
      </c>
      <c r="K160" s="189" t="s">
        <v>134</v>
      </c>
      <c r="L160" s="4"/>
      <c r="M160" s="504" t="s">
        <v>13</v>
      </c>
      <c r="N160" s="189" t="s">
        <v>435</v>
      </c>
      <c r="O160" s="135" t="s">
        <v>933</v>
      </c>
      <c r="P160" s="189" t="s">
        <v>435</v>
      </c>
      <c r="Q160" s="189" t="s">
        <v>738</v>
      </c>
      <c r="R160" s="4"/>
      <c r="S160" s="504" t="s">
        <v>13</v>
      </c>
      <c r="T160" s="189" t="s">
        <v>435</v>
      </c>
      <c r="U160" s="189" t="s">
        <v>435</v>
      </c>
      <c r="V160" s="135" t="s">
        <v>933</v>
      </c>
      <c r="W160" s="135" t="s">
        <v>738</v>
      </c>
      <c r="X160" s="4"/>
      <c r="Y160" s="4"/>
      <c r="Z160" s="4"/>
      <c r="AA160" s="4"/>
      <c r="AB160" s="4"/>
      <c r="AC160" s="4"/>
      <c r="AD160" s="4"/>
    </row>
    <row r="161">
      <c r="A161" s="504" t="s">
        <v>19</v>
      </c>
      <c r="B161" s="156" t="s">
        <v>760</v>
      </c>
      <c r="C161" s="221" t="s">
        <v>435</v>
      </c>
      <c r="D161" s="221" t="s">
        <v>435</v>
      </c>
      <c r="E161" s="221" t="s">
        <v>435</v>
      </c>
      <c r="F161" s="4"/>
      <c r="G161" s="504" t="s">
        <v>19</v>
      </c>
      <c r="H161" s="189" t="s">
        <v>435</v>
      </c>
      <c r="I161" s="189" t="s">
        <v>435</v>
      </c>
      <c r="J161" s="189" t="s">
        <v>435</v>
      </c>
      <c r="K161" s="189" t="s">
        <v>783</v>
      </c>
      <c r="L161" s="4"/>
      <c r="M161" s="504" t="s">
        <v>19</v>
      </c>
      <c r="N161" s="189" t="s">
        <v>435</v>
      </c>
      <c r="O161" s="188" t="s">
        <v>539</v>
      </c>
      <c r="P161" s="189" t="s">
        <v>435</v>
      </c>
      <c r="Q161" s="189" t="s">
        <v>435</v>
      </c>
      <c r="R161" s="4"/>
      <c r="S161" s="504" t="s">
        <v>19</v>
      </c>
      <c r="T161" s="189" t="s">
        <v>435</v>
      </c>
      <c r="U161" s="189" t="s">
        <v>435</v>
      </c>
      <c r="V161" s="189" t="s">
        <v>435</v>
      </c>
      <c r="W161" s="135" t="s">
        <v>199</v>
      </c>
      <c r="X161" s="4"/>
      <c r="Y161" s="4"/>
      <c r="Z161" s="4"/>
      <c r="AA161" s="4"/>
      <c r="AB161" s="4"/>
      <c r="AC161" s="4"/>
      <c r="AD161" s="4"/>
    </row>
    <row r="162">
      <c r="A162" s="504" t="s">
        <v>39</v>
      </c>
      <c r="B162" s="156" t="s">
        <v>783</v>
      </c>
      <c r="C162" s="221" t="s">
        <v>435</v>
      </c>
      <c r="D162" s="221" t="s">
        <v>435</v>
      </c>
      <c r="E162" s="221" t="s">
        <v>435</v>
      </c>
      <c r="F162" s="4"/>
      <c r="G162" s="504" t="s">
        <v>39</v>
      </c>
      <c r="H162" s="189" t="s">
        <v>435</v>
      </c>
      <c r="I162" s="189" t="s">
        <v>435</v>
      </c>
      <c r="J162" s="189" t="s">
        <v>435</v>
      </c>
      <c r="K162" s="189" t="s">
        <v>435</v>
      </c>
      <c r="L162" s="4"/>
      <c r="M162" s="504" t="s">
        <v>39</v>
      </c>
      <c r="N162" s="189" t="s">
        <v>435</v>
      </c>
      <c r="O162" s="189" t="s">
        <v>435</v>
      </c>
      <c r="P162" s="189" t="s">
        <v>435</v>
      </c>
      <c r="Q162" s="206" t="s">
        <v>124</v>
      </c>
      <c r="R162" s="4"/>
      <c r="S162" s="504" t="s">
        <v>39</v>
      </c>
      <c r="T162" s="189" t="s">
        <v>435</v>
      </c>
      <c r="U162" s="189" t="s">
        <v>435</v>
      </c>
      <c r="V162" s="189"/>
      <c r="W162" s="189" t="s">
        <v>435</v>
      </c>
      <c r="X162" s="4"/>
      <c r="Y162" s="4"/>
      <c r="Z162" s="4"/>
      <c r="AA162" s="4"/>
      <c r="AB162" s="4"/>
      <c r="AC162" s="4"/>
      <c r="AD162" s="4"/>
    </row>
    <row r="163">
      <c r="A163" s="504" t="s">
        <v>45</v>
      </c>
      <c r="B163" s="205" t="s">
        <v>623</v>
      </c>
      <c r="C163" s="221" t="s">
        <v>268</v>
      </c>
      <c r="D163" s="221" t="s">
        <v>435</v>
      </c>
      <c r="E163" s="221" t="s">
        <v>435</v>
      </c>
      <c r="F163" s="4"/>
      <c r="G163" s="504" t="s">
        <v>45</v>
      </c>
      <c r="H163" s="189" t="s">
        <v>435</v>
      </c>
      <c r="I163" s="143" t="s">
        <v>268</v>
      </c>
      <c r="J163" s="189" t="s">
        <v>435</v>
      </c>
      <c r="K163" s="465" t="s">
        <v>967</v>
      </c>
      <c r="L163" s="4"/>
      <c r="M163" s="504" t="s">
        <v>45</v>
      </c>
      <c r="N163" s="206" t="s">
        <v>623</v>
      </c>
      <c r="O163" s="189" t="s">
        <v>435</v>
      </c>
      <c r="P163" s="189" t="s">
        <v>435</v>
      </c>
      <c r="Q163" s="189" t="s">
        <v>967</v>
      </c>
      <c r="R163" s="4"/>
      <c r="S163" s="504" t="s">
        <v>45</v>
      </c>
      <c r="T163" s="189" t="s">
        <v>435</v>
      </c>
      <c r="U163" s="143" t="s">
        <v>268</v>
      </c>
      <c r="V163" s="206" t="s">
        <v>124</v>
      </c>
      <c r="W163" s="135" t="s">
        <v>967</v>
      </c>
      <c r="X163" s="4"/>
      <c r="Y163" s="4"/>
      <c r="Z163" s="4"/>
      <c r="AA163" s="4"/>
      <c r="AB163" s="4"/>
      <c r="AC163" s="4"/>
      <c r="AD163" s="4"/>
    </row>
    <row r="164">
      <c r="A164" s="504" t="s">
        <v>54</v>
      </c>
      <c r="B164" s="205" t="s">
        <v>124</v>
      </c>
      <c r="C164" s="221" t="s">
        <v>754</v>
      </c>
      <c r="D164" s="221" t="s">
        <v>435</v>
      </c>
      <c r="E164" s="221" t="s">
        <v>435</v>
      </c>
      <c r="F164" s="4"/>
      <c r="G164" s="504" t="s">
        <v>54</v>
      </c>
      <c r="H164" s="189" t="s">
        <v>182</v>
      </c>
      <c r="I164" s="135" t="s">
        <v>933</v>
      </c>
      <c r="J164" s="189" t="s">
        <v>435</v>
      </c>
      <c r="K164" s="135" t="s">
        <v>57</v>
      </c>
      <c r="L164" s="4"/>
      <c r="M164" s="504" t="s">
        <v>54</v>
      </c>
      <c r="N164" s="205" t="s">
        <v>124</v>
      </c>
      <c r="O164" s="143" t="s">
        <v>268</v>
      </c>
      <c r="P164" s="189" t="s">
        <v>435</v>
      </c>
      <c r="Q164" s="469" t="s">
        <v>130</v>
      </c>
      <c r="R164" s="4"/>
      <c r="S164" s="504" t="s">
        <v>54</v>
      </c>
      <c r="T164" s="189" t="s">
        <v>435</v>
      </c>
      <c r="U164" s="135" t="s">
        <v>1535</v>
      </c>
      <c r="V164" s="189"/>
      <c r="W164" s="135" t="s">
        <v>57</v>
      </c>
      <c r="X164" s="4"/>
      <c r="Y164" s="4"/>
      <c r="Z164" s="4"/>
      <c r="AA164" s="4"/>
      <c r="AB164" s="4"/>
      <c r="AC164" s="4"/>
      <c r="AD164" s="4"/>
    </row>
    <row r="165">
      <c r="A165" s="504" t="s">
        <v>64</v>
      </c>
      <c r="B165" s="149" t="s">
        <v>609</v>
      </c>
      <c r="C165" s="224" t="s">
        <v>1002</v>
      </c>
      <c r="D165" s="221" t="s">
        <v>435</v>
      </c>
      <c r="E165" s="221" t="s">
        <v>435</v>
      </c>
      <c r="F165" s="4"/>
      <c r="G165" s="504" t="s">
        <v>64</v>
      </c>
      <c r="H165" s="165" t="s">
        <v>912</v>
      </c>
      <c r="I165" s="568" t="s">
        <v>679</v>
      </c>
      <c r="J165" s="189" t="s">
        <v>435</v>
      </c>
      <c r="K165" s="189" t="s">
        <v>1281</v>
      </c>
      <c r="L165" s="4"/>
      <c r="M165" s="504" t="s">
        <v>64</v>
      </c>
      <c r="N165" s="165" t="s">
        <v>912</v>
      </c>
      <c r="O165" s="206" t="s">
        <v>982</v>
      </c>
      <c r="P165" s="189" t="s">
        <v>435</v>
      </c>
      <c r="Q165" s="189" t="s">
        <v>349</v>
      </c>
      <c r="R165" s="4"/>
      <c r="S165" s="504" t="s">
        <v>64</v>
      </c>
      <c r="T165" s="189" t="s">
        <v>435</v>
      </c>
      <c r="U165" s="206" t="s">
        <v>982</v>
      </c>
      <c r="V165" s="206" t="s">
        <v>623</v>
      </c>
      <c r="W165" s="135" t="s">
        <v>267</v>
      </c>
      <c r="X165" s="4"/>
      <c r="Y165" s="4"/>
      <c r="Z165" s="4"/>
      <c r="AA165" s="4"/>
      <c r="AB165" s="4"/>
      <c r="AC165" s="4"/>
      <c r="AD165" s="4"/>
    </row>
    <row r="166">
      <c r="A166" s="504" t="s">
        <v>71</v>
      </c>
      <c r="B166" s="205" t="s">
        <v>887</v>
      </c>
      <c r="C166" s="165" t="s">
        <v>1028</v>
      </c>
      <c r="D166" s="221" t="s">
        <v>435</v>
      </c>
      <c r="E166" s="221" t="s">
        <v>435</v>
      </c>
      <c r="F166" s="4"/>
      <c r="G166" s="504" t="s">
        <v>71</v>
      </c>
      <c r="H166" s="142" t="s">
        <v>633</v>
      </c>
      <c r="I166" s="189" t="s">
        <v>167</v>
      </c>
      <c r="J166" s="189" t="s">
        <v>435</v>
      </c>
      <c r="K166" s="189" t="s">
        <v>598</v>
      </c>
      <c r="L166" s="4"/>
      <c r="M166" s="504" t="s">
        <v>71</v>
      </c>
      <c r="N166" s="205" t="s">
        <v>887</v>
      </c>
      <c r="O166" s="135" t="s">
        <v>783</v>
      </c>
      <c r="P166" s="189" t="s">
        <v>435</v>
      </c>
      <c r="Q166" s="469" t="s">
        <v>120</v>
      </c>
      <c r="R166" s="4"/>
      <c r="S166" s="504" t="s">
        <v>71</v>
      </c>
      <c r="T166" s="189" t="s">
        <v>435</v>
      </c>
      <c r="U166" s="135" t="s">
        <v>201</v>
      </c>
      <c r="V166" s="189" t="s">
        <v>435</v>
      </c>
      <c r="W166" s="135" t="s">
        <v>598</v>
      </c>
      <c r="X166" s="4"/>
      <c r="Y166" s="4"/>
      <c r="Z166" s="4"/>
      <c r="AA166" s="4"/>
      <c r="AB166" s="4"/>
      <c r="AC166" s="4"/>
      <c r="AD166" s="4"/>
    </row>
    <row r="167">
      <c r="A167" s="504" t="s">
        <v>80</v>
      </c>
      <c r="B167" s="205" t="s">
        <v>865</v>
      </c>
      <c r="C167" s="165" t="s">
        <v>912</v>
      </c>
      <c r="D167" s="221" t="s">
        <v>435</v>
      </c>
      <c r="E167" s="221" t="s">
        <v>435</v>
      </c>
      <c r="F167" s="4"/>
      <c r="G167" s="504" t="s">
        <v>80</v>
      </c>
      <c r="H167" s="189" t="s">
        <v>201</v>
      </c>
      <c r="I167" s="135" t="s">
        <v>840</v>
      </c>
      <c r="J167" s="189" t="s">
        <v>435</v>
      </c>
      <c r="K167" s="135" t="s">
        <v>982</v>
      </c>
      <c r="L167" s="4"/>
      <c r="M167" s="504" t="s">
        <v>80</v>
      </c>
      <c r="N167" s="189" t="s">
        <v>167</v>
      </c>
      <c r="O167" s="465" t="s">
        <v>840</v>
      </c>
      <c r="P167" s="189" t="s">
        <v>435</v>
      </c>
      <c r="Q167" s="189" t="s">
        <v>548</v>
      </c>
      <c r="R167" s="4"/>
      <c r="S167" s="504" t="s">
        <v>80</v>
      </c>
      <c r="T167" s="189" t="s">
        <v>435</v>
      </c>
      <c r="U167" s="206" t="s">
        <v>840</v>
      </c>
      <c r="V167" s="189" t="s">
        <v>435</v>
      </c>
      <c r="W167" s="189" t="s">
        <v>1164</v>
      </c>
      <c r="X167" s="4"/>
      <c r="Y167" s="4"/>
      <c r="Z167" s="4"/>
      <c r="AA167" s="4"/>
      <c r="AB167" s="4"/>
      <c r="AC167" s="4"/>
      <c r="AD167" s="4"/>
    </row>
    <row r="168">
      <c r="A168" s="504" t="s">
        <v>95</v>
      </c>
      <c r="B168" s="221" t="s">
        <v>435</v>
      </c>
      <c r="C168" s="221" t="s">
        <v>435</v>
      </c>
      <c r="D168" s="221" t="s">
        <v>435</v>
      </c>
      <c r="E168" s="221" t="s">
        <v>435</v>
      </c>
      <c r="F168" s="4"/>
      <c r="G168" s="504" t="s">
        <v>95</v>
      </c>
      <c r="H168" s="189" t="s">
        <v>435</v>
      </c>
      <c r="I168" s="469" t="s">
        <v>910</v>
      </c>
      <c r="J168" s="189" t="s">
        <v>435</v>
      </c>
      <c r="K168" s="189" t="s">
        <v>1329</v>
      </c>
      <c r="L168" s="4"/>
      <c r="M168" s="504" t="s">
        <v>95</v>
      </c>
      <c r="N168" s="189" t="s">
        <v>435</v>
      </c>
      <c r="O168" s="189" t="s">
        <v>435</v>
      </c>
      <c r="P168" s="189" t="s">
        <v>435</v>
      </c>
      <c r="Q168" s="189" t="s">
        <v>435</v>
      </c>
      <c r="R168" s="4"/>
      <c r="S168" s="504" t="s">
        <v>95</v>
      </c>
      <c r="T168" s="189" t="s">
        <v>435</v>
      </c>
      <c r="U168" s="135" t="s">
        <v>167</v>
      </c>
      <c r="V168" s="189" t="s">
        <v>435</v>
      </c>
      <c r="W168" s="189" t="s">
        <v>435</v>
      </c>
      <c r="X168" s="4"/>
      <c r="Y168" s="4"/>
      <c r="Z168" s="4"/>
      <c r="AA168" s="4"/>
      <c r="AB168" s="4"/>
      <c r="AC168" s="4"/>
      <c r="AD168" s="4"/>
    </row>
    <row r="169">
      <c r="A169" s="4"/>
      <c r="B169" s="52"/>
      <c r="C169" s="52"/>
      <c r="D169" s="52"/>
      <c r="E169" s="52"/>
      <c r="F169" s="4"/>
      <c r="G169" s="4"/>
      <c r="H169" s="52"/>
      <c r="I169" s="52"/>
      <c r="J169" s="52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52"/>
      <c r="C170" s="52"/>
      <c r="D170" s="52"/>
      <c r="E170" s="52"/>
      <c r="F170" s="4"/>
      <c r="G170" s="4"/>
      <c r="H170" s="52"/>
      <c r="I170" s="52"/>
      <c r="J170" s="52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52"/>
      <c r="C171" s="52"/>
      <c r="D171" s="52"/>
      <c r="E171" s="52"/>
      <c r="F171" s="4"/>
      <c r="G171" s="4"/>
      <c r="H171" s="52"/>
      <c r="I171" s="52"/>
      <c r="J171" s="52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52"/>
      <c r="C172" s="52"/>
      <c r="D172" s="52"/>
      <c r="E172" s="52"/>
      <c r="F172" s="4"/>
      <c r="G172" s="4"/>
      <c r="H172" s="52"/>
      <c r="I172" s="52"/>
      <c r="J172" s="52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52"/>
      <c r="C173" s="52"/>
      <c r="D173" s="52"/>
      <c r="E173" s="52"/>
      <c r="F173" s="4"/>
      <c r="G173" s="4"/>
      <c r="H173" s="52"/>
      <c r="I173" s="52"/>
      <c r="J173" s="52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52"/>
      <c r="C174" s="52"/>
      <c r="D174" s="52"/>
      <c r="E174" s="52"/>
      <c r="F174" s="4"/>
      <c r="G174" s="4"/>
      <c r="H174" s="52"/>
      <c r="I174" s="52"/>
      <c r="J174" s="52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52"/>
      <c r="C175" s="52"/>
      <c r="D175" s="52"/>
      <c r="E175" s="52"/>
      <c r="F175" s="4"/>
      <c r="G175" s="4"/>
      <c r="H175" s="52"/>
      <c r="I175" s="52"/>
      <c r="J175" s="52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52"/>
      <c r="C176" s="52"/>
      <c r="D176" s="52"/>
      <c r="E176" s="52"/>
      <c r="F176" s="4"/>
      <c r="G176" s="4"/>
      <c r="H176" s="52"/>
      <c r="I176" s="52"/>
      <c r="J176" s="52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52"/>
      <c r="C177" s="52"/>
      <c r="D177" s="52"/>
      <c r="E177" s="52"/>
      <c r="F177" s="4"/>
      <c r="G177" s="4"/>
      <c r="H177" s="52"/>
      <c r="I177" s="52"/>
      <c r="J177" s="52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52"/>
      <c r="C178" s="52"/>
      <c r="D178" s="52"/>
      <c r="E178" s="52"/>
      <c r="F178" s="4"/>
      <c r="G178" s="4"/>
      <c r="H178" s="52"/>
      <c r="I178" s="52"/>
      <c r="J178" s="52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52"/>
      <c r="C179" s="52"/>
      <c r="D179" s="52"/>
      <c r="E179" s="52"/>
      <c r="F179" s="4"/>
      <c r="G179" s="4"/>
      <c r="H179" s="52"/>
      <c r="I179" s="52"/>
      <c r="J179" s="52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52"/>
      <c r="C180" s="52"/>
      <c r="D180" s="52"/>
      <c r="E180" s="52"/>
      <c r="F180" s="4"/>
      <c r="G180" s="4"/>
      <c r="H180" s="52"/>
      <c r="I180" s="52"/>
      <c r="J180" s="52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52"/>
      <c r="C181" s="52"/>
      <c r="D181" s="52"/>
      <c r="E181" s="52"/>
      <c r="F181" s="4"/>
      <c r="G181" s="4"/>
      <c r="H181" s="52"/>
      <c r="I181" s="52"/>
      <c r="J181" s="52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52"/>
      <c r="C182" s="52"/>
      <c r="D182" s="52"/>
      <c r="E182" s="52"/>
      <c r="F182" s="4"/>
      <c r="G182" s="4"/>
      <c r="H182" s="52"/>
      <c r="I182" s="52"/>
      <c r="J182" s="52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52"/>
      <c r="C183" s="52"/>
      <c r="D183" s="52"/>
      <c r="E183" s="52"/>
      <c r="F183" s="4"/>
      <c r="G183" s="4"/>
      <c r="H183" s="52"/>
      <c r="I183" s="52"/>
      <c r="J183" s="52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52"/>
      <c r="C184" s="52"/>
      <c r="D184" s="52"/>
      <c r="E184" s="52"/>
      <c r="F184" s="4"/>
      <c r="G184" s="4"/>
      <c r="H184" s="52"/>
      <c r="I184" s="52"/>
      <c r="J184" s="52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52"/>
      <c r="C185" s="52"/>
      <c r="D185" s="52"/>
      <c r="E185" s="52"/>
      <c r="F185" s="4"/>
      <c r="G185" s="4"/>
      <c r="H185" s="52"/>
      <c r="I185" s="52"/>
      <c r="J185" s="52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52"/>
      <c r="C186" s="52"/>
      <c r="D186" s="52"/>
      <c r="E186" s="52"/>
      <c r="F186" s="4"/>
      <c r="G186" s="4"/>
      <c r="H186" s="52"/>
      <c r="I186" s="52"/>
      <c r="J186" s="52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52"/>
      <c r="C187" s="52"/>
      <c r="D187" s="52"/>
      <c r="E187" s="52"/>
      <c r="F187" s="4"/>
      <c r="G187" s="4"/>
      <c r="H187" s="52"/>
      <c r="I187" s="52"/>
      <c r="J187" s="52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52"/>
      <c r="C188" s="52"/>
      <c r="D188" s="52"/>
      <c r="E188" s="52"/>
      <c r="F188" s="4"/>
      <c r="G188" s="4"/>
      <c r="H188" s="52"/>
      <c r="I188" s="52"/>
      <c r="J188" s="52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52"/>
      <c r="C189" s="52"/>
      <c r="D189" s="52"/>
      <c r="E189" s="52"/>
      <c r="F189" s="4"/>
      <c r="G189" s="4"/>
      <c r="H189" s="52"/>
      <c r="I189" s="52"/>
      <c r="J189" s="52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52"/>
      <c r="C190" s="52"/>
      <c r="D190" s="52"/>
      <c r="E190" s="52"/>
      <c r="F190" s="4"/>
      <c r="G190" s="4"/>
      <c r="H190" s="52"/>
      <c r="I190" s="52"/>
      <c r="J190" s="52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52"/>
      <c r="C191" s="52"/>
      <c r="D191" s="52"/>
      <c r="E191" s="52"/>
      <c r="F191" s="4"/>
      <c r="G191" s="4"/>
      <c r="H191" s="52"/>
      <c r="I191" s="52"/>
      <c r="J191" s="52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52"/>
      <c r="C192" s="52"/>
      <c r="D192" s="52"/>
      <c r="E192" s="52"/>
      <c r="F192" s="4"/>
      <c r="G192" s="4"/>
      <c r="H192" s="52"/>
      <c r="I192" s="52"/>
      <c r="J192" s="52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52"/>
      <c r="C193" s="52"/>
      <c r="D193" s="52"/>
      <c r="E193" s="52"/>
      <c r="F193" s="4"/>
      <c r="G193" s="4"/>
      <c r="H193" s="52"/>
      <c r="I193" s="52"/>
      <c r="J193" s="52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52"/>
      <c r="C194" s="52"/>
      <c r="D194" s="52"/>
      <c r="E194" s="52"/>
      <c r="F194" s="4"/>
      <c r="G194" s="4"/>
      <c r="H194" s="52"/>
      <c r="I194" s="52"/>
      <c r="J194" s="52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52"/>
      <c r="C195" s="52"/>
      <c r="D195" s="52"/>
      <c r="E195" s="52"/>
      <c r="F195" s="4"/>
      <c r="G195" s="4"/>
      <c r="H195" s="52"/>
      <c r="I195" s="52"/>
      <c r="J195" s="52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52"/>
      <c r="C196" s="52"/>
      <c r="D196" s="52"/>
      <c r="E196" s="52"/>
      <c r="F196" s="4"/>
      <c r="G196" s="4"/>
      <c r="H196" s="52"/>
      <c r="I196" s="52"/>
      <c r="J196" s="52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52"/>
      <c r="C197" s="52"/>
      <c r="D197" s="52"/>
      <c r="E197" s="52"/>
      <c r="F197" s="4"/>
      <c r="G197" s="4"/>
      <c r="H197" s="52"/>
      <c r="I197" s="52"/>
      <c r="J197" s="52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52"/>
      <c r="C198" s="52"/>
      <c r="D198" s="52"/>
      <c r="E198" s="52"/>
      <c r="F198" s="4"/>
      <c r="G198" s="4"/>
      <c r="H198" s="52"/>
      <c r="I198" s="52"/>
      <c r="J198" s="52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52"/>
      <c r="C199" s="52"/>
      <c r="D199" s="52"/>
      <c r="E199" s="52"/>
      <c r="F199" s="4"/>
      <c r="G199" s="4"/>
      <c r="H199" s="52"/>
      <c r="I199" s="52"/>
      <c r="J199" s="52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52"/>
      <c r="C200" s="52"/>
      <c r="D200" s="52"/>
      <c r="E200" s="52"/>
      <c r="F200" s="4"/>
      <c r="G200" s="4"/>
      <c r="H200" s="52"/>
      <c r="I200" s="52"/>
      <c r="J200" s="52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52"/>
      <c r="C201" s="52"/>
      <c r="D201" s="52"/>
      <c r="E201" s="52"/>
      <c r="F201" s="4"/>
      <c r="G201" s="4"/>
      <c r="H201" s="52"/>
      <c r="I201" s="52"/>
      <c r="J201" s="52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52"/>
      <c r="C202" s="52"/>
      <c r="D202" s="52"/>
      <c r="E202" s="52"/>
      <c r="F202" s="4"/>
      <c r="G202" s="4"/>
      <c r="H202" s="52"/>
      <c r="I202" s="52"/>
      <c r="J202" s="52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52"/>
      <c r="C203" s="52"/>
      <c r="D203" s="52"/>
      <c r="E203" s="52"/>
      <c r="F203" s="4"/>
      <c r="G203" s="4"/>
      <c r="H203" s="52"/>
      <c r="I203" s="52"/>
      <c r="J203" s="52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52"/>
      <c r="C204" s="52"/>
      <c r="D204" s="52"/>
      <c r="E204" s="52"/>
      <c r="F204" s="4"/>
      <c r="G204" s="4"/>
      <c r="H204" s="52"/>
      <c r="I204" s="52"/>
      <c r="J204" s="52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52"/>
      <c r="C205" s="52"/>
      <c r="D205" s="52"/>
      <c r="E205" s="52"/>
      <c r="F205" s="4"/>
      <c r="G205" s="4"/>
      <c r="H205" s="52"/>
      <c r="I205" s="52"/>
      <c r="J205" s="52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52"/>
      <c r="C206" s="52"/>
      <c r="D206" s="52"/>
      <c r="E206" s="52"/>
      <c r="F206" s="4"/>
      <c r="G206" s="4"/>
      <c r="H206" s="52"/>
      <c r="I206" s="52"/>
      <c r="J206" s="52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52"/>
      <c r="C207" s="52"/>
      <c r="D207" s="52"/>
      <c r="E207" s="52"/>
      <c r="F207" s="4"/>
      <c r="G207" s="4"/>
      <c r="H207" s="52"/>
      <c r="I207" s="52"/>
      <c r="J207" s="52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52"/>
      <c r="C208" s="52"/>
      <c r="D208" s="52"/>
      <c r="E208" s="52"/>
      <c r="F208" s="4"/>
      <c r="G208" s="4"/>
      <c r="H208" s="52"/>
      <c r="I208" s="52"/>
      <c r="J208" s="52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52"/>
      <c r="C209" s="52"/>
      <c r="D209" s="52"/>
      <c r="E209" s="52"/>
      <c r="F209" s="4"/>
      <c r="G209" s="4"/>
      <c r="H209" s="52"/>
      <c r="I209" s="52"/>
      <c r="J209" s="52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52"/>
      <c r="C210" s="52"/>
      <c r="D210" s="52"/>
      <c r="E210" s="52"/>
      <c r="F210" s="4"/>
      <c r="G210" s="4"/>
      <c r="H210" s="52"/>
      <c r="I210" s="52"/>
      <c r="J210" s="52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52"/>
      <c r="C211" s="52"/>
      <c r="D211" s="52"/>
      <c r="E211" s="52"/>
      <c r="F211" s="4"/>
      <c r="G211" s="4"/>
      <c r="H211" s="52"/>
      <c r="I211" s="52"/>
      <c r="J211" s="52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52"/>
      <c r="C212" s="52"/>
      <c r="D212" s="52"/>
      <c r="E212" s="52"/>
      <c r="F212" s="4"/>
      <c r="G212" s="4"/>
      <c r="H212" s="52"/>
      <c r="I212" s="52"/>
      <c r="J212" s="52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52"/>
      <c r="C213" s="52"/>
      <c r="D213" s="52"/>
      <c r="E213" s="52"/>
      <c r="F213" s="4"/>
      <c r="G213" s="4"/>
      <c r="H213" s="52"/>
      <c r="I213" s="52"/>
      <c r="J213" s="52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52"/>
      <c r="C214" s="52"/>
      <c r="D214" s="52"/>
      <c r="E214" s="52"/>
      <c r="F214" s="4"/>
      <c r="G214" s="4"/>
      <c r="H214" s="52"/>
      <c r="I214" s="52"/>
      <c r="J214" s="52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52"/>
      <c r="C215" s="52"/>
      <c r="D215" s="52"/>
      <c r="E215" s="52"/>
      <c r="F215" s="4"/>
      <c r="G215" s="4"/>
      <c r="H215" s="52"/>
      <c r="I215" s="52"/>
      <c r="J215" s="52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52"/>
      <c r="C216" s="52"/>
      <c r="D216" s="52"/>
      <c r="E216" s="52"/>
      <c r="F216" s="4"/>
      <c r="G216" s="4"/>
      <c r="H216" s="52"/>
      <c r="I216" s="52"/>
      <c r="J216" s="52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52"/>
      <c r="C217" s="52"/>
      <c r="D217" s="52"/>
      <c r="E217" s="52"/>
      <c r="F217" s="4"/>
      <c r="G217" s="4"/>
      <c r="H217" s="52"/>
      <c r="I217" s="52"/>
      <c r="J217" s="52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52"/>
      <c r="C218" s="52"/>
      <c r="D218" s="52"/>
      <c r="E218" s="52"/>
      <c r="F218" s="4"/>
      <c r="G218" s="4"/>
      <c r="H218" s="52"/>
      <c r="I218" s="52"/>
      <c r="J218" s="52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52"/>
      <c r="C219" s="52"/>
      <c r="D219" s="52"/>
      <c r="E219" s="52"/>
      <c r="F219" s="4"/>
      <c r="G219" s="4"/>
      <c r="H219" s="52"/>
      <c r="I219" s="52"/>
      <c r="J219" s="52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52"/>
      <c r="C220" s="52"/>
      <c r="D220" s="52"/>
      <c r="E220" s="52"/>
      <c r="F220" s="4"/>
      <c r="G220" s="4"/>
      <c r="H220" s="52"/>
      <c r="I220" s="52"/>
      <c r="J220" s="52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52"/>
      <c r="C221" s="52"/>
      <c r="D221" s="52"/>
      <c r="E221" s="52"/>
      <c r="F221" s="4"/>
      <c r="G221" s="4"/>
      <c r="H221" s="52"/>
      <c r="I221" s="52"/>
      <c r="J221" s="52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52"/>
      <c r="C222" s="52"/>
      <c r="D222" s="52"/>
      <c r="E222" s="52"/>
      <c r="F222" s="4"/>
      <c r="G222" s="4"/>
      <c r="H222" s="52"/>
      <c r="I222" s="52"/>
      <c r="J222" s="52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52"/>
      <c r="C223" s="52"/>
      <c r="D223" s="52"/>
      <c r="E223" s="52"/>
      <c r="F223" s="4"/>
      <c r="G223" s="4"/>
      <c r="H223" s="52"/>
      <c r="I223" s="52"/>
      <c r="J223" s="52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52"/>
      <c r="C224" s="52"/>
      <c r="D224" s="52"/>
      <c r="E224" s="52"/>
      <c r="F224" s="4"/>
      <c r="G224" s="4"/>
      <c r="H224" s="52"/>
      <c r="I224" s="52"/>
      <c r="J224" s="52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52"/>
      <c r="C225" s="52"/>
      <c r="D225" s="52"/>
      <c r="E225" s="52"/>
      <c r="F225" s="4"/>
      <c r="G225" s="4"/>
      <c r="H225" s="52"/>
      <c r="I225" s="52"/>
      <c r="J225" s="52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52"/>
      <c r="C226" s="52"/>
      <c r="D226" s="52"/>
      <c r="E226" s="52"/>
      <c r="F226" s="4"/>
      <c r="G226" s="4"/>
      <c r="H226" s="52"/>
      <c r="I226" s="52"/>
      <c r="J226" s="52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52"/>
      <c r="C227" s="52"/>
      <c r="D227" s="52"/>
      <c r="E227" s="52"/>
      <c r="F227" s="4"/>
      <c r="G227" s="4"/>
      <c r="H227" s="52"/>
      <c r="I227" s="52"/>
      <c r="J227" s="52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52"/>
      <c r="C228" s="52"/>
      <c r="D228" s="52"/>
      <c r="E228" s="52"/>
      <c r="F228" s="4"/>
      <c r="G228" s="4"/>
      <c r="H228" s="52"/>
      <c r="I228" s="52"/>
      <c r="J228" s="52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52"/>
      <c r="C229" s="52"/>
      <c r="D229" s="52"/>
      <c r="E229" s="52"/>
      <c r="F229" s="4"/>
      <c r="G229" s="4"/>
      <c r="H229" s="52"/>
      <c r="I229" s="52"/>
      <c r="J229" s="52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52"/>
      <c r="C230" s="52"/>
      <c r="D230" s="52"/>
      <c r="E230" s="52"/>
      <c r="F230" s="4"/>
      <c r="G230" s="4"/>
      <c r="H230" s="52"/>
      <c r="I230" s="52"/>
      <c r="J230" s="52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52"/>
      <c r="C231" s="52"/>
      <c r="D231" s="52"/>
      <c r="E231" s="52"/>
      <c r="F231" s="4"/>
      <c r="G231" s="4"/>
      <c r="H231" s="52"/>
      <c r="I231" s="52"/>
      <c r="J231" s="52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52"/>
      <c r="C232" s="52"/>
      <c r="D232" s="52"/>
      <c r="E232" s="52"/>
      <c r="F232" s="4"/>
      <c r="G232" s="4"/>
      <c r="H232" s="52"/>
      <c r="I232" s="52"/>
      <c r="J232" s="52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52"/>
      <c r="C233" s="52"/>
      <c r="D233" s="52"/>
      <c r="E233" s="52"/>
      <c r="F233" s="4"/>
      <c r="G233" s="4"/>
      <c r="H233" s="52"/>
      <c r="I233" s="52"/>
      <c r="J233" s="52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52"/>
      <c r="C234" s="52"/>
      <c r="D234" s="52"/>
      <c r="E234" s="52"/>
      <c r="F234" s="4"/>
      <c r="G234" s="4"/>
      <c r="H234" s="52"/>
      <c r="I234" s="52"/>
      <c r="J234" s="52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52"/>
      <c r="C235" s="52"/>
      <c r="D235" s="52"/>
      <c r="E235" s="52"/>
      <c r="F235" s="4"/>
      <c r="G235" s="4"/>
      <c r="H235" s="52"/>
      <c r="I235" s="52"/>
      <c r="J235" s="52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52"/>
      <c r="C236" s="52"/>
      <c r="D236" s="52"/>
      <c r="E236" s="52"/>
      <c r="F236" s="4"/>
      <c r="G236" s="4"/>
      <c r="H236" s="52"/>
      <c r="I236" s="52"/>
      <c r="J236" s="52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52"/>
      <c r="C237" s="52"/>
      <c r="D237" s="52"/>
      <c r="E237" s="52"/>
      <c r="F237" s="4"/>
      <c r="G237" s="4"/>
      <c r="H237" s="52"/>
      <c r="I237" s="52"/>
      <c r="J237" s="52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52"/>
      <c r="C238" s="52"/>
      <c r="D238" s="52"/>
      <c r="E238" s="52"/>
      <c r="F238" s="4"/>
      <c r="G238" s="4"/>
      <c r="H238" s="52"/>
      <c r="I238" s="52"/>
      <c r="J238" s="52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52"/>
      <c r="C239" s="52"/>
      <c r="D239" s="52"/>
      <c r="E239" s="52"/>
      <c r="F239" s="4"/>
      <c r="G239" s="4"/>
      <c r="H239" s="52"/>
      <c r="I239" s="52"/>
      <c r="J239" s="52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52"/>
      <c r="C240" s="52"/>
      <c r="D240" s="52"/>
      <c r="E240" s="52"/>
      <c r="F240" s="4"/>
      <c r="G240" s="4"/>
      <c r="H240" s="52"/>
      <c r="I240" s="52"/>
      <c r="J240" s="52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52"/>
      <c r="C241" s="52"/>
      <c r="D241" s="52"/>
      <c r="E241" s="52"/>
      <c r="F241" s="4"/>
      <c r="G241" s="4"/>
      <c r="H241" s="52"/>
      <c r="I241" s="52"/>
      <c r="J241" s="52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52"/>
      <c r="C242" s="52"/>
      <c r="D242" s="52"/>
      <c r="E242" s="52"/>
      <c r="F242" s="4"/>
      <c r="G242" s="4"/>
      <c r="H242" s="52"/>
      <c r="I242" s="52"/>
      <c r="J242" s="52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52"/>
      <c r="C243" s="52"/>
      <c r="D243" s="52"/>
      <c r="E243" s="52"/>
      <c r="F243" s="4"/>
      <c r="G243" s="4"/>
      <c r="H243" s="52"/>
      <c r="I243" s="52"/>
      <c r="J243" s="52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52"/>
      <c r="C244" s="52"/>
      <c r="D244" s="52"/>
      <c r="E244" s="52"/>
      <c r="F244" s="4"/>
      <c r="G244" s="4"/>
      <c r="H244" s="52"/>
      <c r="I244" s="52"/>
      <c r="J244" s="52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52"/>
      <c r="C245" s="52"/>
      <c r="D245" s="52"/>
      <c r="E245" s="52"/>
      <c r="F245" s="4"/>
      <c r="G245" s="4"/>
      <c r="H245" s="52"/>
      <c r="I245" s="52"/>
      <c r="J245" s="52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52"/>
      <c r="C246" s="52"/>
      <c r="D246" s="52"/>
      <c r="E246" s="52"/>
      <c r="F246" s="4"/>
      <c r="G246" s="4"/>
      <c r="H246" s="52"/>
      <c r="I246" s="52"/>
      <c r="J246" s="52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52"/>
      <c r="C247" s="52"/>
      <c r="D247" s="52"/>
      <c r="E247" s="52"/>
      <c r="F247" s="4"/>
      <c r="G247" s="4"/>
      <c r="H247" s="52"/>
      <c r="I247" s="52"/>
      <c r="J247" s="52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52"/>
      <c r="C248" s="52"/>
      <c r="D248" s="52"/>
      <c r="E248" s="52"/>
      <c r="F248" s="4"/>
      <c r="G248" s="4"/>
      <c r="H248" s="52"/>
      <c r="I248" s="52"/>
      <c r="J248" s="52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52"/>
      <c r="C249" s="52"/>
      <c r="D249" s="52"/>
      <c r="E249" s="52"/>
      <c r="F249" s="4"/>
      <c r="G249" s="4"/>
      <c r="H249" s="52"/>
      <c r="I249" s="52"/>
      <c r="J249" s="52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52"/>
      <c r="C250" s="52"/>
      <c r="D250" s="52"/>
      <c r="E250" s="52"/>
      <c r="F250" s="4"/>
      <c r="G250" s="4"/>
      <c r="H250" s="52"/>
      <c r="I250" s="52"/>
      <c r="J250" s="52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52"/>
      <c r="C251" s="52"/>
      <c r="D251" s="52"/>
      <c r="E251" s="52"/>
      <c r="F251" s="4"/>
      <c r="G251" s="4"/>
      <c r="H251" s="52"/>
      <c r="I251" s="52"/>
      <c r="J251" s="52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52"/>
      <c r="C252" s="52"/>
      <c r="D252" s="52"/>
      <c r="E252" s="52"/>
      <c r="F252" s="4"/>
      <c r="G252" s="4"/>
      <c r="H252" s="52"/>
      <c r="I252" s="52"/>
      <c r="J252" s="52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52"/>
      <c r="C253" s="52"/>
      <c r="D253" s="52"/>
      <c r="E253" s="52"/>
      <c r="F253" s="4"/>
      <c r="G253" s="4"/>
      <c r="H253" s="52"/>
      <c r="I253" s="52"/>
      <c r="J253" s="52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52"/>
      <c r="C254" s="52"/>
      <c r="D254" s="52"/>
      <c r="E254" s="52"/>
      <c r="F254" s="4"/>
      <c r="G254" s="4"/>
      <c r="H254" s="52"/>
      <c r="I254" s="52"/>
      <c r="J254" s="52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52"/>
      <c r="C255" s="52"/>
      <c r="D255" s="52"/>
      <c r="E255" s="52"/>
      <c r="F255" s="4"/>
      <c r="G255" s="4"/>
      <c r="H255" s="52"/>
      <c r="I255" s="52"/>
      <c r="J255" s="52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52"/>
      <c r="C256" s="52"/>
      <c r="D256" s="52"/>
      <c r="E256" s="52"/>
      <c r="F256" s="4"/>
      <c r="G256" s="4"/>
      <c r="H256" s="52"/>
      <c r="I256" s="52"/>
      <c r="J256" s="52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52"/>
      <c r="C257" s="52"/>
      <c r="D257" s="52"/>
      <c r="E257" s="52"/>
      <c r="F257" s="4"/>
      <c r="G257" s="4"/>
      <c r="H257" s="52"/>
      <c r="I257" s="52"/>
      <c r="J257" s="52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52"/>
      <c r="C258" s="52"/>
      <c r="D258" s="52"/>
      <c r="E258" s="52"/>
      <c r="F258" s="4"/>
      <c r="G258" s="4"/>
      <c r="H258" s="52"/>
      <c r="I258" s="52"/>
      <c r="J258" s="52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52"/>
      <c r="C259" s="52"/>
      <c r="D259" s="52"/>
      <c r="E259" s="52"/>
      <c r="F259" s="4"/>
      <c r="G259" s="4"/>
      <c r="H259" s="52"/>
      <c r="I259" s="52"/>
      <c r="J259" s="52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52"/>
      <c r="C260" s="52"/>
      <c r="D260" s="52"/>
      <c r="E260" s="52"/>
      <c r="F260" s="4"/>
      <c r="G260" s="4"/>
      <c r="H260" s="52"/>
      <c r="I260" s="52"/>
      <c r="J260" s="52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52"/>
      <c r="C261" s="52"/>
      <c r="D261" s="52"/>
      <c r="E261" s="52"/>
      <c r="F261" s="4"/>
      <c r="G261" s="4"/>
      <c r="H261" s="52"/>
      <c r="I261" s="52"/>
      <c r="J261" s="52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52"/>
      <c r="C262" s="52"/>
      <c r="D262" s="52"/>
      <c r="E262" s="52"/>
      <c r="F262" s="4"/>
      <c r="G262" s="4"/>
      <c r="H262" s="52"/>
      <c r="I262" s="52"/>
      <c r="J262" s="52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52"/>
      <c r="C263" s="52"/>
      <c r="D263" s="52"/>
      <c r="E263" s="52"/>
      <c r="F263" s="4"/>
      <c r="G263" s="4"/>
      <c r="H263" s="52"/>
      <c r="I263" s="52"/>
      <c r="J263" s="52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52"/>
      <c r="C264" s="52"/>
      <c r="D264" s="52"/>
      <c r="E264" s="52"/>
      <c r="F264" s="4"/>
      <c r="G264" s="4"/>
      <c r="H264" s="52"/>
      <c r="I264" s="52"/>
      <c r="J264" s="52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52"/>
      <c r="C265" s="52"/>
      <c r="D265" s="52"/>
      <c r="E265" s="52"/>
      <c r="F265" s="4"/>
      <c r="G265" s="4"/>
      <c r="H265" s="52"/>
      <c r="I265" s="52"/>
      <c r="J265" s="52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52"/>
      <c r="C266" s="52"/>
      <c r="D266" s="52"/>
      <c r="E266" s="52"/>
      <c r="F266" s="4"/>
      <c r="G266" s="4"/>
      <c r="H266" s="52"/>
      <c r="I266" s="52"/>
      <c r="J266" s="52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52"/>
      <c r="C267" s="52"/>
      <c r="D267" s="52"/>
      <c r="E267" s="52"/>
      <c r="F267" s="4"/>
      <c r="G267" s="4"/>
      <c r="H267" s="52"/>
      <c r="I267" s="52"/>
      <c r="J267" s="52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52"/>
      <c r="C268" s="52"/>
      <c r="D268" s="52"/>
      <c r="E268" s="52"/>
      <c r="F268" s="4"/>
      <c r="G268" s="4"/>
      <c r="H268" s="52"/>
      <c r="I268" s="52"/>
      <c r="J268" s="52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52"/>
      <c r="C269" s="52"/>
      <c r="D269" s="52"/>
      <c r="E269" s="52"/>
      <c r="F269" s="4"/>
      <c r="G269" s="4"/>
      <c r="H269" s="52"/>
      <c r="I269" s="52"/>
      <c r="J269" s="52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52"/>
      <c r="C270" s="52"/>
      <c r="D270" s="52"/>
      <c r="E270" s="52"/>
      <c r="F270" s="4"/>
      <c r="G270" s="4"/>
      <c r="H270" s="52"/>
      <c r="I270" s="52"/>
      <c r="J270" s="52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52"/>
      <c r="C271" s="52"/>
      <c r="D271" s="52"/>
      <c r="E271" s="52"/>
      <c r="F271" s="4"/>
      <c r="G271" s="4"/>
      <c r="H271" s="52"/>
      <c r="I271" s="52"/>
      <c r="J271" s="52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52"/>
      <c r="C272" s="52"/>
      <c r="D272" s="52"/>
      <c r="E272" s="52"/>
      <c r="F272" s="4"/>
      <c r="G272" s="4"/>
      <c r="H272" s="52"/>
      <c r="I272" s="52"/>
      <c r="J272" s="52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52"/>
      <c r="C273" s="52"/>
      <c r="D273" s="52"/>
      <c r="E273" s="52"/>
      <c r="F273" s="4"/>
      <c r="G273" s="4"/>
      <c r="H273" s="52"/>
      <c r="I273" s="52"/>
      <c r="J273" s="52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52"/>
      <c r="C274" s="52"/>
      <c r="D274" s="52"/>
      <c r="E274" s="52"/>
      <c r="F274" s="4"/>
      <c r="G274" s="4"/>
      <c r="H274" s="52"/>
      <c r="I274" s="52"/>
      <c r="J274" s="52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52"/>
      <c r="C275" s="52"/>
      <c r="D275" s="52"/>
      <c r="E275" s="52"/>
      <c r="F275" s="4"/>
      <c r="G275" s="4"/>
      <c r="H275" s="52"/>
      <c r="I275" s="52"/>
      <c r="J275" s="52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52"/>
      <c r="C276" s="52"/>
      <c r="D276" s="52"/>
      <c r="E276" s="52"/>
      <c r="F276" s="4"/>
      <c r="G276" s="4"/>
      <c r="H276" s="52"/>
      <c r="I276" s="52"/>
      <c r="J276" s="52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52"/>
      <c r="C277" s="52"/>
      <c r="D277" s="52"/>
      <c r="E277" s="52"/>
      <c r="F277" s="4"/>
      <c r="G277" s="4"/>
      <c r="H277" s="52"/>
      <c r="I277" s="52"/>
      <c r="J277" s="52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52"/>
      <c r="C278" s="52"/>
      <c r="D278" s="52"/>
      <c r="E278" s="52"/>
      <c r="F278" s="4"/>
      <c r="G278" s="4"/>
      <c r="H278" s="52"/>
      <c r="I278" s="52"/>
      <c r="J278" s="52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52"/>
      <c r="C279" s="52"/>
      <c r="D279" s="52"/>
      <c r="E279" s="52"/>
      <c r="F279" s="4"/>
      <c r="G279" s="4"/>
      <c r="H279" s="52"/>
      <c r="I279" s="52"/>
      <c r="J279" s="52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52"/>
      <c r="C280" s="52"/>
      <c r="D280" s="52"/>
      <c r="E280" s="52"/>
      <c r="F280" s="4"/>
      <c r="G280" s="4"/>
      <c r="H280" s="52"/>
      <c r="I280" s="52"/>
      <c r="J280" s="52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52"/>
      <c r="C281" s="52"/>
      <c r="D281" s="52"/>
      <c r="E281" s="52"/>
      <c r="F281" s="4"/>
      <c r="G281" s="4"/>
      <c r="H281" s="52"/>
      <c r="I281" s="52"/>
      <c r="J281" s="52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52"/>
      <c r="C282" s="52"/>
      <c r="D282" s="52"/>
      <c r="E282" s="52"/>
      <c r="F282" s="4"/>
      <c r="G282" s="4"/>
      <c r="H282" s="52"/>
      <c r="I282" s="52"/>
      <c r="J282" s="52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52"/>
      <c r="C283" s="52"/>
      <c r="D283" s="52"/>
      <c r="E283" s="52"/>
      <c r="F283" s="4"/>
      <c r="G283" s="4"/>
      <c r="H283" s="52"/>
      <c r="I283" s="52"/>
      <c r="J283" s="52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52"/>
      <c r="C284" s="52"/>
      <c r="D284" s="52"/>
      <c r="E284" s="52"/>
      <c r="F284" s="4"/>
      <c r="G284" s="4"/>
      <c r="H284" s="52"/>
      <c r="I284" s="52"/>
      <c r="J284" s="52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52"/>
      <c r="C285" s="52"/>
      <c r="D285" s="52"/>
      <c r="E285" s="52"/>
      <c r="F285" s="4"/>
      <c r="G285" s="4"/>
      <c r="H285" s="52"/>
      <c r="I285" s="52"/>
      <c r="J285" s="52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52"/>
      <c r="C286" s="52"/>
      <c r="D286" s="52"/>
      <c r="E286" s="52"/>
      <c r="F286" s="4"/>
      <c r="G286" s="4"/>
      <c r="H286" s="52"/>
      <c r="I286" s="52"/>
      <c r="J286" s="52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52"/>
      <c r="C287" s="52"/>
      <c r="D287" s="52"/>
      <c r="E287" s="52"/>
      <c r="F287" s="4"/>
      <c r="G287" s="4"/>
      <c r="H287" s="52"/>
      <c r="I287" s="52"/>
      <c r="J287" s="52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52"/>
      <c r="C288" s="52"/>
      <c r="D288" s="52"/>
      <c r="E288" s="52"/>
      <c r="F288" s="4"/>
      <c r="G288" s="4"/>
      <c r="H288" s="52"/>
      <c r="I288" s="52"/>
      <c r="J288" s="52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52"/>
      <c r="C289" s="52"/>
      <c r="D289" s="52"/>
      <c r="E289" s="52"/>
      <c r="F289" s="4"/>
      <c r="G289" s="4"/>
      <c r="H289" s="52"/>
      <c r="I289" s="52"/>
      <c r="J289" s="52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52"/>
      <c r="C290" s="52"/>
      <c r="D290" s="52"/>
      <c r="E290" s="52"/>
      <c r="F290" s="4"/>
      <c r="G290" s="4"/>
      <c r="H290" s="52"/>
      <c r="I290" s="52"/>
      <c r="J290" s="52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52"/>
      <c r="C291" s="52"/>
      <c r="D291" s="52"/>
      <c r="E291" s="52"/>
      <c r="F291" s="4"/>
      <c r="G291" s="4"/>
      <c r="H291" s="52"/>
      <c r="I291" s="52"/>
      <c r="J291" s="52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52"/>
      <c r="C292" s="52"/>
      <c r="D292" s="52"/>
      <c r="E292" s="52"/>
      <c r="F292" s="4"/>
      <c r="G292" s="4"/>
      <c r="H292" s="52"/>
      <c r="I292" s="52"/>
      <c r="J292" s="52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52"/>
      <c r="C293" s="52"/>
      <c r="D293" s="52"/>
      <c r="E293" s="52"/>
      <c r="F293" s="4"/>
      <c r="G293" s="4"/>
      <c r="H293" s="52"/>
      <c r="I293" s="52"/>
      <c r="J293" s="52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52"/>
      <c r="C294" s="52"/>
      <c r="D294" s="52"/>
      <c r="E294" s="52"/>
      <c r="F294" s="4"/>
      <c r="G294" s="4"/>
      <c r="H294" s="52"/>
      <c r="I294" s="52"/>
      <c r="J294" s="52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52"/>
      <c r="C295" s="52"/>
      <c r="D295" s="52"/>
      <c r="E295" s="52"/>
      <c r="F295" s="4"/>
      <c r="G295" s="4"/>
      <c r="H295" s="52"/>
      <c r="I295" s="52"/>
      <c r="J295" s="52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52"/>
      <c r="C296" s="52"/>
      <c r="D296" s="52"/>
      <c r="E296" s="52"/>
      <c r="F296" s="4"/>
      <c r="G296" s="4"/>
      <c r="H296" s="52"/>
      <c r="I296" s="52"/>
      <c r="J296" s="52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52"/>
      <c r="C297" s="52"/>
      <c r="D297" s="52"/>
      <c r="E297" s="52"/>
      <c r="F297" s="4"/>
      <c r="G297" s="4"/>
      <c r="H297" s="52"/>
      <c r="I297" s="52"/>
      <c r="J297" s="52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52"/>
      <c r="C298" s="52"/>
      <c r="D298" s="52"/>
      <c r="E298" s="52"/>
      <c r="F298" s="4"/>
      <c r="G298" s="4"/>
      <c r="H298" s="52"/>
      <c r="I298" s="52"/>
      <c r="J298" s="52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52"/>
      <c r="C299" s="52"/>
      <c r="D299" s="52"/>
      <c r="E299" s="52"/>
      <c r="F299" s="4"/>
      <c r="G299" s="4"/>
      <c r="H299" s="52"/>
      <c r="I299" s="52"/>
      <c r="J299" s="52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52"/>
      <c r="C300" s="52"/>
      <c r="D300" s="52"/>
      <c r="E300" s="52"/>
      <c r="F300" s="4"/>
      <c r="G300" s="4"/>
      <c r="H300" s="52"/>
      <c r="I300" s="52"/>
      <c r="J300" s="52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52"/>
      <c r="C301" s="52"/>
      <c r="D301" s="52"/>
      <c r="E301" s="52"/>
      <c r="F301" s="4"/>
      <c r="G301" s="4"/>
      <c r="H301" s="52"/>
      <c r="I301" s="52"/>
      <c r="J301" s="52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52"/>
      <c r="C302" s="52"/>
      <c r="D302" s="52"/>
      <c r="E302" s="52"/>
      <c r="F302" s="4"/>
      <c r="G302" s="4"/>
      <c r="H302" s="52"/>
      <c r="I302" s="52"/>
      <c r="J302" s="52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52"/>
      <c r="C303" s="52"/>
      <c r="D303" s="52"/>
      <c r="E303" s="52"/>
      <c r="F303" s="4"/>
      <c r="G303" s="4"/>
      <c r="H303" s="52"/>
      <c r="I303" s="52"/>
      <c r="J303" s="52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52"/>
      <c r="C304" s="52"/>
      <c r="D304" s="52"/>
      <c r="E304" s="52"/>
      <c r="F304" s="4"/>
      <c r="G304" s="4"/>
      <c r="H304" s="52"/>
      <c r="I304" s="52"/>
      <c r="J304" s="52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52"/>
      <c r="C305" s="52"/>
      <c r="D305" s="52"/>
      <c r="E305" s="52"/>
      <c r="F305" s="4"/>
      <c r="G305" s="4"/>
      <c r="H305" s="52"/>
      <c r="I305" s="52"/>
      <c r="J305" s="52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52"/>
      <c r="C306" s="52"/>
      <c r="D306" s="52"/>
      <c r="E306" s="52"/>
      <c r="F306" s="4"/>
      <c r="G306" s="4"/>
      <c r="H306" s="52"/>
      <c r="I306" s="52"/>
      <c r="J306" s="52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52"/>
      <c r="C307" s="52"/>
      <c r="D307" s="52"/>
      <c r="E307" s="52"/>
      <c r="F307" s="4"/>
      <c r="G307" s="4"/>
      <c r="H307" s="52"/>
      <c r="I307" s="52"/>
      <c r="J307" s="52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52"/>
      <c r="C308" s="52"/>
      <c r="D308" s="52"/>
      <c r="E308" s="52"/>
      <c r="F308" s="4"/>
      <c r="G308" s="4"/>
      <c r="H308" s="52"/>
      <c r="I308" s="52"/>
      <c r="J308" s="52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52"/>
      <c r="C309" s="52"/>
      <c r="D309" s="52"/>
      <c r="E309" s="52"/>
      <c r="F309" s="4"/>
      <c r="G309" s="4"/>
      <c r="H309" s="52"/>
      <c r="I309" s="52"/>
      <c r="J309" s="52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52"/>
      <c r="C310" s="52"/>
      <c r="D310" s="52"/>
      <c r="E310" s="52"/>
      <c r="F310" s="4"/>
      <c r="G310" s="4"/>
      <c r="H310" s="52"/>
      <c r="I310" s="52"/>
      <c r="J310" s="52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52"/>
      <c r="C311" s="52"/>
      <c r="D311" s="52"/>
      <c r="E311" s="52"/>
      <c r="F311" s="4"/>
      <c r="G311" s="4"/>
      <c r="H311" s="52"/>
      <c r="I311" s="52"/>
      <c r="J311" s="52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52"/>
      <c r="C312" s="52"/>
      <c r="D312" s="52"/>
      <c r="E312" s="52"/>
      <c r="F312" s="4"/>
      <c r="G312" s="4"/>
      <c r="H312" s="52"/>
      <c r="I312" s="52"/>
      <c r="J312" s="52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52"/>
      <c r="C313" s="52"/>
      <c r="D313" s="52"/>
      <c r="E313" s="52"/>
      <c r="F313" s="4"/>
      <c r="G313" s="4"/>
      <c r="H313" s="52"/>
      <c r="I313" s="52"/>
      <c r="J313" s="52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52"/>
      <c r="C314" s="52"/>
      <c r="D314" s="52"/>
      <c r="E314" s="52"/>
      <c r="F314" s="4"/>
      <c r="G314" s="4"/>
      <c r="H314" s="52"/>
      <c r="I314" s="52"/>
      <c r="J314" s="52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52"/>
      <c r="C315" s="52"/>
      <c r="D315" s="52"/>
      <c r="E315" s="52"/>
      <c r="F315" s="4"/>
      <c r="G315" s="4"/>
      <c r="H315" s="52"/>
      <c r="I315" s="52"/>
      <c r="J315" s="52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52"/>
      <c r="C316" s="52"/>
      <c r="D316" s="52"/>
      <c r="E316" s="52"/>
      <c r="F316" s="4"/>
      <c r="G316" s="4"/>
      <c r="H316" s="52"/>
      <c r="I316" s="52"/>
      <c r="J316" s="52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52"/>
      <c r="C317" s="52"/>
      <c r="D317" s="52"/>
      <c r="E317" s="52"/>
      <c r="F317" s="4"/>
      <c r="G317" s="4"/>
      <c r="H317" s="52"/>
      <c r="I317" s="52"/>
      <c r="J317" s="52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52"/>
      <c r="C318" s="52"/>
      <c r="D318" s="52"/>
      <c r="E318" s="52"/>
      <c r="F318" s="4"/>
      <c r="G318" s="4"/>
      <c r="H318" s="52"/>
      <c r="I318" s="52"/>
      <c r="J318" s="52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52"/>
      <c r="C319" s="52"/>
      <c r="D319" s="52"/>
      <c r="E319" s="52"/>
      <c r="F319" s="4"/>
      <c r="G319" s="4"/>
      <c r="H319" s="52"/>
      <c r="I319" s="52"/>
      <c r="J319" s="52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52"/>
      <c r="C320" s="52"/>
      <c r="D320" s="52"/>
      <c r="E320" s="52"/>
      <c r="F320" s="4"/>
      <c r="G320" s="4"/>
      <c r="H320" s="52"/>
      <c r="I320" s="52"/>
      <c r="J320" s="52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52"/>
      <c r="C321" s="52"/>
      <c r="D321" s="52"/>
      <c r="E321" s="52"/>
      <c r="F321" s="4"/>
      <c r="G321" s="4"/>
      <c r="H321" s="52"/>
      <c r="I321" s="52"/>
      <c r="J321" s="52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52"/>
      <c r="C322" s="52"/>
      <c r="D322" s="52"/>
      <c r="E322" s="52"/>
      <c r="F322" s="4"/>
      <c r="G322" s="4"/>
      <c r="H322" s="52"/>
      <c r="I322" s="52"/>
      <c r="J322" s="52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52"/>
      <c r="C323" s="52"/>
      <c r="D323" s="52"/>
      <c r="E323" s="52"/>
      <c r="F323" s="4"/>
      <c r="G323" s="4"/>
      <c r="H323" s="52"/>
      <c r="I323" s="52"/>
      <c r="J323" s="52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52"/>
      <c r="C324" s="52"/>
      <c r="D324" s="52"/>
      <c r="E324" s="52"/>
      <c r="F324" s="4"/>
      <c r="G324" s="4"/>
      <c r="H324" s="52"/>
      <c r="I324" s="52"/>
      <c r="J324" s="52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52"/>
      <c r="C325" s="52"/>
      <c r="D325" s="52"/>
      <c r="E325" s="52"/>
      <c r="F325" s="4"/>
      <c r="G325" s="4"/>
      <c r="H325" s="52"/>
      <c r="I325" s="52"/>
      <c r="J325" s="52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52"/>
      <c r="C326" s="52"/>
      <c r="D326" s="52"/>
      <c r="E326" s="52"/>
      <c r="F326" s="4"/>
      <c r="G326" s="4"/>
      <c r="H326" s="52"/>
      <c r="I326" s="52"/>
      <c r="J326" s="52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52"/>
      <c r="C327" s="52"/>
      <c r="D327" s="52"/>
      <c r="E327" s="52"/>
      <c r="F327" s="4"/>
      <c r="G327" s="4"/>
      <c r="H327" s="52"/>
      <c r="I327" s="52"/>
      <c r="J327" s="52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52"/>
      <c r="C328" s="52"/>
      <c r="D328" s="52"/>
      <c r="E328" s="52"/>
      <c r="F328" s="4"/>
      <c r="G328" s="4"/>
      <c r="H328" s="52"/>
      <c r="I328" s="52"/>
      <c r="J328" s="52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52"/>
      <c r="C329" s="52"/>
      <c r="D329" s="52"/>
      <c r="E329" s="52"/>
      <c r="F329" s="4"/>
      <c r="G329" s="4"/>
      <c r="H329" s="52"/>
      <c r="I329" s="52"/>
      <c r="J329" s="52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52"/>
      <c r="C330" s="52"/>
      <c r="D330" s="52"/>
      <c r="E330" s="52"/>
      <c r="F330" s="4"/>
      <c r="G330" s="4"/>
      <c r="H330" s="52"/>
      <c r="I330" s="52"/>
      <c r="J330" s="52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52"/>
      <c r="C331" s="52"/>
      <c r="D331" s="52"/>
      <c r="E331" s="52"/>
      <c r="F331" s="4"/>
      <c r="G331" s="4"/>
      <c r="H331" s="52"/>
      <c r="I331" s="52"/>
      <c r="J331" s="52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52"/>
      <c r="C332" s="52"/>
      <c r="D332" s="52"/>
      <c r="E332" s="52"/>
      <c r="F332" s="4"/>
      <c r="G332" s="4"/>
      <c r="H332" s="52"/>
      <c r="I332" s="52"/>
      <c r="J332" s="52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52"/>
      <c r="C333" s="52"/>
      <c r="D333" s="52"/>
      <c r="E333" s="52"/>
      <c r="F333" s="4"/>
      <c r="G333" s="4"/>
      <c r="H333" s="52"/>
      <c r="I333" s="52"/>
      <c r="J333" s="52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52"/>
      <c r="C334" s="52"/>
      <c r="D334" s="52"/>
      <c r="E334" s="52"/>
      <c r="F334" s="4"/>
      <c r="G334" s="4"/>
      <c r="H334" s="52"/>
      <c r="I334" s="52"/>
      <c r="J334" s="52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52"/>
      <c r="C335" s="52"/>
      <c r="D335" s="52"/>
      <c r="E335" s="52"/>
      <c r="F335" s="4"/>
      <c r="G335" s="4"/>
      <c r="H335" s="52"/>
      <c r="I335" s="52"/>
      <c r="J335" s="52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52"/>
      <c r="C336" s="52"/>
      <c r="D336" s="52"/>
      <c r="E336" s="52"/>
      <c r="F336" s="4"/>
      <c r="G336" s="4"/>
      <c r="H336" s="52"/>
      <c r="I336" s="52"/>
      <c r="J336" s="52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52"/>
      <c r="C337" s="52"/>
      <c r="D337" s="52"/>
      <c r="E337" s="52"/>
      <c r="F337" s="4"/>
      <c r="G337" s="4"/>
      <c r="H337" s="52"/>
      <c r="I337" s="52"/>
      <c r="J337" s="52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52"/>
      <c r="C338" s="52"/>
      <c r="D338" s="52"/>
      <c r="E338" s="52"/>
      <c r="F338" s="4"/>
      <c r="G338" s="4"/>
      <c r="H338" s="52"/>
      <c r="I338" s="52"/>
      <c r="J338" s="52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52"/>
      <c r="C339" s="52"/>
      <c r="D339" s="52"/>
      <c r="E339" s="52"/>
      <c r="F339" s="4"/>
      <c r="G339" s="4"/>
      <c r="H339" s="52"/>
      <c r="I339" s="52"/>
      <c r="J339" s="52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52"/>
      <c r="C340" s="52"/>
      <c r="D340" s="52"/>
      <c r="E340" s="52"/>
      <c r="F340" s="4"/>
      <c r="G340" s="4"/>
      <c r="H340" s="52"/>
      <c r="I340" s="52"/>
      <c r="J340" s="52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52"/>
      <c r="C341" s="52"/>
      <c r="D341" s="52"/>
      <c r="E341" s="52"/>
      <c r="F341" s="4"/>
      <c r="G341" s="4"/>
      <c r="H341" s="52"/>
      <c r="I341" s="52"/>
      <c r="J341" s="52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52"/>
      <c r="C342" s="52"/>
      <c r="D342" s="52"/>
      <c r="E342" s="52"/>
      <c r="F342" s="4"/>
      <c r="G342" s="4"/>
      <c r="H342" s="52"/>
      <c r="I342" s="52"/>
      <c r="J342" s="52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52"/>
      <c r="C343" s="52"/>
      <c r="D343" s="52"/>
      <c r="E343" s="52"/>
      <c r="F343" s="4"/>
      <c r="G343" s="4"/>
      <c r="H343" s="52"/>
      <c r="I343" s="52"/>
      <c r="J343" s="52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52"/>
      <c r="C344" s="52"/>
      <c r="D344" s="52"/>
      <c r="E344" s="52"/>
      <c r="F344" s="4"/>
      <c r="G344" s="4"/>
      <c r="H344" s="52"/>
      <c r="I344" s="52"/>
      <c r="J344" s="52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52"/>
      <c r="C345" s="52"/>
      <c r="D345" s="52"/>
      <c r="E345" s="52"/>
      <c r="F345" s="4"/>
      <c r="G345" s="4"/>
      <c r="H345" s="52"/>
      <c r="I345" s="52"/>
      <c r="J345" s="52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52"/>
      <c r="C346" s="52"/>
      <c r="D346" s="52"/>
      <c r="E346" s="52"/>
      <c r="F346" s="4"/>
      <c r="G346" s="4"/>
      <c r="H346" s="52"/>
      <c r="I346" s="52"/>
      <c r="J346" s="52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52"/>
      <c r="C347" s="52"/>
      <c r="D347" s="52"/>
      <c r="E347" s="52"/>
      <c r="F347" s="4"/>
      <c r="G347" s="4"/>
      <c r="H347" s="52"/>
      <c r="I347" s="52"/>
      <c r="J347" s="52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52"/>
      <c r="C348" s="52"/>
      <c r="D348" s="52"/>
      <c r="E348" s="52"/>
      <c r="F348" s="4"/>
      <c r="G348" s="4"/>
      <c r="H348" s="52"/>
      <c r="I348" s="52"/>
      <c r="J348" s="52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52"/>
      <c r="C349" s="52"/>
      <c r="D349" s="52"/>
      <c r="E349" s="52"/>
      <c r="F349" s="4"/>
      <c r="G349" s="4"/>
      <c r="H349" s="52"/>
      <c r="I349" s="52"/>
      <c r="J349" s="52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52"/>
      <c r="C350" s="52"/>
      <c r="D350" s="52"/>
      <c r="E350" s="52"/>
      <c r="F350" s="4"/>
      <c r="G350" s="4"/>
      <c r="H350" s="52"/>
      <c r="I350" s="52"/>
      <c r="J350" s="52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52"/>
      <c r="C351" s="52"/>
      <c r="D351" s="52"/>
      <c r="E351" s="52"/>
      <c r="F351" s="4"/>
      <c r="G351" s="4"/>
      <c r="H351" s="52"/>
      <c r="I351" s="52"/>
      <c r="J351" s="52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52"/>
      <c r="C352" s="52"/>
      <c r="D352" s="52"/>
      <c r="E352" s="52"/>
      <c r="F352" s="4"/>
      <c r="G352" s="4"/>
      <c r="H352" s="52"/>
      <c r="I352" s="52"/>
      <c r="J352" s="52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52"/>
      <c r="C353" s="52"/>
      <c r="D353" s="52"/>
      <c r="E353" s="52"/>
      <c r="F353" s="4"/>
      <c r="G353" s="4"/>
      <c r="H353" s="52"/>
      <c r="I353" s="52"/>
      <c r="J353" s="52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52"/>
      <c r="C354" s="52"/>
      <c r="D354" s="52"/>
      <c r="E354" s="52"/>
      <c r="F354" s="4"/>
      <c r="G354" s="4"/>
      <c r="H354" s="52"/>
      <c r="I354" s="52"/>
      <c r="J354" s="52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52"/>
      <c r="C355" s="52"/>
      <c r="D355" s="52"/>
      <c r="E355" s="52"/>
      <c r="F355" s="4"/>
      <c r="G355" s="4"/>
      <c r="H355" s="52"/>
      <c r="I355" s="52"/>
      <c r="J355" s="52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52"/>
      <c r="C356" s="52"/>
      <c r="D356" s="52"/>
      <c r="E356" s="52"/>
      <c r="F356" s="4"/>
      <c r="G356" s="4"/>
      <c r="H356" s="52"/>
      <c r="I356" s="52"/>
      <c r="J356" s="52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52"/>
      <c r="C357" s="52"/>
      <c r="D357" s="52"/>
      <c r="E357" s="52"/>
      <c r="F357" s="4"/>
      <c r="G357" s="4"/>
      <c r="H357" s="52"/>
      <c r="I357" s="52"/>
      <c r="J357" s="52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52"/>
      <c r="C358" s="52"/>
      <c r="D358" s="52"/>
      <c r="E358" s="52"/>
      <c r="F358" s="4"/>
      <c r="G358" s="4"/>
      <c r="H358" s="52"/>
      <c r="I358" s="52"/>
      <c r="J358" s="52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52"/>
      <c r="C359" s="52"/>
      <c r="D359" s="52"/>
      <c r="E359" s="52"/>
      <c r="F359" s="4"/>
      <c r="G359" s="4"/>
      <c r="H359" s="52"/>
      <c r="I359" s="52"/>
      <c r="J359" s="52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52"/>
      <c r="C360" s="52"/>
      <c r="D360" s="52"/>
      <c r="E360" s="52"/>
      <c r="F360" s="4"/>
      <c r="G360" s="4"/>
      <c r="H360" s="52"/>
      <c r="I360" s="52"/>
      <c r="J360" s="52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52"/>
      <c r="C361" s="52"/>
      <c r="D361" s="52"/>
      <c r="E361" s="52"/>
      <c r="F361" s="4"/>
      <c r="G361" s="4"/>
      <c r="H361" s="52"/>
      <c r="I361" s="52"/>
      <c r="J361" s="52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52"/>
      <c r="C362" s="52"/>
      <c r="D362" s="52"/>
      <c r="E362" s="52"/>
      <c r="F362" s="4"/>
      <c r="G362" s="4"/>
      <c r="H362" s="52"/>
      <c r="I362" s="52"/>
      <c r="J362" s="52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52"/>
      <c r="C363" s="52"/>
      <c r="D363" s="52"/>
      <c r="E363" s="52"/>
      <c r="F363" s="4"/>
      <c r="G363" s="4"/>
      <c r="H363" s="52"/>
      <c r="I363" s="52"/>
      <c r="J363" s="52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52"/>
      <c r="C364" s="52"/>
      <c r="D364" s="52"/>
      <c r="E364" s="52"/>
      <c r="F364" s="4"/>
      <c r="G364" s="4"/>
      <c r="H364" s="52"/>
      <c r="I364" s="52"/>
      <c r="J364" s="52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52"/>
      <c r="C365" s="52"/>
      <c r="D365" s="52"/>
      <c r="E365" s="52"/>
      <c r="F365" s="4"/>
      <c r="G365" s="4"/>
      <c r="H365" s="52"/>
      <c r="I365" s="52"/>
      <c r="J365" s="52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52"/>
      <c r="C366" s="52"/>
      <c r="D366" s="52"/>
      <c r="E366" s="52"/>
      <c r="F366" s="4"/>
      <c r="G366" s="4"/>
      <c r="H366" s="52"/>
      <c r="I366" s="52"/>
      <c r="J366" s="52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52"/>
      <c r="C367" s="52"/>
      <c r="D367" s="52"/>
      <c r="E367" s="52"/>
      <c r="F367" s="4"/>
      <c r="G367" s="4"/>
      <c r="H367" s="52"/>
      <c r="I367" s="52"/>
      <c r="J367" s="52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52"/>
      <c r="C368" s="52"/>
      <c r="D368" s="52"/>
      <c r="E368" s="52"/>
      <c r="F368" s="4"/>
      <c r="G368" s="4"/>
      <c r="H368" s="52"/>
      <c r="I368" s="52"/>
      <c r="J368" s="52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52"/>
      <c r="C369" s="52"/>
      <c r="D369" s="52"/>
      <c r="E369" s="52"/>
      <c r="F369" s="4"/>
      <c r="G369" s="4"/>
      <c r="H369" s="52"/>
      <c r="I369" s="52"/>
      <c r="J369" s="52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52"/>
      <c r="C370" s="52"/>
      <c r="D370" s="52"/>
      <c r="E370" s="52"/>
      <c r="F370" s="4"/>
      <c r="G370" s="4"/>
      <c r="H370" s="52"/>
      <c r="I370" s="52"/>
      <c r="J370" s="52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52"/>
      <c r="C371" s="52"/>
      <c r="D371" s="52"/>
      <c r="E371" s="52"/>
      <c r="F371" s="4"/>
      <c r="G371" s="4"/>
      <c r="H371" s="52"/>
      <c r="I371" s="52"/>
      <c r="J371" s="52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52"/>
      <c r="C372" s="52"/>
      <c r="D372" s="52"/>
      <c r="E372" s="52"/>
      <c r="F372" s="4"/>
      <c r="G372" s="4"/>
      <c r="H372" s="52"/>
      <c r="I372" s="52"/>
      <c r="J372" s="52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52"/>
      <c r="C373" s="52"/>
      <c r="D373" s="52"/>
      <c r="E373" s="52"/>
      <c r="F373" s="4"/>
      <c r="G373" s="4"/>
      <c r="H373" s="52"/>
      <c r="I373" s="52"/>
      <c r="J373" s="52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52"/>
      <c r="C374" s="52"/>
      <c r="D374" s="52"/>
      <c r="E374" s="52"/>
      <c r="F374" s="4"/>
      <c r="G374" s="4"/>
      <c r="H374" s="52"/>
      <c r="I374" s="52"/>
      <c r="J374" s="52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52"/>
      <c r="C375" s="52"/>
      <c r="D375" s="52"/>
      <c r="E375" s="52"/>
      <c r="F375" s="4"/>
      <c r="G375" s="4"/>
      <c r="H375" s="52"/>
      <c r="I375" s="52"/>
      <c r="J375" s="52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52"/>
      <c r="C376" s="52"/>
      <c r="D376" s="52"/>
      <c r="E376" s="52"/>
      <c r="F376" s="4"/>
      <c r="G376" s="4"/>
      <c r="H376" s="52"/>
      <c r="I376" s="52"/>
      <c r="J376" s="52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52"/>
      <c r="C377" s="52"/>
      <c r="D377" s="52"/>
      <c r="E377" s="52"/>
      <c r="F377" s="4"/>
      <c r="G377" s="4"/>
      <c r="H377" s="52"/>
      <c r="I377" s="52"/>
      <c r="J377" s="52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52"/>
      <c r="C378" s="52"/>
      <c r="D378" s="52"/>
      <c r="E378" s="52"/>
      <c r="F378" s="4"/>
      <c r="G378" s="4"/>
      <c r="H378" s="52"/>
      <c r="I378" s="52"/>
      <c r="J378" s="52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52"/>
      <c r="C379" s="52"/>
      <c r="D379" s="52"/>
      <c r="E379" s="52"/>
      <c r="F379" s="4"/>
      <c r="G379" s="4"/>
      <c r="H379" s="52"/>
      <c r="I379" s="52"/>
      <c r="J379" s="52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52"/>
      <c r="C380" s="52"/>
      <c r="D380" s="52"/>
      <c r="E380" s="52"/>
      <c r="F380" s="4"/>
      <c r="G380" s="4"/>
      <c r="H380" s="52"/>
      <c r="I380" s="52"/>
      <c r="J380" s="52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52"/>
      <c r="C381" s="52"/>
      <c r="D381" s="52"/>
      <c r="E381" s="52"/>
      <c r="F381" s="4"/>
      <c r="G381" s="4"/>
      <c r="H381" s="52"/>
      <c r="I381" s="52"/>
      <c r="J381" s="52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52"/>
      <c r="C382" s="52"/>
      <c r="D382" s="52"/>
      <c r="E382" s="52"/>
      <c r="F382" s="4"/>
      <c r="G382" s="4"/>
      <c r="H382" s="52"/>
      <c r="I382" s="52"/>
      <c r="J382" s="52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52"/>
      <c r="C383" s="52"/>
      <c r="D383" s="52"/>
      <c r="E383" s="52"/>
      <c r="F383" s="4"/>
      <c r="G383" s="4"/>
      <c r="H383" s="52"/>
      <c r="I383" s="52"/>
      <c r="J383" s="52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52"/>
      <c r="C384" s="52"/>
      <c r="D384" s="52"/>
      <c r="E384" s="52"/>
      <c r="F384" s="4"/>
      <c r="G384" s="4"/>
      <c r="H384" s="52"/>
      <c r="I384" s="52"/>
      <c r="J384" s="52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52"/>
      <c r="C385" s="52"/>
      <c r="D385" s="52"/>
      <c r="E385" s="52"/>
      <c r="F385" s="4"/>
      <c r="G385" s="4"/>
      <c r="H385" s="52"/>
      <c r="I385" s="52"/>
      <c r="J385" s="52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52"/>
      <c r="C386" s="52"/>
      <c r="D386" s="52"/>
      <c r="E386" s="52"/>
      <c r="F386" s="4"/>
      <c r="G386" s="4"/>
      <c r="H386" s="52"/>
      <c r="I386" s="52"/>
      <c r="J386" s="52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52"/>
      <c r="C387" s="52"/>
      <c r="D387" s="52"/>
      <c r="E387" s="52"/>
      <c r="F387" s="4"/>
      <c r="G387" s="4"/>
      <c r="H387" s="52"/>
      <c r="I387" s="52"/>
      <c r="J387" s="52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52"/>
      <c r="C388" s="52"/>
      <c r="D388" s="52"/>
      <c r="E388" s="52"/>
      <c r="F388" s="4"/>
      <c r="G388" s="4"/>
      <c r="H388" s="52"/>
      <c r="I388" s="52"/>
      <c r="J388" s="52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52"/>
      <c r="C389" s="52"/>
      <c r="D389" s="52"/>
      <c r="E389" s="52"/>
      <c r="F389" s="4"/>
      <c r="G389" s="4"/>
      <c r="H389" s="52"/>
      <c r="I389" s="52"/>
      <c r="J389" s="52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52"/>
      <c r="C390" s="52"/>
      <c r="D390" s="52"/>
      <c r="E390" s="52"/>
      <c r="F390" s="4"/>
      <c r="G390" s="4"/>
      <c r="H390" s="52"/>
      <c r="I390" s="52"/>
      <c r="J390" s="52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52"/>
      <c r="C391" s="52"/>
      <c r="D391" s="52"/>
      <c r="E391" s="52"/>
      <c r="F391" s="4"/>
      <c r="G391" s="4"/>
      <c r="H391" s="52"/>
      <c r="I391" s="52"/>
      <c r="J391" s="52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52"/>
      <c r="C392" s="52"/>
      <c r="D392" s="52"/>
      <c r="E392" s="52"/>
      <c r="F392" s="4"/>
      <c r="G392" s="4"/>
      <c r="H392" s="52"/>
      <c r="I392" s="52"/>
      <c r="J392" s="52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52"/>
      <c r="C393" s="52"/>
      <c r="D393" s="52"/>
      <c r="E393" s="52"/>
      <c r="F393" s="4"/>
      <c r="G393" s="4"/>
      <c r="H393" s="52"/>
      <c r="I393" s="52"/>
      <c r="J393" s="52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52"/>
      <c r="C394" s="52"/>
      <c r="D394" s="52"/>
      <c r="E394" s="52"/>
      <c r="F394" s="4"/>
      <c r="G394" s="4"/>
      <c r="H394" s="52"/>
      <c r="I394" s="52"/>
      <c r="J394" s="52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52"/>
      <c r="C395" s="52"/>
      <c r="D395" s="52"/>
      <c r="E395" s="52"/>
      <c r="F395" s="4"/>
      <c r="G395" s="4"/>
      <c r="H395" s="52"/>
      <c r="I395" s="52"/>
      <c r="J395" s="52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52"/>
      <c r="C396" s="52"/>
      <c r="D396" s="52"/>
      <c r="E396" s="52"/>
      <c r="F396" s="4"/>
      <c r="G396" s="4"/>
      <c r="H396" s="52"/>
      <c r="I396" s="52"/>
      <c r="J396" s="52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52"/>
      <c r="C397" s="52"/>
      <c r="D397" s="52"/>
      <c r="E397" s="52"/>
      <c r="F397" s="4"/>
      <c r="G397" s="4"/>
      <c r="H397" s="52"/>
      <c r="I397" s="52"/>
      <c r="J397" s="52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52"/>
      <c r="C398" s="52"/>
      <c r="D398" s="52"/>
      <c r="E398" s="52"/>
      <c r="F398" s="4"/>
      <c r="G398" s="4"/>
      <c r="H398" s="52"/>
      <c r="I398" s="52"/>
      <c r="J398" s="52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52"/>
      <c r="C399" s="52"/>
      <c r="D399" s="52"/>
      <c r="E399" s="52"/>
      <c r="F399" s="4"/>
      <c r="G399" s="4"/>
      <c r="H399" s="52"/>
      <c r="I399" s="52"/>
      <c r="J399" s="52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52"/>
      <c r="C400" s="52"/>
      <c r="D400" s="52"/>
      <c r="E400" s="52"/>
      <c r="F400" s="4"/>
      <c r="G400" s="4"/>
      <c r="H400" s="52"/>
      <c r="I400" s="52"/>
      <c r="J400" s="52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52"/>
      <c r="C401" s="52"/>
      <c r="D401" s="52"/>
      <c r="E401" s="52"/>
      <c r="F401" s="4"/>
      <c r="G401" s="4"/>
      <c r="H401" s="52"/>
      <c r="I401" s="52"/>
      <c r="J401" s="52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52"/>
      <c r="C402" s="52"/>
      <c r="D402" s="52"/>
      <c r="E402" s="52"/>
      <c r="F402" s="4"/>
      <c r="G402" s="4"/>
      <c r="H402" s="52"/>
      <c r="I402" s="52"/>
      <c r="J402" s="52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52"/>
      <c r="C403" s="52"/>
      <c r="D403" s="52"/>
      <c r="E403" s="52"/>
      <c r="F403" s="4"/>
      <c r="G403" s="4"/>
      <c r="H403" s="52"/>
      <c r="I403" s="52"/>
      <c r="J403" s="52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52"/>
      <c r="C404" s="52"/>
      <c r="D404" s="52"/>
      <c r="E404" s="52"/>
      <c r="F404" s="4"/>
      <c r="G404" s="4"/>
      <c r="H404" s="52"/>
      <c r="I404" s="52"/>
      <c r="J404" s="52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52"/>
      <c r="C405" s="52"/>
      <c r="D405" s="52"/>
      <c r="E405" s="52"/>
      <c r="F405" s="4"/>
      <c r="G405" s="4"/>
      <c r="H405" s="52"/>
      <c r="I405" s="52"/>
      <c r="J405" s="52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52"/>
      <c r="C406" s="52"/>
      <c r="D406" s="52"/>
      <c r="E406" s="52"/>
      <c r="F406" s="4"/>
      <c r="G406" s="4"/>
      <c r="H406" s="52"/>
      <c r="I406" s="52"/>
      <c r="J406" s="52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52"/>
      <c r="C407" s="52"/>
      <c r="D407" s="52"/>
      <c r="E407" s="52"/>
      <c r="F407" s="4"/>
      <c r="G407" s="4"/>
      <c r="H407" s="52"/>
      <c r="I407" s="52"/>
      <c r="J407" s="52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52"/>
      <c r="C408" s="52"/>
      <c r="D408" s="52"/>
      <c r="E408" s="52"/>
      <c r="F408" s="4"/>
      <c r="G408" s="4"/>
      <c r="H408" s="52"/>
      <c r="I408" s="52"/>
      <c r="J408" s="52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52"/>
      <c r="C409" s="52"/>
      <c r="D409" s="52"/>
      <c r="E409" s="52"/>
      <c r="F409" s="4"/>
      <c r="G409" s="4"/>
      <c r="H409" s="52"/>
      <c r="I409" s="52"/>
      <c r="J409" s="52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52"/>
      <c r="C410" s="52"/>
      <c r="D410" s="52"/>
      <c r="E410" s="52"/>
      <c r="F410" s="4"/>
      <c r="G410" s="4"/>
      <c r="H410" s="52"/>
      <c r="I410" s="52"/>
      <c r="J410" s="52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52"/>
      <c r="C411" s="52"/>
      <c r="D411" s="52"/>
      <c r="E411" s="52"/>
      <c r="F411" s="4"/>
      <c r="G411" s="4"/>
      <c r="H411" s="52"/>
      <c r="I411" s="52"/>
      <c r="J411" s="52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52"/>
      <c r="C412" s="52"/>
      <c r="D412" s="52"/>
      <c r="E412" s="52"/>
      <c r="F412" s="4"/>
      <c r="G412" s="4"/>
      <c r="H412" s="52"/>
      <c r="I412" s="52"/>
      <c r="J412" s="52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52"/>
      <c r="C413" s="52"/>
      <c r="D413" s="52"/>
      <c r="E413" s="52"/>
      <c r="F413" s="4"/>
      <c r="G413" s="4"/>
      <c r="H413" s="52"/>
      <c r="I413" s="52"/>
      <c r="J413" s="52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52"/>
      <c r="C414" s="52"/>
      <c r="D414" s="52"/>
      <c r="E414" s="52"/>
      <c r="F414" s="4"/>
      <c r="G414" s="4"/>
      <c r="H414" s="52"/>
      <c r="I414" s="52"/>
      <c r="J414" s="52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52"/>
      <c r="C415" s="52"/>
      <c r="D415" s="52"/>
      <c r="E415" s="52"/>
      <c r="F415" s="4"/>
      <c r="G415" s="4"/>
      <c r="H415" s="52"/>
      <c r="I415" s="52"/>
      <c r="J415" s="52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52"/>
      <c r="C416" s="52"/>
      <c r="D416" s="52"/>
      <c r="E416" s="52"/>
      <c r="F416" s="4"/>
      <c r="G416" s="4"/>
      <c r="H416" s="52"/>
      <c r="I416" s="52"/>
      <c r="J416" s="52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52"/>
      <c r="C417" s="52"/>
      <c r="D417" s="52"/>
      <c r="E417" s="52"/>
      <c r="F417" s="4"/>
      <c r="G417" s="4"/>
      <c r="H417" s="52"/>
      <c r="I417" s="52"/>
      <c r="J417" s="52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52"/>
      <c r="C418" s="52"/>
      <c r="D418" s="52"/>
      <c r="E418" s="52"/>
      <c r="F418" s="4"/>
      <c r="G418" s="4"/>
      <c r="H418" s="52"/>
      <c r="I418" s="52"/>
      <c r="J418" s="52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52"/>
      <c r="C419" s="52"/>
      <c r="D419" s="52"/>
      <c r="E419" s="52"/>
      <c r="F419" s="4"/>
      <c r="G419" s="4"/>
      <c r="H419" s="52"/>
      <c r="I419" s="52"/>
      <c r="J419" s="52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52"/>
      <c r="C420" s="52"/>
      <c r="D420" s="52"/>
      <c r="E420" s="52"/>
      <c r="F420" s="4"/>
      <c r="G420" s="4"/>
      <c r="H420" s="52"/>
      <c r="I420" s="52"/>
      <c r="J420" s="52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52"/>
      <c r="C421" s="52"/>
      <c r="D421" s="52"/>
      <c r="E421" s="52"/>
      <c r="F421" s="4"/>
      <c r="G421" s="4"/>
      <c r="H421" s="52"/>
      <c r="I421" s="52"/>
      <c r="J421" s="52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52"/>
      <c r="C422" s="52"/>
      <c r="D422" s="52"/>
      <c r="E422" s="52"/>
      <c r="F422" s="4"/>
      <c r="G422" s="4"/>
      <c r="H422" s="52"/>
      <c r="I422" s="52"/>
      <c r="J422" s="52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52"/>
      <c r="C423" s="52"/>
      <c r="D423" s="52"/>
      <c r="E423" s="52"/>
      <c r="F423" s="4"/>
      <c r="G423" s="4"/>
      <c r="H423" s="52"/>
      <c r="I423" s="52"/>
      <c r="J423" s="52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52"/>
      <c r="C424" s="52"/>
      <c r="D424" s="52"/>
      <c r="E424" s="52"/>
      <c r="F424" s="4"/>
      <c r="G424" s="4"/>
      <c r="H424" s="52"/>
      <c r="I424" s="52"/>
      <c r="J424" s="52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52"/>
      <c r="C425" s="52"/>
      <c r="D425" s="52"/>
      <c r="E425" s="52"/>
      <c r="F425" s="4"/>
      <c r="G425" s="4"/>
      <c r="H425" s="52"/>
      <c r="I425" s="52"/>
      <c r="J425" s="52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52"/>
      <c r="C426" s="52"/>
      <c r="D426" s="52"/>
      <c r="E426" s="52"/>
      <c r="F426" s="4"/>
      <c r="G426" s="4"/>
      <c r="H426" s="52"/>
      <c r="I426" s="52"/>
      <c r="J426" s="52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52"/>
      <c r="C427" s="52"/>
      <c r="D427" s="52"/>
      <c r="E427" s="52"/>
      <c r="F427" s="4"/>
      <c r="G427" s="4"/>
      <c r="H427" s="52"/>
      <c r="I427" s="52"/>
      <c r="J427" s="52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52"/>
      <c r="C428" s="52"/>
      <c r="D428" s="52"/>
      <c r="E428" s="52"/>
      <c r="F428" s="4"/>
      <c r="G428" s="4"/>
      <c r="H428" s="52"/>
      <c r="I428" s="52"/>
      <c r="J428" s="52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52"/>
      <c r="C429" s="52"/>
      <c r="D429" s="52"/>
      <c r="E429" s="52"/>
      <c r="F429" s="4"/>
      <c r="G429" s="4"/>
      <c r="H429" s="52"/>
      <c r="I429" s="52"/>
      <c r="J429" s="52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52"/>
      <c r="C430" s="52"/>
      <c r="D430" s="52"/>
      <c r="E430" s="52"/>
      <c r="F430" s="4"/>
      <c r="G430" s="4"/>
      <c r="H430" s="52"/>
      <c r="I430" s="52"/>
      <c r="J430" s="52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52"/>
      <c r="C431" s="52"/>
      <c r="D431" s="52"/>
      <c r="E431" s="52"/>
      <c r="F431" s="4"/>
      <c r="G431" s="4"/>
      <c r="H431" s="52"/>
      <c r="I431" s="52"/>
      <c r="J431" s="52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52"/>
      <c r="C432" s="52"/>
      <c r="D432" s="52"/>
      <c r="E432" s="52"/>
      <c r="F432" s="4"/>
      <c r="G432" s="4"/>
      <c r="H432" s="52"/>
      <c r="I432" s="52"/>
      <c r="J432" s="52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52"/>
      <c r="C433" s="52"/>
      <c r="D433" s="52"/>
      <c r="E433" s="52"/>
      <c r="F433" s="4"/>
      <c r="G433" s="4"/>
      <c r="H433" s="52"/>
      <c r="I433" s="52"/>
      <c r="J433" s="52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52"/>
      <c r="C434" s="52"/>
      <c r="D434" s="52"/>
      <c r="E434" s="52"/>
      <c r="F434" s="4"/>
      <c r="G434" s="4"/>
      <c r="H434" s="52"/>
      <c r="I434" s="52"/>
      <c r="J434" s="52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52"/>
      <c r="C435" s="52"/>
      <c r="D435" s="52"/>
      <c r="E435" s="52"/>
      <c r="F435" s="4"/>
      <c r="G435" s="4"/>
      <c r="H435" s="52"/>
      <c r="I435" s="52"/>
      <c r="J435" s="52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52"/>
      <c r="C436" s="52"/>
      <c r="D436" s="52"/>
      <c r="E436" s="52"/>
      <c r="F436" s="4"/>
      <c r="G436" s="4"/>
      <c r="H436" s="52"/>
      <c r="I436" s="52"/>
      <c r="J436" s="52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52"/>
      <c r="C437" s="52"/>
      <c r="D437" s="52"/>
      <c r="E437" s="52"/>
      <c r="F437" s="4"/>
      <c r="G437" s="4"/>
      <c r="H437" s="52"/>
      <c r="I437" s="52"/>
      <c r="J437" s="52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52"/>
      <c r="C438" s="52"/>
      <c r="D438" s="52"/>
      <c r="E438" s="52"/>
      <c r="F438" s="4"/>
      <c r="G438" s="4"/>
      <c r="H438" s="52"/>
      <c r="I438" s="52"/>
      <c r="J438" s="52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52"/>
      <c r="C439" s="52"/>
      <c r="D439" s="52"/>
      <c r="E439" s="52"/>
      <c r="F439" s="4"/>
      <c r="G439" s="4"/>
      <c r="H439" s="52"/>
      <c r="I439" s="52"/>
      <c r="J439" s="52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52"/>
      <c r="C440" s="52"/>
      <c r="D440" s="52"/>
      <c r="E440" s="52"/>
      <c r="F440" s="4"/>
      <c r="G440" s="4"/>
      <c r="H440" s="52"/>
      <c r="I440" s="52"/>
      <c r="J440" s="52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52"/>
      <c r="C441" s="52"/>
      <c r="D441" s="52"/>
      <c r="E441" s="52"/>
      <c r="F441" s="4"/>
      <c r="G441" s="4"/>
      <c r="H441" s="52"/>
      <c r="I441" s="52"/>
      <c r="J441" s="52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52"/>
      <c r="C442" s="52"/>
      <c r="D442" s="52"/>
      <c r="E442" s="52"/>
      <c r="F442" s="4"/>
      <c r="G442" s="4"/>
      <c r="H442" s="52"/>
      <c r="I442" s="52"/>
      <c r="J442" s="52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52"/>
      <c r="C443" s="52"/>
      <c r="D443" s="52"/>
      <c r="E443" s="52"/>
      <c r="F443" s="4"/>
      <c r="G443" s="4"/>
      <c r="H443" s="52"/>
      <c r="I443" s="52"/>
      <c r="J443" s="52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52"/>
      <c r="C444" s="52"/>
      <c r="D444" s="52"/>
      <c r="E444" s="52"/>
      <c r="F444" s="4"/>
      <c r="G444" s="4"/>
      <c r="H444" s="52"/>
      <c r="I444" s="52"/>
      <c r="J444" s="52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52"/>
      <c r="C445" s="52"/>
      <c r="D445" s="52"/>
      <c r="E445" s="52"/>
      <c r="F445" s="4"/>
      <c r="G445" s="4"/>
      <c r="H445" s="52"/>
      <c r="I445" s="52"/>
      <c r="J445" s="52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52"/>
      <c r="C446" s="52"/>
      <c r="D446" s="52"/>
      <c r="E446" s="52"/>
      <c r="F446" s="4"/>
      <c r="G446" s="4"/>
      <c r="H446" s="52"/>
      <c r="I446" s="52"/>
      <c r="J446" s="52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52"/>
      <c r="C447" s="52"/>
      <c r="D447" s="52"/>
      <c r="E447" s="52"/>
      <c r="F447" s="4"/>
      <c r="G447" s="4"/>
      <c r="H447" s="52"/>
      <c r="I447" s="52"/>
      <c r="J447" s="52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52"/>
      <c r="C448" s="52"/>
      <c r="D448" s="52"/>
      <c r="E448" s="52"/>
      <c r="F448" s="4"/>
      <c r="G448" s="4"/>
      <c r="H448" s="52"/>
      <c r="I448" s="52"/>
      <c r="J448" s="52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52"/>
      <c r="C449" s="52"/>
      <c r="D449" s="52"/>
      <c r="E449" s="52"/>
      <c r="F449" s="4"/>
      <c r="G449" s="4"/>
      <c r="H449" s="52"/>
      <c r="I449" s="52"/>
      <c r="J449" s="52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52"/>
      <c r="C450" s="52"/>
      <c r="D450" s="52"/>
      <c r="E450" s="52"/>
      <c r="F450" s="4"/>
      <c r="G450" s="4"/>
      <c r="H450" s="52"/>
      <c r="I450" s="52"/>
      <c r="J450" s="52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52"/>
      <c r="C451" s="52"/>
      <c r="D451" s="52"/>
      <c r="E451" s="52"/>
      <c r="F451" s="4"/>
      <c r="G451" s="4"/>
      <c r="H451" s="52"/>
      <c r="I451" s="52"/>
      <c r="J451" s="52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52"/>
      <c r="C452" s="52"/>
      <c r="D452" s="52"/>
      <c r="E452" s="52"/>
      <c r="F452" s="4"/>
      <c r="G452" s="4"/>
      <c r="H452" s="52"/>
      <c r="I452" s="52"/>
      <c r="J452" s="52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52"/>
      <c r="C453" s="52"/>
      <c r="D453" s="52"/>
      <c r="E453" s="52"/>
      <c r="F453" s="4"/>
      <c r="G453" s="4"/>
      <c r="H453" s="52"/>
      <c r="I453" s="52"/>
      <c r="J453" s="52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52"/>
      <c r="C454" s="52"/>
      <c r="D454" s="52"/>
      <c r="E454" s="52"/>
      <c r="F454" s="4"/>
      <c r="G454" s="4"/>
      <c r="H454" s="52"/>
      <c r="I454" s="52"/>
      <c r="J454" s="52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52"/>
      <c r="C455" s="52"/>
      <c r="D455" s="52"/>
      <c r="E455" s="52"/>
      <c r="F455" s="4"/>
      <c r="G455" s="4"/>
      <c r="H455" s="52"/>
      <c r="I455" s="52"/>
      <c r="J455" s="52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52"/>
      <c r="C456" s="52"/>
      <c r="D456" s="52"/>
      <c r="E456" s="52"/>
      <c r="F456" s="4"/>
      <c r="G456" s="4"/>
      <c r="H456" s="52"/>
      <c r="I456" s="52"/>
      <c r="J456" s="52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52"/>
      <c r="C457" s="52"/>
      <c r="D457" s="52"/>
      <c r="E457" s="52"/>
      <c r="F457" s="4"/>
      <c r="G457" s="4"/>
      <c r="H457" s="52"/>
      <c r="I457" s="52"/>
      <c r="J457" s="52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52"/>
      <c r="C458" s="52"/>
      <c r="D458" s="52"/>
      <c r="E458" s="52"/>
      <c r="F458" s="4"/>
      <c r="G458" s="4"/>
      <c r="H458" s="52"/>
      <c r="I458" s="52"/>
      <c r="J458" s="52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52"/>
      <c r="C459" s="52"/>
      <c r="D459" s="52"/>
      <c r="E459" s="52"/>
      <c r="F459" s="4"/>
      <c r="G459" s="4"/>
      <c r="H459" s="52"/>
      <c r="I459" s="52"/>
      <c r="J459" s="52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52"/>
      <c r="C460" s="52"/>
      <c r="D460" s="52"/>
      <c r="E460" s="52"/>
      <c r="F460" s="4"/>
      <c r="G460" s="4"/>
      <c r="H460" s="52"/>
      <c r="I460" s="52"/>
      <c r="J460" s="52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52"/>
      <c r="C461" s="52"/>
      <c r="D461" s="52"/>
      <c r="E461" s="52"/>
      <c r="F461" s="4"/>
      <c r="G461" s="4"/>
      <c r="H461" s="52"/>
      <c r="I461" s="52"/>
      <c r="J461" s="52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52"/>
      <c r="C462" s="52"/>
      <c r="D462" s="52"/>
      <c r="E462" s="52"/>
      <c r="F462" s="4"/>
      <c r="G462" s="4"/>
      <c r="H462" s="52"/>
      <c r="I462" s="52"/>
      <c r="J462" s="52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52"/>
      <c r="C463" s="52"/>
      <c r="D463" s="52"/>
      <c r="E463" s="52"/>
      <c r="F463" s="4"/>
      <c r="G463" s="4"/>
      <c r="H463" s="52"/>
      <c r="I463" s="52"/>
      <c r="J463" s="52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52"/>
      <c r="C464" s="52"/>
      <c r="D464" s="52"/>
      <c r="E464" s="52"/>
      <c r="F464" s="4"/>
      <c r="G464" s="4"/>
      <c r="H464" s="52"/>
      <c r="I464" s="52"/>
      <c r="J464" s="52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52"/>
      <c r="C465" s="52"/>
      <c r="D465" s="52"/>
      <c r="E465" s="52"/>
      <c r="F465" s="4"/>
      <c r="G465" s="4"/>
      <c r="H465" s="52"/>
      <c r="I465" s="52"/>
      <c r="J465" s="52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52"/>
      <c r="C466" s="52"/>
      <c r="D466" s="52"/>
      <c r="E466" s="52"/>
      <c r="F466" s="4"/>
      <c r="G466" s="4"/>
      <c r="H466" s="52"/>
      <c r="I466" s="52"/>
      <c r="J466" s="52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52"/>
      <c r="C467" s="52"/>
      <c r="D467" s="52"/>
      <c r="E467" s="52"/>
      <c r="F467" s="4"/>
      <c r="G467" s="4"/>
      <c r="H467" s="52"/>
      <c r="I467" s="52"/>
      <c r="J467" s="52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52"/>
      <c r="C468" s="52"/>
      <c r="D468" s="52"/>
      <c r="E468" s="52"/>
      <c r="F468" s="4"/>
      <c r="G468" s="4"/>
      <c r="H468" s="52"/>
      <c r="I468" s="52"/>
      <c r="J468" s="52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52"/>
      <c r="C469" s="52"/>
      <c r="D469" s="52"/>
      <c r="E469" s="52"/>
      <c r="F469" s="4"/>
      <c r="G469" s="4"/>
      <c r="H469" s="52"/>
      <c r="I469" s="52"/>
      <c r="J469" s="52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52"/>
      <c r="C470" s="52"/>
      <c r="D470" s="52"/>
      <c r="E470" s="52"/>
      <c r="F470" s="4"/>
      <c r="G470" s="4"/>
      <c r="H470" s="52"/>
      <c r="I470" s="52"/>
      <c r="J470" s="52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52"/>
      <c r="C471" s="52"/>
      <c r="D471" s="52"/>
      <c r="E471" s="52"/>
      <c r="F471" s="4"/>
      <c r="G471" s="4"/>
      <c r="H471" s="52"/>
      <c r="I471" s="52"/>
      <c r="J471" s="52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52"/>
      <c r="C472" s="52"/>
      <c r="D472" s="52"/>
      <c r="E472" s="52"/>
      <c r="F472" s="4"/>
      <c r="G472" s="4"/>
      <c r="H472" s="52"/>
      <c r="I472" s="52"/>
      <c r="J472" s="52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52"/>
      <c r="C473" s="52"/>
      <c r="D473" s="52"/>
      <c r="E473" s="52"/>
      <c r="F473" s="4"/>
      <c r="G473" s="4"/>
      <c r="H473" s="52"/>
      <c r="I473" s="52"/>
      <c r="J473" s="52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52"/>
      <c r="C474" s="52"/>
      <c r="D474" s="52"/>
      <c r="E474" s="52"/>
      <c r="F474" s="4"/>
      <c r="G474" s="4"/>
      <c r="H474" s="52"/>
      <c r="I474" s="52"/>
      <c r="J474" s="52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52"/>
      <c r="C475" s="52"/>
      <c r="D475" s="52"/>
      <c r="E475" s="52"/>
      <c r="F475" s="4"/>
      <c r="G475" s="4"/>
      <c r="H475" s="52"/>
      <c r="I475" s="52"/>
      <c r="J475" s="52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52"/>
      <c r="C476" s="52"/>
      <c r="D476" s="52"/>
      <c r="E476" s="52"/>
      <c r="F476" s="4"/>
      <c r="G476" s="4"/>
      <c r="H476" s="52"/>
      <c r="I476" s="52"/>
      <c r="J476" s="52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52"/>
      <c r="C477" s="52"/>
      <c r="D477" s="52"/>
      <c r="E477" s="52"/>
      <c r="F477" s="4"/>
      <c r="G477" s="4"/>
      <c r="H477" s="52"/>
      <c r="I477" s="52"/>
      <c r="J477" s="52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52"/>
      <c r="C478" s="52"/>
      <c r="D478" s="52"/>
      <c r="E478" s="52"/>
      <c r="F478" s="4"/>
      <c r="G478" s="4"/>
      <c r="H478" s="52"/>
      <c r="I478" s="52"/>
      <c r="J478" s="52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52"/>
      <c r="C479" s="52"/>
      <c r="D479" s="52"/>
      <c r="E479" s="52"/>
      <c r="F479" s="4"/>
      <c r="G479" s="4"/>
      <c r="H479" s="52"/>
      <c r="I479" s="52"/>
      <c r="J479" s="52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52"/>
      <c r="C480" s="52"/>
      <c r="D480" s="52"/>
      <c r="E480" s="52"/>
      <c r="F480" s="4"/>
      <c r="G480" s="4"/>
      <c r="H480" s="52"/>
      <c r="I480" s="52"/>
      <c r="J480" s="52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52"/>
      <c r="C481" s="52"/>
      <c r="D481" s="52"/>
      <c r="E481" s="52"/>
      <c r="F481" s="4"/>
      <c r="G481" s="4"/>
      <c r="H481" s="52"/>
      <c r="I481" s="52"/>
      <c r="J481" s="52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52"/>
      <c r="C482" s="52"/>
      <c r="D482" s="52"/>
      <c r="E482" s="52"/>
      <c r="F482" s="4"/>
      <c r="G482" s="4"/>
      <c r="H482" s="52"/>
      <c r="I482" s="52"/>
      <c r="J482" s="52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52"/>
      <c r="C483" s="52"/>
      <c r="D483" s="52"/>
      <c r="E483" s="52"/>
      <c r="F483" s="4"/>
      <c r="G483" s="4"/>
      <c r="H483" s="52"/>
      <c r="I483" s="52"/>
      <c r="J483" s="52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52"/>
      <c r="C484" s="52"/>
      <c r="D484" s="52"/>
      <c r="E484" s="52"/>
      <c r="F484" s="4"/>
      <c r="G484" s="4"/>
      <c r="H484" s="52"/>
      <c r="I484" s="52"/>
      <c r="J484" s="52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52"/>
      <c r="C485" s="52"/>
      <c r="D485" s="52"/>
      <c r="E485" s="52"/>
      <c r="F485" s="4"/>
      <c r="G485" s="4"/>
      <c r="H485" s="52"/>
      <c r="I485" s="52"/>
      <c r="J485" s="52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52"/>
      <c r="C486" s="52"/>
      <c r="D486" s="52"/>
      <c r="E486" s="52"/>
      <c r="F486" s="4"/>
      <c r="G486" s="4"/>
      <c r="H486" s="52"/>
      <c r="I486" s="52"/>
      <c r="J486" s="52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52"/>
      <c r="C487" s="52"/>
      <c r="D487" s="52"/>
      <c r="E487" s="52"/>
      <c r="F487" s="4"/>
      <c r="G487" s="4"/>
      <c r="H487" s="52"/>
      <c r="I487" s="52"/>
      <c r="J487" s="52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52"/>
      <c r="C488" s="52"/>
      <c r="D488" s="52"/>
      <c r="E488" s="52"/>
      <c r="F488" s="4"/>
      <c r="G488" s="4"/>
      <c r="H488" s="52"/>
      <c r="I488" s="52"/>
      <c r="J488" s="52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52"/>
      <c r="C489" s="52"/>
      <c r="D489" s="52"/>
      <c r="E489" s="52"/>
      <c r="F489" s="4"/>
      <c r="G489" s="4"/>
      <c r="H489" s="52"/>
      <c r="I489" s="52"/>
      <c r="J489" s="52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52"/>
      <c r="C490" s="52"/>
      <c r="D490" s="52"/>
      <c r="E490" s="52"/>
      <c r="F490" s="4"/>
      <c r="G490" s="4"/>
      <c r="H490" s="52"/>
      <c r="I490" s="52"/>
      <c r="J490" s="52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52"/>
      <c r="C491" s="52"/>
      <c r="D491" s="52"/>
      <c r="E491" s="52"/>
      <c r="F491" s="4"/>
      <c r="G491" s="4"/>
      <c r="H491" s="52"/>
      <c r="I491" s="52"/>
      <c r="J491" s="52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52"/>
      <c r="C492" s="52"/>
      <c r="D492" s="52"/>
      <c r="E492" s="52"/>
      <c r="F492" s="4"/>
      <c r="G492" s="4"/>
      <c r="H492" s="52"/>
      <c r="I492" s="52"/>
      <c r="J492" s="52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52"/>
      <c r="C493" s="52"/>
      <c r="D493" s="52"/>
      <c r="E493" s="52"/>
      <c r="F493" s="4"/>
      <c r="G493" s="4"/>
      <c r="H493" s="52"/>
      <c r="I493" s="52"/>
      <c r="J493" s="52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52"/>
      <c r="C494" s="52"/>
      <c r="D494" s="52"/>
      <c r="E494" s="52"/>
      <c r="F494" s="4"/>
      <c r="G494" s="4"/>
      <c r="H494" s="52"/>
      <c r="I494" s="52"/>
      <c r="J494" s="52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52"/>
      <c r="C495" s="52"/>
      <c r="D495" s="52"/>
      <c r="E495" s="52"/>
      <c r="F495" s="4"/>
      <c r="G495" s="4"/>
      <c r="H495" s="52"/>
      <c r="I495" s="52"/>
      <c r="J495" s="52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52"/>
      <c r="C496" s="52"/>
      <c r="D496" s="52"/>
      <c r="E496" s="52"/>
      <c r="F496" s="4"/>
      <c r="G496" s="4"/>
      <c r="H496" s="52"/>
      <c r="I496" s="52"/>
      <c r="J496" s="52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52"/>
      <c r="C497" s="52"/>
      <c r="D497" s="52"/>
      <c r="E497" s="52"/>
      <c r="F497" s="4"/>
      <c r="G497" s="4"/>
      <c r="H497" s="52"/>
      <c r="I497" s="52"/>
      <c r="J497" s="52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52"/>
      <c r="C498" s="52"/>
      <c r="D498" s="52"/>
      <c r="E498" s="52"/>
      <c r="F498" s="4"/>
      <c r="G498" s="4"/>
      <c r="H498" s="52"/>
      <c r="I498" s="52"/>
      <c r="J498" s="52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52"/>
      <c r="C499" s="52"/>
      <c r="D499" s="52"/>
      <c r="E499" s="52"/>
      <c r="F499" s="4"/>
      <c r="G499" s="4"/>
      <c r="H499" s="52"/>
      <c r="I499" s="52"/>
      <c r="J499" s="52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52"/>
      <c r="C500" s="52"/>
      <c r="D500" s="52"/>
      <c r="E500" s="52"/>
      <c r="F500" s="4"/>
      <c r="G500" s="4"/>
      <c r="H500" s="52"/>
      <c r="I500" s="52"/>
      <c r="J500" s="52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52"/>
      <c r="C501" s="52"/>
      <c r="D501" s="52"/>
      <c r="E501" s="52"/>
      <c r="F501" s="4"/>
      <c r="G501" s="4"/>
      <c r="H501" s="52"/>
      <c r="I501" s="52"/>
      <c r="J501" s="52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52"/>
      <c r="C502" s="52"/>
      <c r="D502" s="52"/>
      <c r="E502" s="52"/>
      <c r="F502" s="4"/>
      <c r="G502" s="4"/>
      <c r="H502" s="52"/>
      <c r="I502" s="52"/>
      <c r="J502" s="52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52"/>
      <c r="C503" s="52"/>
      <c r="D503" s="52"/>
      <c r="E503" s="52"/>
      <c r="F503" s="4"/>
      <c r="G503" s="4"/>
      <c r="H503" s="52"/>
      <c r="I503" s="52"/>
      <c r="J503" s="52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52"/>
      <c r="C504" s="52"/>
      <c r="D504" s="52"/>
      <c r="E504" s="52"/>
      <c r="F504" s="4"/>
      <c r="G504" s="4"/>
      <c r="H504" s="52"/>
      <c r="I504" s="52"/>
      <c r="J504" s="52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52"/>
      <c r="C505" s="52"/>
      <c r="D505" s="52"/>
      <c r="E505" s="52"/>
      <c r="F505" s="4"/>
      <c r="G505" s="4"/>
      <c r="H505" s="52"/>
      <c r="I505" s="52"/>
      <c r="J505" s="52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52"/>
      <c r="C506" s="52"/>
      <c r="D506" s="52"/>
      <c r="E506" s="52"/>
      <c r="F506" s="4"/>
      <c r="G506" s="4"/>
      <c r="H506" s="52"/>
      <c r="I506" s="52"/>
      <c r="J506" s="52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52"/>
      <c r="C507" s="52"/>
      <c r="D507" s="52"/>
      <c r="E507" s="52"/>
      <c r="F507" s="4"/>
      <c r="G507" s="4"/>
      <c r="H507" s="52"/>
      <c r="I507" s="52"/>
      <c r="J507" s="52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52"/>
      <c r="C508" s="52"/>
      <c r="D508" s="52"/>
      <c r="E508" s="52"/>
      <c r="F508" s="4"/>
      <c r="G508" s="4"/>
      <c r="H508" s="52"/>
      <c r="I508" s="52"/>
      <c r="J508" s="52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52"/>
      <c r="C509" s="52"/>
      <c r="D509" s="52"/>
      <c r="E509" s="52"/>
      <c r="F509" s="4"/>
      <c r="G509" s="4"/>
      <c r="H509" s="52"/>
      <c r="I509" s="52"/>
      <c r="J509" s="52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52"/>
      <c r="C510" s="52"/>
      <c r="D510" s="52"/>
      <c r="E510" s="52"/>
      <c r="F510" s="4"/>
      <c r="G510" s="4"/>
      <c r="H510" s="52"/>
      <c r="I510" s="52"/>
      <c r="J510" s="52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52"/>
      <c r="C511" s="52"/>
      <c r="D511" s="52"/>
      <c r="E511" s="52"/>
      <c r="F511" s="4"/>
      <c r="G511" s="4"/>
      <c r="H511" s="52"/>
      <c r="I511" s="52"/>
      <c r="J511" s="52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52"/>
      <c r="C512" s="52"/>
      <c r="D512" s="52"/>
      <c r="E512" s="52"/>
      <c r="F512" s="4"/>
      <c r="G512" s="4"/>
      <c r="H512" s="52"/>
      <c r="I512" s="52"/>
      <c r="J512" s="52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52"/>
      <c r="C513" s="52"/>
      <c r="D513" s="52"/>
      <c r="E513" s="52"/>
      <c r="F513" s="4"/>
      <c r="G513" s="4"/>
      <c r="H513" s="52"/>
      <c r="I513" s="52"/>
      <c r="J513" s="52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52"/>
      <c r="C514" s="52"/>
      <c r="D514" s="52"/>
      <c r="E514" s="52"/>
      <c r="F514" s="4"/>
      <c r="G514" s="4"/>
      <c r="H514" s="52"/>
      <c r="I514" s="52"/>
      <c r="J514" s="52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52"/>
      <c r="C515" s="52"/>
      <c r="D515" s="52"/>
      <c r="E515" s="52"/>
      <c r="F515" s="4"/>
      <c r="G515" s="4"/>
      <c r="H515" s="52"/>
      <c r="I515" s="52"/>
      <c r="J515" s="52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52"/>
      <c r="C516" s="52"/>
      <c r="D516" s="52"/>
      <c r="E516" s="52"/>
      <c r="F516" s="4"/>
      <c r="G516" s="4"/>
      <c r="H516" s="52"/>
      <c r="I516" s="52"/>
      <c r="J516" s="52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52"/>
      <c r="C517" s="52"/>
      <c r="D517" s="52"/>
      <c r="E517" s="52"/>
      <c r="F517" s="4"/>
      <c r="G517" s="4"/>
      <c r="H517" s="52"/>
      <c r="I517" s="52"/>
      <c r="J517" s="52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52"/>
      <c r="C518" s="52"/>
      <c r="D518" s="52"/>
      <c r="E518" s="52"/>
      <c r="F518" s="4"/>
      <c r="G518" s="4"/>
      <c r="H518" s="52"/>
      <c r="I518" s="52"/>
      <c r="J518" s="52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52"/>
      <c r="C519" s="52"/>
      <c r="D519" s="52"/>
      <c r="E519" s="52"/>
      <c r="F519" s="4"/>
      <c r="G519" s="4"/>
      <c r="H519" s="52"/>
      <c r="I519" s="52"/>
      <c r="J519" s="52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52"/>
      <c r="C520" s="52"/>
      <c r="D520" s="52"/>
      <c r="E520" s="52"/>
      <c r="F520" s="4"/>
      <c r="G520" s="4"/>
      <c r="H520" s="52"/>
      <c r="I520" s="52"/>
      <c r="J520" s="52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52"/>
      <c r="C521" s="52"/>
      <c r="D521" s="52"/>
      <c r="E521" s="52"/>
      <c r="F521" s="4"/>
      <c r="G521" s="4"/>
      <c r="H521" s="52"/>
      <c r="I521" s="52"/>
      <c r="J521" s="52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52"/>
      <c r="C522" s="52"/>
      <c r="D522" s="52"/>
      <c r="E522" s="52"/>
      <c r="F522" s="4"/>
      <c r="G522" s="4"/>
      <c r="H522" s="52"/>
      <c r="I522" s="52"/>
      <c r="J522" s="52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52"/>
      <c r="C523" s="52"/>
      <c r="D523" s="52"/>
      <c r="E523" s="52"/>
      <c r="F523" s="4"/>
      <c r="G523" s="4"/>
      <c r="H523" s="52"/>
      <c r="I523" s="52"/>
      <c r="J523" s="52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52"/>
      <c r="C524" s="52"/>
      <c r="D524" s="52"/>
      <c r="E524" s="52"/>
      <c r="F524" s="4"/>
      <c r="G524" s="4"/>
      <c r="H524" s="52"/>
      <c r="I524" s="52"/>
      <c r="J524" s="52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52"/>
      <c r="C525" s="52"/>
      <c r="D525" s="52"/>
      <c r="E525" s="52"/>
      <c r="F525" s="4"/>
      <c r="G525" s="4"/>
      <c r="H525" s="52"/>
      <c r="I525" s="52"/>
      <c r="J525" s="52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52"/>
      <c r="C526" s="52"/>
      <c r="D526" s="52"/>
      <c r="E526" s="52"/>
      <c r="F526" s="4"/>
      <c r="G526" s="4"/>
      <c r="H526" s="52"/>
      <c r="I526" s="52"/>
      <c r="J526" s="52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52"/>
      <c r="C527" s="52"/>
      <c r="D527" s="52"/>
      <c r="E527" s="52"/>
      <c r="F527" s="4"/>
      <c r="G527" s="4"/>
      <c r="H527" s="52"/>
      <c r="I527" s="52"/>
      <c r="J527" s="52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52"/>
      <c r="C528" s="52"/>
      <c r="D528" s="52"/>
      <c r="E528" s="52"/>
      <c r="F528" s="4"/>
      <c r="G528" s="4"/>
      <c r="H528" s="52"/>
      <c r="I528" s="52"/>
      <c r="J528" s="52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52"/>
      <c r="C529" s="52"/>
      <c r="D529" s="52"/>
      <c r="E529" s="52"/>
      <c r="F529" s="4"/>
      <c r="G529" s="4"/>
      <c r="H529" s="52"/>
      <c r="I529" s="52"/>
      <c r="J529" s="52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52"/>
      <c r="C530" s="52"/>
      <c r="D530" s="52"/>
      <c r="E530" s="52"/>
      <c r="F530" s="4"/>
      <c r="G530" s="4"/>
      <c r="H530" s="52"/>
      <c r="I530" s="52"/>
      <c r="J530" s="52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52"/>
      <c r="C531" s="52"/>
      <c r="D531" s="52"/>
      <c r="E531" s="52"/>
      <c r="F531" s="4"/>
      <c r="G531" s="4"/>
      <c r="H531" s="52"/>
      <c r="I531" s="52"/>
      <c r="J531" s="52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52"/>
      <c r="C532" s="52"/>
      <c r="D532" s="52"/>
      <c r="E532" s="52"/>
      <c r="F532" s="4"/>
      <c r="G532" s="4"/>
      <c r="H532" s="52"/>
      <c r="I532" s="52"/>
      <c r="J532" s="52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52"/>
      <c r="C533" s="52"/>
      <c r="D533" s="52"/>
      <c r="E533" s="52"/>
      <c r="F533" s="4"/>
      <c r="G533" s="4"/>
      <c r="H533" s="52"/>
      <c r="I533" s="52"/>
      <c r="J533" s="52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52"/>
      <c r="C534" s="52"/>
      <c r="D534" s="52"/>
      <c r="E534" s="52"/>
      <c r="F534" s="4"/>
      <c r="G534" s="4"/>
      <c r="H534" s="52"/>
      <c r="I534" s="52"/>
      <c r="J534" s="52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52"/>
      <c r="C535" s="52"/>
      <c r="D535" s="52"/>
      <c r="E535" s="52"/>
      <c r="F535" s="4"/>
      <c r="G535" s="4"/>
      <c r="H535" s="52"/>
      <c r="I535" s="52"/>
      <c r="J535" s="52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52"/>
      <c r="C536" s="52"/>
      <c r="D536" s="52"/>
      <c r="E536" s="52"/>
      <c r="F536" s="4"/>
      <c r="G536" s="4"/>
      <c r="H536" s="52"/>
      <c r="I536" s="52"/>
      <c r="J536" s="52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52"/>
      <c r="C537" s="52"/>
      <c r="D537" s="52"/>
      <c r="E537" s="52"/>
      <c r="F537" s="4"/>
      <c r="G537" s="4"/>
      <c r="H537" s="52"/>
      <c r="I537" s="52"/>
      <c r="J537" s="52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52"/>
      <c r="C538" s="52"/>
      <c r="D538" s="52"/>
      <c r="E538" s="52"/>
      <c r="F538" s="4"/>
      <c r="G538" s="4"/>
      <c r="H538" s="52"/>
      <c r="I538" s="52"/>
      <c r="J538" s="52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52"/>
      <c r="C539" s="52"/>
      <c r="D539" s="52"/>
      <c r="E539" s="52"/>
      <c r="F539" s="4"/>
      <c r="G539" s="4"/>
      <c r="H539" s="52"/>
      <c r="I539" s="52"/>
      <c r="J539" s="52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52"/>
      <c r="C540" s="52"/>
      <c r="D540" s="52"/>
      <c r="E540" s="52"/>
      <c r="F540" s="4"/>
      <c r="G540" s="4"/>
      <c r="H540" s="52"/>
      <c r="I540" s="52"/>
      <c r="J540" s="52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52"/>
      <c r="C541" s="52"/>
      <c r="D541" s="52"/>
      <c r="E541" s="52"/>
      <c r="F541" s="4"/>
      <c r="G541" s="4"/>
      <c r="H541" s="52"/>
      <c r="I541" s="52"/>
      <c r="J541" s="52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52"/>
      <c r="C542" s="52"/>
      <c r="D542" s="52"/>
      <c r="E542" s="52"/>
      <c r="F542" s="4"/>
      <c r="G542" s="4"/>
      <c r="H542" s="52"/>
      <c r="I542" s="52"/>
      <c r="J542" s="52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52"/>
      <c r="C543" s="52"/>
      <c r="D543" s="52"/>
      <c r="E543" s="52"/>
      <c r="F543" s="4"/>
      <c r="G543" s="4"/>
      <c r="H543" s="52"/>
      <c r="I543" s="52"/>
      <c r="J543" s="52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52"/>
      <c r="C544" s="52"/>
      <c r="D544" s="52"/>
      <c r="E544" s="52"/>
      <c r="F544" s="4"/>
      <c r="G544" s="4"/>
      <c r="H544" s="52"/>
      <c r="I544" s="52"/>
      <c r="J544" s="52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52"/>
      <c r="C545" s="52"/>
      <c r="D545" s="52"/>
      <c r="E545" s="52"/>
      <c r="F545" s="4"/>
      <c r="G545" s="4"/>
      <c r="H545" s="52"/>
      <c r="I545" s="52"/>
      <c r="J545" s="52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52"/>
      <c r="C546" s="52"/>
      <c r="D546" s="52"/>
      <c r="E546" s="52"/>
      <c r="F546" s="4"/>
      <c r="G546" s="4"/>
      <c r="H546" s="52"/>
      <c r="I546" s="52"/>
      <c r="J546" s="52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52"/>
      <c r="C547" s="52"/>
      <c r="D547" s="52"/>
      <c r="E547" s="52"/>
      <c r="F547" s="4"/>
      <c r="G547" s="4"/>
      <c r="H547" s="52"/>
      <c r="I547" s="52"/>
      <c r="J547" s="52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52"/>
      <c r="C548" s="52"/>
      <c r="D548" s="52"/>
      <c r="E548" s="52"/>
      <c r="F548" s="4"/>
      <c r="G548" s="4"/>
      <c r="H548" s="52"/>
      <c r="I548" s="52"/>
      <c r="J548" s="52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52"/>
      <c r="C549" s="52"/>
      <c r="D549" s="52"/>
      <c r="E549" s="52"/>
      <c r="F549" s="4"/>
      <c r="G549" s="4"/>
      <c r="H549" s="52"/>
      <c r="I549" s="52"/>
      <c r="J549" s="52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52"/>
      <c r="C550" s="52"/>
      <c r="D550" s="52"/>
      <c r="E550" s="52"/>
      <c r="F550" s="4"/>
      <c r="G550" s="4"/>
      <c r="H550" s="52"/>
      <c r="I550" s="52"/>
      <c r="J550" s="52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52"/>
      <c r="C551" s="52"/>
      <c r="D551" s="52"/>
      <c r="E551" s="52"/>
      <c r="F551" s="4"/>
      <c r="G551" s="4"/>
      <c r="H551" s="52"/>
      <c r="I551" s="52"/>
      <c r="J551" s="52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52"/>
      <c r="C552" s="52"/>
      <c r="D552" s="52"/>
      <c r="E552" s="52"/>
      <c r="F552" s="4"/>
      <c r="G552" s="4"/>
      <c r="H552" s="52"/>
      <c r="I552" s="52"/>
      <c r="J552" s="52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52"/>
      <c r="C553" s="52"/>
      <c r="D553" s="52"/>
      <c r="E553" s="52"/>
      <c r="F553" s="4"/>
      <c r="G553" s="4"/>
      <c r="H553" s="52"/>
      <c r="I553" s="52"/>
      <c r="J553" s="52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52"/>
      <c r="C554" s="52"/>
      <c r="D554" s="52"/>
      <c r="E554" s="52"/>
      <c r="F554" s="4"/>
      <c r="G554" s="4"/>
      <c r="H554" s="52"/>
      <c r="I554" s="52"/>
      <c r="J554" s="52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52"/>
      <c r="C555" s="52"/>
      <c r="D555" s="52"/>
      <c r="E555" s="52"/>
      <c r="F555" s="4"/>
      <c r="G555" s="4"/>
      <c r="H555" s="52"/>
      <c r="I555" s="52"/>
      <c r="J555" s="52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52"/>
      <c r="C556" s="52"/>
      <c r="D556" s="52"/>
      <c r="E556" s="52"/>
      <c r="F556" s="4"/>
      <c r="G556" s="4"/>
      <c r="H556" s="52"/>
      <c r="I556" s="52"/>
      <c r="J556" s="52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52"/>
      <c r="C557" s="52"/>
      <c r="D557" s="52"/>
      <c r="E557" s="52"/>
      <c r="F557" s="4"/>
      <c r="G557" s="4"/>
      <c r="H557" s="52"/>
      <c r="I557" s="52"/>
      <c r="J557" s="52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52"/>
      <c r="C558" s="52"/>
      <c r="D558" s="52"/>
      <c r="E558" s="52"/>
      <c r="F558" s="4"/>
      <c r="G558" s="4"/>
      <c r="H558" s="52"/>
      <c r="I558" s="52"/>
      <c r="J558" s="52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52"/>
      <c r="C559" s="52"/>
      <c r="D559" s="52"/>
      <c r="E559" s="52"/>
      <c r="F559" s="4"/>
      <c r="G559" s="4"/>
      <c r="H559" s="52"/>
      <c r="I559" s="52"/>
      <c r="J559" s="52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52"/>
      <c r="C560" s="52"/>
      <c r="D560" s="52"/>
      <c r="E560" s="52"/>
      <c r="F560" s="4"/>
      <c r="G560" s="4"/>
      <c r="H560" s="52"/>
      <c r="I560" s="52"/>
      <c r="J560" s="52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52"/>
      <c r="C561" s="52"/>
      <c r="D561" s="52"/>
      <c r="E561" s="52"/>
      <c r="F561" s="4"/>
      <c r="G561" s="4"/>
      <c r="H561" s="52"/>
      <c r="I561" s="52"/>
      <c r="J561" s="52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52"/>
      <c r="C562" s="52"/>
      <c r="D562" s="52"/>
      <c r="E562" s="52"/>
      <c r="F562" s="4"/>
      <c r="G562" s="4"/>
      <c r="H562" s="52"/>
      <c r="I562" s="52"/>
      <c r="J562" s="52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52"/>
      <c r="C563" s="52"/>
      <c r="D563" s="52"/>
      <c r="E563" s="52"/>
      <c r="F563" s="4"/>
      <c r="G563" s="4"/>
      <c r="H563" s="52"/>
      <c r="I563" s="52"/>
      <c r="J563" s="52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52"/>
      <c r="C564" s="52"/>
      <c r="D564" s="52"/>
      <c r="E564" s="52"/>
      <c r="F564" s="4"/>
      <c r="G564" s="4"/>
      <c r="H564" s="52"/>
      <c r="I564" s="52"/>
      <c r="J564" s="52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52"/>
      <c r="C565" s="52"/>
      <c r="D565" s="52"/>
      <c r="E565" s="52"/>
      <c r="F565" s="4"/>
      <c r="G565" s="4"/>
      <c r="H565" s="52"/>
      <c r="I565" s="52"/>
      <c r="J565" s="52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52"/>
      <c r="C566" s="52"/>
      <c r="D566" s="52"/>
      <c r="E566" s="52"/>
      <c r="F566" s="4"/>
      <c r="G566" s="4"/>
      <c r="H566" s="52"/>
      <c r="I566" s="52"/>
      <c r="J566" s="52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52"/>
      <c r="C567" s="52"/>
      <c r="D567" s="52"/>
      <c r="E567" s="52"/>
      <c r="F567" s="4"/>
      <c r="G567" s="4"/>
      <c r="H567" s="52"/>
      <c r="I567" s="52"/>
      <c r="J567" s="52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52"/>
      <c r="C568" s="52"/>
      <c r="D568" s="52"/>
      <c r="E568" s="52"/>
      <c r="F568" s="4"/>
      <c r="G568" s="4"/>
      <c r="H568" s="52"/>
      <c r="I568" s="52"/>
      <c r="J568" s="52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52"/>
      <c r="C569" s="52"/>
      <c r="D569" s="52"/>
      <c r="E569" s="52"/>
      <c r="F569" s="4"/>
      <c r="G569" s="4"/>
      <c r="H569" s="52"/>
      <c r="I569" s="52"/>
      <c r="J569" s="52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52"/>
      <c r="C570" s="52"/>
      <c r="D570" s="52"/>
      <c r="E570" s="52"/>
      <c r="F570" s="4"/>
      <c r="G570" s="4"/>
      <c r="H570" s="52"/>
      <c r="I570" s="52"/>
      <c r="J570" s="52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52"/>
      <c r="C571" s="52"/>
      <c r="D571" s="52"/>
      <c r="E571" s="52"/>
      <c r="F571" s="4"/>
      <c r="G571" s="4"/>
      <c r="H571" s="52"/>
      <c r="I571" s="52"/>
      <c r="J571" s="52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52"/>
      <c r="C572" s="52"/>
      <c r="D572" s="52"/>
      <c r="E572" s="52"/>
      <c r="F572" s="4"/>
      <c r="G572" s="4"/>
      <c r="H572" s="52"/>
      <c r="I572" s="52"/>
      <c r="J572" s="52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52"/>
      <c r="C573" s="52"/>
      <c r="D573" s="52"/>
      <c r="E573" s="52"/>
      <c r="F573" s="4"/>
      <c r="G573" s="4"/>
      <c r="H573" s="52"/>
      <c r="I573" s="52"/>
      <c r="J573" s="52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52"/>
      <c r="C574" s="52"/>
      <c r="D574" s="52"/>
      <c r="E574" s="52"/>
      <c r="F574" s="4"/>
      <c r="G574" s="4"/>
      <c r="H574" s="52"/>
      <c r="I574" s="52"/>
      <c r="J574" s="52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52"/>
      <c r="C575" s="52"/>
      <c r="D575" s="52"/>
      <c r="E575" s="52"/>
      <c r="F575" s="4"/>
      <c r="G575" s="4"/>
      <c r="H575" s="52"/>
      <c r="I575" s="52"/>
      <c r="J575" s="52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52"/>
      <c r="C576" s="52"/>
      <c r="D576" s="52"/>
      <c r="E576" s="52"/>
      <c r="F576" s="4"/>
      <c r="G576" s="4"/>
      <c r="H576" s="52"/>
      <c r="I576" s="52"/>
      <c r="J576" s="52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52"/>
      <c r="C577" s="52"/>
      <c r="D577" s="52"/>
      <c r="E577" s="52"/>
      <c r="F577" s="4"/>
      <c r="G577" s="4"/>
      <c r="H577" s="52"/>
      <c r="I577" s="52"/>
      <c r="J577" s="52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52"/>
      <c r="C578" s="52"/>
      <c r="D578" s="52"/>
      <c r="E578" s="52"/>
      <c r="F578" s="4"/>
      <c r="G578" s="4"/>
      <c r="H578" s="52"/>
      <c r="I578" s="52"/>
      <c r="J578" s="52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52"/>
      <c r="C579" s="52"/>
      <c r="D579" s="52"/>
      <c r="E579" s="52"/>
      <c r="F579" s="4"/>
      <c r="G579" s="4"/>
      <c r="H579" s="52"/>
      <c r="I579" s="52"/>
      <c r="J579" s="52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52"/>
      <c r="C580" s="52"/>
      <c r="D580" s="52"/>
      <c r="E580" s="52"/>
      <c r="F580" s="4"/>
      <c r="G580" s="4"/>
      <c r="H580" s="52"/>
      <c r="I580" s="52"/>
      <c r="J580" s="52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52"/>
      <c r="C581" s="52"/>
      <c r="D581" s="52"/>
      <c r="E581" s="52"/>
      <c r="F581" s="4"/>
      <c r="G581" s="4"/>
      <c r="H581" s="52"/>
      <c r="I581" s="52"/>
      <c r="J581" s="52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52"/>
      <c r="C582" s="52"/>
      <c r="D582" s="52"/>
      <c r="E582" s="52"/>
      <c r="F582" s="4"/>
      <c r="G582" s="4"/>
      <c r="H582" s="52"/>
      <c r="I582" s="52"/>
      <c r="J582" s="52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52"/>
      <c r="C583" s="52"/>
      <c r="D583" s="52"/>
      <c r="E583" s="52"/>
      <c r="F583" s="4"/>
      <c r="G583" s="4"/>
      <c r="H583" s="52"/>
      <c r="I583" s="52"/>
      <c r="J583" s="52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52"/>
      <c r="C584" s="52"/>
      <c r="D584" s="52"/>
      <c r="E584" s="52"/>
      <c r="F584" s="4"/>
      <c r="G584" s="4"/>
      <c r="H584" s="52"/>
      <c r="I584" s="52"/>
      <c r="J584" s="52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52"/>
      <c r="C585" s="52"/>
      <c r="D585" s="52"/>
      <c r="E585" s="52"/>
      <c r="F585" s="4"/>
      <c r="G585" s="4"/>
      <c r="H585" s="52"/>
      <c r="I585" s="52"/>
      <c r="J585" s="52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52"/>
      <c r="C586" s="52"/>
      <c r="D586" s="52"/>
      <c r="E586" s="52"/>
      <c r="F586" s="4"/>
      <c r="G586" s="4"/>
      <c r="H586" s="52"/>
      <c r="I586" s="52"/>
      <c r="J586" s="52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52"/>
      <c r="C587" s="52"/>
      <c r="D587" s="52"/>
      <c r="E587" s="52"/>
      <c r="F587" s="4"/>
      <c r="G587" s="4"/>
      <c r="H587" s="52"/>
      <c r="I587" s="52"/>
      <c r="J587" s="52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52"/>
      <c r="C588" s="52"/>
      <c r="D588" s="52"/>
      <c r="E588" s="52"/>
      <c r="F588" s="4"/>
      <c r="G588" s="4"/>
      <c r="H588" s="52"/>
      <c r="I588" s="52"/>
      <c r="J588" s="52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52"/>
      <c r="C589" s="52"/>
      <c r="D589" s="52"/>
      <c r="E589" s="52"/>
      <c r="F589" s="4"/>
      <c r="G589" s="4"/>
      <c r="H589" s="52"/>
      <c r="I589" s="52"/>
      <c r="J589" s="52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52"/>
      <c r="C590" s="52"/>
      <c r="D590" s="52"/>
      <c r="E590" s="52"/>
      <c r="F590" s="4"/>
      <c r="G590" s="4"/>
      <c r="H590" s="52"/>
      <c r="I590" s="52"/>
      <c r="J590" s="52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52"/>
      <c r="C591" s="52"/>
      <c r="D591" s="52"/>
      <c r="E591" s="52"/>
      <c r="F591" s="4"/>
      <c r="G591" s="4"/>
      <c r="H591" s="52"/>
      <c r="I591" s="52"/>
      <c r="J591" s="52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52"/>
      <c r="C592" s="52"/>
      <c r="D592" s="52"/>
      <c r="E592" s="52"/>
      <c r="F592" s="4"/>
      <c r="G592" s="4"/>
      <c r="H592" s="52"/>
      <c r="I592" s="52"/>
      <c r="J592" s="52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52"/>
      <c r="C593" s="52"/>
      <c r="D593" s="52"/>
      <c r="E593" s="52"/>
      <c r="F593" s="4"/>
      <c r="G593" s="4"/>
      <c r="H593" s="52"/>
      <c r="I593" s="52"/>
      <c r="J593" s="52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52"/>
      <c r="C594" s="52"/>
      <c r="D594" s="52"/>
      <c r="E594" s="52"/>
      <c r="F594" s="4"/>
      <c r="G594" s="4"/>
      <c r="H594" s="52"/>
      <c r="I594" s="52"/>
      <c r="J594" s="52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52"/>
      <c r="C595" s="52"/>
      <c r="D595" s="52"/>
      <c r="E595" s="52"/>
      <c r="F595" s="4"/>
      <c r="G595" s="4"/>
      <c r="H595" s="52"/>
      <c r="I595" s="52"/>
      <c r="J595" s="52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52"/>
      <c r="C596" s="52"/>
      <c r="D596" s="52"/>
      <c r="E596" s="52"/>
      <c r="F596" s="4"/>
      <c r="G596" s="4"/>
      <c r="H596" s="52"/>
      <c r="I596" s="52"/>
      <c r="J596" s="52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52"/>
      <c r="C597" s="52"/>
      <c r="D597" s="52"/>
      <c r="E597" s="52"/>
      <c r="F597" s="4"/>
      <c r="G597" s="4"/>
      <c r="H597" s="52"/>
      <c r="I597" s="52"/>
      <c r="J597" s="52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52"/>
      <c r="C598" s="52"/>
      <c r="D598" s="52"/>
      <c r="E598" s="52"/>
      <c r="F598" s="4"/>
      <c r="G598" s="4"/>
      <c r="H598" s="52"/>
      <c r="I598" s="52"/>
      <c r="J598" s="52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52"/>
      <c r="C599" s="52"/>
      <c r="D599" s="52"/>
      <c r="E599" s="52"/>
      <c r="F599" s="4"/>
      <c r="G599" s="4"/>
      <c r="H599" s="52"/>
      <c r="I599" s="52"/>
      <c r="J599" s="52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52"/>
      <c r="C600" s="52"/>
      <c r="D600" s="52"/>
      <c r="E600" s="52"/>
      <c r="F600" s="4"/>
      <c r="G600" s="4"/>
      <c r="H600" s="52"/>
      <c r="I600" s="52"/>
      <c r="J600" s="52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52"/>
      <c r="C601" s="52"/>
      <c r="D601" s="52"/>
      <c r="E601" s="52"/>
      <c r="F601" s="4"/>
      <c r="G601" s="4"/>
      <c r="H601" s="52"/>
      <c r="I601" s="52"/>
      <c r="J601" s="52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52"/>
      <c r="C602" s="52"/>
      <c r="D602" s="52"/>
      <c r="E602" s="52"/>
      <c r="F602" s="4"/>
      <c r="G602" s="4"/>
      <c r="H602" s="52"/>
      <c r="I602" s="52"/>
      <c r="J602" s="52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52"/>
      <c r="C603" s="52"/>
      <c r="D603" s="52"/>
      <c r="E603" s="52"/>
      <c r="F603" s="4"/>
      <c r="G603" s="4"/>
      <c r="H603" s="52"/>
      <c r="I603" s="52"/>
      <c r="J603" s="52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52"/>
      <c r="C604" s="52"/>
      <c r="D604" s="52"/>
      <c r="E604" s="52"/>
      <c r="F604" s="4"/>
      <c r="G604" s="4"/>
      <c r="H604" s="52"/>
      <c r="I604" s="52"/>
      <c r="J604" s="52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52"/>
      <c r="C605" s="52"/>
      <c r="D605" s="52"/>
      <c r="E605" s="52"/>
      <c r="F605" s="4"/>
      <c r="G605" s="4"/>
      <c r="H605" s="52"/>
      <c r="I605" s="52"/>
      <c r="J605" s="52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52"/>
      <c r="C606" s="52"/>
      <c r="D606" s="52"/>
      <c r="E606" s="52"/>
      <c r="F606" s="4"/>
      <c r="G606" s="4"/>
      <c r="H606" s="52"/>
      <c r="I606" s="52"/>
      <c r="J606" s="52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52"/>
      <c r="C607" s="52"/>
      <c r="D607" s="52"/>
      <c r="E607" s="52"/>
      <c r="F607" s="4"/>
      <c r="G607" s="4"/>
      <c r="H607" s="52"/>
      <c r="I607" s="52"/>
      <c r="J607" s="52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52"/>
      <c r="C608" s="52"/>
      <c r="D608" s="52"/>
      <c r="E608" s="52"/>
      <c r="F608" s="4"/>
      <c r="G608" s="4"/>
      <c r="H608" s="52"/>
      <c r="I608" s="52"/>
      <c r="J608" s="52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52"/>
      <c r="C609" s="52"/>
      <c r="D609" s="52"/>
      <c r="E609" s="52"/>
      <c r="F609" s="4"/>
      <c r="G609" s="4"/>
      <c r="H609" s="52"/>
      <c r="I609" s="52"/>
      <c r="J609" s="52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52"/>
      <c r="C610" s="52"/>
      <c r="D610" s="52"/>
      <c r="E610" s="52"/>
      <c r="F610" s="4"/>
      <c r="G610" s="4"/>
      <c r="H610" s="52"/>
      <c r="I610" s="52"/>
      <c r="J610" s="52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52"/>
      <c r="C611" s="52"/>
      <c r="D611" s="52"/>
      <c r="E611" s="52"/>
      <c r="F611" s="4"/>
      <c r="G611" s="4"/>
      <c r="H611" s="52"/>
      <c r="I611" s="52"/>
      <c r="J611" s="52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52"/>
      <c r="C612" s="52"/>
      <c r="D612" s="52"/>
      <c r="E612" s="52"/>
      <c r="F612" s="4"/>
      <c r="G612" s="4"/>
      <c r="H612" s="52"/>
      <c r="I612" s="52"/>
      <c r="J612" s="52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52"/>
      <c r="C613" s="52"/>
      <c r="D613" s="52"/>
      <c r="E613" s="52"/>
      <c r="F613" s="4"/>
      <c r="G613" s="4"/>
      <c r="H613" s="52"/>
      <c r="I613" s="52"/>
      <c r="J613" s="52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52"/>
      <c r="C614" s="52"/>
      <c r="D614" s="52"/>
      <c r="E614" s="52"/>
      <c r="F614" s="4"/>
      <c r="G614" s="4"/>
      <c r="H614" s="52"/>
      <c r="I614" s="52"/>
      <c r="J614" s="52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52"/>
      <c r="C615" s="52"/>
      <c r="D615" s="52"/>
      <c r="E615" s="52"/>
      <c r="F615" s="4"/>
      <c r="G615" s="4"/>
      <c r="H615" s="52"/>
      <c r="I615" s="52"/>
      <c r="J615" s="52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52"/>
      <c r="C616" s="52"/>
      <c r="D616" s="52"/>
      <c r="E616" s="52"/>
      <c r="F616" s="4"/>
      <c r="G616" s="4"/>
      <c r="H616" s="52"/>
      <c r="I616" s="52"/>
      <c r="J616" s="52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52"/>
      <c r="C617" s="52"/>
      <c r="D617" s="52"/>
      <c r="E617" s="52"/>
      <c r="F617" s="4"/>
      <c r="G617" s="4"/>
      <c r="H617" s="52"/>
      <c r="I617" s="52"/>
      <c r="J617" s="52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52"/>
      <c r="C618" s="52"/>
      <c r="D618" s="52"/>
      <c r="E618" s="52"/>
      <c r="F618" s="4"/>
      <c r="G618" s="4"/>
      <c r="H618" s="52"/>
      <c r="I618" s="52"/>
      <c r="J618" s="52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52"/>
      <c r="C619" s="52"/>
      <c r="D619" s="52"/>
      <c r="E619" s="52"/>
      <c r="F619" s="4"/>
      <c r="G619" s="4"/>
      <c r="H619" s="52"/>
      <c r="I619" s="52"/>
      <c r="J619" s="52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52"/>
      <c r="C620" s="52"/>
      <c r="D620" s="52"/>
      <c r="E620" s="52"/>
      <c r="F620" s="4"/>
      <c r="G620" s="4"/>
      <c r="H620" s="52"/>
      <c r="I620" s="52"/>
      <c r="J620" s="52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52"/>
      <c r="C621" s="52"/>
      <c r="D621" s="52"/>
      <c r="E621" s="52"/>
      <c r="F621" s="4"/>
      <c r="G621" s="4"/>
      <c r="H621" s="52"/>
      <c r="I621" s="52"/>
      <c r="J621" s="52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52"/>
      <c r="C622" s="52"/>
      <c r="D622" s="52"/>
      <c r="E622" s="52"/>
      <c r="F622" s="4"/>
      <c r="G622" s="4"/>
      <c r="H622" s="52"/>
      <c r="I622" s="52"/>
      <c r="J622" s="52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52"/>
      <c r="C623" s="52"/>
      <c r="D623" s="52"/>
      <c r="E623" s="52"/>
      <c r="F623" s="4"/>
      <c r="G623" s="4"/>
      <c r="H623" s="52"/>
      <c r="I623" s="52"/>
      <c r="J623" s="52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52"/>
      <c r="C624" s="52"/>
      <c r="D624" s="52"/>
      <c r="E624" s="52"/>
      <c r="F624" s="4"/>
      <c r="G624" s="4"/>
      <c r="H624" s="52"/>
      <c r="I624" s="52"/>
      <c r="J624" s="52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52"/>
      <c r="C625" s="52"/>
      <c r="D625" s="52"/>
      <c r="E625" s="52"/>
      <c r="F625" s="4"/>
      <c r="G625" s="4"/>
      <c r="H625" s="52"/>
      <c r="I625" s="52"/>
      <c r="J625" s="52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52"/>
      <c r="C626" s="52"/>
      <c r="D626" s="52"/>
      <c r="E626" s="52"/>
      <c r="F626" s="4"/>
      <c r="G626" s="4"/>
      <c r="H626" s="52"/>
      <c r="I626" s="52"/>
      <c r="J626" s="52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52"/>
      <c r="C627" s="52"/>
      <c r="D627" s="52"/>
      <c r="E627" s="52"/>
      <c r="F627" s="4"/>
      <c r="G627" s="4"/>
      <c r="H627" s="52"/>
      <c r="I627" s="52"/>
      <c r="J627" s="52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52"/>
      <c r="C628" s="52"/>
      <c r="D628" s="52"/>
      <c r="E628" s="52"/>
      <c r="F628" s="4"/>
      <c r="G628" s="4"/>
      <c r="H628" s="52"/>
      <c r="I628" s="52"/>
      <c r="J628" s="52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52"/>
      <c r="C629" s="52"/>
      <c r="D629" s="52"/>
      <c r="E629" s="52"/>
      <c r="F629" s="4"/>
      <c r="G629" s="4"/>
      <c r="H629" s="52"/>
      <c r="I629" s="52"/>
      <c r="J629" s="52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52"/>
      <c r="C630" s="52"/>
      <c r="D630" s="52"/>
      <c r="E630" s="52"/>
      <c r="F630" s="4"/>
      <c r="G630" s="4"/>
      <c r="H630" s="52"/>
      <c r="I630" s="52"/>
      <c r="J630" s="52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52"/>
      <c r="C631" s="52"/>
      <c r="D631" s="52"/>
      <c r="E631" s="52"/>
      <c r="F631" s="4"/>
      <c r="G631" s="4"/>
      <c r="H631" s="52"/>
      <c r="I631" s="52"/>
      <c r="J631" s="52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52"/>
      <c r="C632" s="52"/>
      <c r="D632" s="52"/>
      <c r="E632" s="52"/>
      <c r="F632" s="4"/>
      <c r="G632" s="4"/>
      <c r="H632" s="52"/>
      <c r="I632" s="52"/>
      <c r="J632" s="52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52"/>
      <c r="C633" s="52"/>
      <c r="D633" s="52"/>
      <c r="E633" s="52"/>
      <c r="F633" s="4"/>
      <c r="G633" s="4"/>
      <c r="H633" s="52"/>
      <c r="I633" s="52"/>
      <c r="J633" s="52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52"/>
      <c r="C634" s="52"/>
      <c r="D634" s="52"/>
      <c r="E634" s="52"/>
      <c r="F634" s="4"/>
      <c r="G634" s="4"/>
      <c r="H634" s="52"/>
      <c r="I634" s="52"/>
      <c r="J634" s="52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52"/>
      <c r="C635" s="52"/>
      <c r="D635" s="52"/>
      <c r="E635" s="52"/>
      <c r="F635" s="4"/>
      <c r="G635" s="4"/>
      <c r="H635" s="52"/>
      <c r="I635" s="52"/>
      <c r="J635" s="52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52"/>
      <c r="C636" s="52"/>
      <c r="D636" s="52"/>
      <c r="E636" s="52"/>
      <c r="F636" s="4"/>
      <c r="G636" s="4"/>
      <c r="H636" s="52"/>
      <c r="I636" s="52"/>
      <c r="J636" s="52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52"/>
      <c r="C637" s="52"/>
      <c r="D637" s="52"/>
      <c r="E637" s="52"/>
      <c r="F637" s="4"/>
      <c r="G637" s="4"/>
      <c r="H637" s="52"/>
      <c r="I637" s="52"/>
      <c r="J637" s="52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52"/>
      <c r="C638" s="52"/>
      <c r="D638" s="52"/>
      <c r="E638" s="52"/>
      <c r="F638" s="4"/>
      <c r="G638" s="4"/>
      <c r="H638" s="52"/>
      <c r="I638" s="52"/>
      <c r="J638" s="52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52"/>
      <c r="C639" s="52"/>
      <c r="D639" s="52"/>
      <c r="E639" s="52"/>
      <c r="F639" s="4"/>
      <c r="G639" s="4"/>
      <c r="H639" s="52"/>
      <c r="I639" s="52"/>
      <c r="J639" s="52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52"/>
      <c r="C640" s="52"/>
      <c r="D640" s="52"/>
      <c r="E640" s="52"/>
      <c r="F640" s="4"/>
      <c r="G640" s="4"/>
      <c r="H640" s="52"/>
      <c r="I640" s="52"/>
      <c r="J640" s="52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52"/>
      <c r="C641" s="52"/>
      <c r="D641" s="52"/>
      <c r="E641" s="52"/>
      <c r="F641" s="4"/>
      <c r="G641" s="4"/>
      <c r="H641" s="52"/>
      <c r="I641" s="52"/>
      <c r="J641" s="52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52"/>
      <c r="C642" s="52"/>
      <c r="D642" s="52"/>
      <c r="E642" s="52"/>
      <c r="F642" s="4"/>
      <c r="G642" s="4"/>
      <c r="H642" s="52"/>
      <c r="I642" s="52"/>
      <c r="J642" s="52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52"/>
      <c r="C643" s="52"/>
      <c r="D643" s="52"/>
      <c r="E643" s="52"/>
      <c r="F643" s="4"/>
      <c r="G643" s="4"/>
      <c r="H643" s="52"/>
      <c r="I643" s="52"/>
      <c r="J643" s="52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52"/>
      <c r="C644" s="52"/>
      <c r="D644" s="52"/>
      <c r="E644" s="52"/>
      <c r="F644" s="4"/>
      <c r="G644" s="4"/>
      <c r="H644" s="52"/>
      <c r="I644" s="52"/>
      <c r="J644" s="52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52"/>
      <c r="C645" s="52"/>
      <c r="D645" s="52"/>
      <c r="E645" s="52"/>
      <c r="F645" s="4"/>
      <c r="G645" s="4"/>
      <c r="H645" s="52"/>
      <c r="I645" s="52"/>
      <c r="J645" s="52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52"/>
      <c r="C646" s="52"/>
      <c r="D646" s="52"/>
      <c r="E646" s="52"/>
      <c r="F646" s="4"/>
      <c r="G646" s="4"/>
      <c r="H646" s="52"/>
      <c r="I646" s="52"/>
      <c r="J646" s="52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52"/>
      <c r="C647" s="52"/>
      <c r="D647" s="52"/>
      <c r="E647" s="52"/>
      <c r="F647" s="4"/>
      <c r="G647" s="4"/>
      <c r="H647" s="52"/>
      <c r="I647" s="52"/>
      <c r="J647" s="52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52"/>
      <c r="C648" s="52"/>
      <c r="D648" s="52"/>
      <c r="E648" s="52"/>
      <c r="F648" s="4"/>
      <c r="G648" s="4"/>
      <c r="H648" s="52"/>
      <c r="I648" s="52"/>
      <c r="J648" s="52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52"/>
      <c r="C649" s="52"/>
      <c r="D649" s="52"/>
      <c r="E649" s="52"/>
      <c r="F649" s="4"/>
      <c r="G649" s="4"/>
      <c r="H649" s="52"/>
      <c r="I649" s="52"/>
      <c r="J649" s="52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52"/>
      <c r="C650" s="52"/>
      <c r="D650" s="52"/>
      <c r="E650" s="52"/>
      <c r="F650" s="4"/>
      <c r="G650" s="4"/>
      <c r="H650" s="52"/>
      <c r="I650" s="52"/>
      <c r="J650" s="52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52"/>
      <c r="C651" s="52"/>
      <c r="D651" s="52"/>
      <c r="E651" s="52"/>
      <c r="F651" s="4"/>
      <c r="G651" s="4"/>
      <c r="H651" s="52"/>
      <c r="I651" s="52"/>
      <c r="J651" s="52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52"/>
      <c r="C652" s="52"/>
      <c r="D652" s="52"/>
      <c r="E652" s="52"/>
      <c r="F652" s="4"/>
      <c r="G652" s="4"/>
      <c r="H652" s="52"/>
      <c r="I652" s="52"/>
      <c r="J652" s="52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52"/>
      <c r="C653" s="52"/>
      <c r="D653" s="52"/>
      <c r="E653" s="52"/>
      <c r="F653" s="4"/>
      <c r="G653" s="4"/>
      <c r="H653" s="52"/>
      <c r="I653" s="52"/>
      <c r="J653" s="52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52"/>
      <c r="C654" s="52"/>
      <c r="D654" s="52"/>
      <c r="E654" s="52"/>
      <c r="F654" s="4"/>
      <c r="G654" s="4"/>
      <c r="H654" s="52"/>
      <c r="I654" s="52"/>
      <c r="J654" s="52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52"/>
      <c r="C655" s="52"/>
      <c r="D655" s="52"/>
      <c r="E655" s="52"/>
      <c r="F655" s="4"/>
      <c r="G655" s="4"/>
      <c r="H655" s="52"/>
      <c r="I655" s="52"/>
      <c r="J655" s="52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52"/>
      <c r="C656" s="52"/>
      <c r="D656" s="52"/>
      <c r="E656" s="52"/>
      <c r="F656" s="4"/>
      <c r="G656" s="4"/>
      <c r="H656" s="52"/>
      <c r="I656" s="52"/>
      <c r="J656" s="52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52"/>
      <c r="C657" s="52"/>
      <c r="D657" s="52"/>
      <c r="E657" s="52"/>
      <c r="F657" s="4"/>
      <c r="G657" s="4"/>
      <c r="H657" s="52"/>
      <c r="I657" s="52"/>
      <c r="J657" s="52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52"/>
      <c r="C658" s="52"/>
      <c r="D658" s="52"/>
      <c r="E658" s="52"/>
      <c r="F658" s="4"/>
      <c r="G658" s="4"/>
      <c r="H658" s="52"/>
      <c r="I658" s="52"/>
      <c r="J658" s="52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52"/>
      <c r="C659" s="52"/>
      <c r="D659" s="52"/>
      <c r="E659" s="52"/>
      <c r="F659" s="4"/>
      <c r="G659" s="4"/>
      <c r="H659" s="52"/>
      <c r="I659" s="52"/>
      <c r="J659" s="52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52"/>
      <c r="C660" s="52"/>
      <c r="D660" s="52"/>
      <c r="E660" s="52"/>
      <c r="F660" s="4"/>
      <c r="G660" s="4"/>
      <c r="H660" s="52"/>
      <c r="I660" s="52"/>
      <c r="J660" s="52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52"/>
      <c r="C661" s="52"/>
      <c r="D661" s="52"/>
      <c r="E661" s="52"/>
      <c r="F661" s="4"/>
      <c r="G661" s="4"/>
      <c r="H661" s="52"/>
      <c r="I661" s="52"/>
      <c r="J661" s="52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52"/>
      <c r="C662" s="52"/>
      <c r="D662" s="52"/>
      <c r="E662" s="52"/>
      <c r="F662" s="4"/>
      <c r="G662" s="4"/>
      <c r="H662" s="52"/>
      <c r="I662" s="52"/>
      <c r="J662" s="52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52"/>
      <c r="C663" s="52"/>
      <c r="D663" s="52"/>
      <c r="E663" s="52"/>
      <c r="F663" s="4"/>
      <c r="G663" s="4"/>
      <c r="H663" s="52"/>
      <c r="I663" s="52"/>
      <c r="J663" s="52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52"/>
      <c r="C664" s="52"/>
      <c r="D664" s="52"/>
      <c r="E664" s="52"/>
      <c r="F664" s="4"/>
      <c r="G664" s="4"/>
      <c r="H664" s="52"/>
      <c r="I664" s="52"/>
      <c r="J664" s="52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52"/>
      <c r="C665" s="52"/>
      <c r="D665" s="52"/>
      <c r="E665" s="52"/>
      <c r="F665" s="4"/>
      <c r="G665" s="4"/>
      <c r="H665" s="52"/>
      <c r="I665" s="52"/>
      <c r="J665" s="52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52"/>
      <c r="C666" s="52"/>
      <c r="D666" s="52"/>
      <c r="E666" s="52"/>
      <c r="F666" s="4"/>
      <c r="G666" s="4"/>
      <c r="H666" s="52"/>
      <c r="I666" s="52"/>
      <c r="J666" s="52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52"/>
      <c r="C667" s="52"/>
      <c r="D667" s="52"/>
      <c r="E667" s="52"/>
      <c r="F667" s="4"/>
      <c r="G667" s="4"/>
      <c r="H667" s="52"/>
      <c r="I667" s="52"/>
      <c r="J667" s="52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52"/>
      <c r="C668" s="52"/>
      <c r="D668" s="52"/>
      <c r="E668" s="52"/>
      <c r="F668" s="4"/>
      <c r="G668" s="4"/>
      <c r="H668" s="52"/>
      <c r="I668" s="52"/>
      <c r="J668" s="52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52"/>
      <c r="C669" s="52"/>
      <c r="D669" s="52"/>
      <c r="E669" s="52"/>
      <c r="F669" s="4"/>
      <c r="G669" s="4"/>
      <c r="H669" s="52"/>
      <c r="I669" s="52"/>
      <c r="J669" s="52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52"/>
      <c r="C670" s="52"/>
      <c r="D670" s="52"/>
      <c r="E670" s="52"/>
      <c r="F670" s="4"/>
      <c r="G670" s="4"/>
      <c r="H670" s="52"/>
      <c r="I670" s="52"/>
      <c r="J670" s="52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52"/>
      <c r="C671" s="52"/>
      <c r="D671" s="52"/>
      <c r="E671" s="52"/>
      <c r="F671" s="4"/>
      <c r="G671" s="4"/>
      <c r="H671" s="52"/>
      <c r="I671" s="52"/>
      <c r="J671" s="52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52"/>
      <c r="C672" s="52"/>
      <c r="D672" s="52"/>
      <c r="E672" s="52"/>
      <c r="F672" s="4"/>
      <c r="G672" s="4"/>
      <c r="H672" s="52"/>
      <c r="I672" s="52"/>
      <c r="J672" s="52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52"/>
      <c r="C673" s="52"/>
      <c r="D673" s="52"/>
      <c r="E673" s="52"/>
      <c r="F673" s="4"/>
      <c r="G673" s="4"/>
      <c r="H673" s="52"/>
      <c r="I673" s="52"/>
      <c r="J673" s="52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52"/>
      <c r="C674" s="52"/>
      <c r="D674" s="52"/>
      <c r="E674" s="52"/>
      <c r="F674" s="4"/>
      <c r="G674" s="4"/>
      <c r="H674" s="52"/>
      <c r="I674" s="52"/>
      <c r="J674" s="52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52"/>
      <c r="C675" s="52"/>
      <c r="D675" s="52"/>
      <c r="E675" s="52"/>
      <c r="F675" s="4"/>
      <c r="G675" s="4"/>
      <c r="H675" s="52"/>
      <c r="I675" s="52"/>
      <c r="J675" s="52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52"/>
      <c r="C676" s="52"/>
      <c r="D676" s="52"/>
      <c r="E676" s="52"/>
      <c r="F676" s="4"/>
      <c r="G676" s="4"/>
      <c r="H676" s="52"/>
      <c r="I676" s="52"/>
      <c r="J676" s="52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52"/>
      <c r="C677" s="52"/>
      <c r="D677" s="52"/>
      <c r="E677" s="52"/>
      <c r="F677" s="4"/>
      <c r="G677" s="4"/>
      <c r="H677" s="52"/>
      <c r="I677" s="52"/>
      <c r="J677" s="52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52"/>
      <c r="C678" s="52"/>
      <c r="D678" s="52"/>
      <c r="E678" s="52"/>
      <c r="F678" s="4"/>
      <c r="G678" s="4"/>
      <c r="H678" s="52"/>
      <c r="I678" s="52"/>
      <c r="J678" s="52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52"/>
      <c r="C679" s="52"/>
      <c r="D679" s="52"/>
      <c r="E679" s="52"/>
      <c r="F679" s="4"/>
      <c r="G679" s="4"/>
      <c r="H679" s="52"/>
      <c r="I679" s="52"/>
      <c r="J679" s="52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52"/>
      <c r="C680" s="52"/>
      <c r="D680" s="52"/>
      <c r="E680" s="52"/>
      <c r="F680" s="4"/>
      <c r="G680" s="4"/>
      <c r="H680" s="52"/>
      <c r="I680" s="52"/>
      <c r="J680" s="52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52"/>
      <c r="C681" s="52"/>
      <c r="D681" s="52"/>
      <c r="E681" s="52"/>
      <c r="F681" s="4"/>
      <c r="G681" s="4"/>
      <c r="H681" s="52"/>
      <c r="I681" s="52"/>
      <c r="J681" s="52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52"/>
      <c r="C682" s="52"/>
      <c r="D682" s="52"/>
      <c r="E682" s="52"/>
      <c r="F682" s="4"/>
      <c r="G682" s="4"/>
      <c r="H682" s="52"/>
      <c r="I682" s="52"/>
      <c r="J682" s="52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52"/>
      <c r="C683" s="52"/>
      <c r="D683" s="52"/>
      <c r="E683" s="52"/>
      <c r="F683" s="4"/>
      <c r="G683" s="4"/>
      <c r="H683" s="52"/>
      <c r="I683" s="52"/>
      <c r="J683" s="52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52"/>
      <c r="C684" s="52"/>
      <c r="D684" s="52"/>
      <c r="E684" s="52"/>
      <c r="F684" s="4"/>
      <c r="G684" s="4"/>
      <c r="H684" s="52"/>
      <c r="I684" s="52"/>
      <c r="J684" s="52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52"/>
      <c r="C685" s="52"/>
      <c r="D685" s="52"/>
      <c r="E685" s="52"/>
      <c r="F685" s="4"/>
      <c r="G685" s="4"/>
      <c r="H685" s="52"/>
      <c r="I685" s="52"/>
      <c r="J685" s="52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52"/>
      <c r="C686" s="52"/>
      <c r="D686" s="52"/>
      <c r="E686" s="52"/>
      <c r="F686" s="4"/>
      <c r="G686" s="4"/>
      <c r="H686" s="52"/>
      <c r="I686" s="52"/>
      <c r="J686" s="52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52"/>
      <c r="C687" s="52"/>
      <c r="D687" s="52"/>
      <c r="E687" s="52"/>
      <c r="F687" s="4"/>
      <c r="G687" s="4"/>
      <c r="H687" s="52"/>
      <c r="I687" s="52"/>
      <c r="J687" s="52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52"/>
      <c r="C688" s="52"/>
      <c r="D688" s="52"/>
      <c r="E688" s="52"/>
      <c r="F688" s="4"/>
      <c r="G688" s="4"/>
      <c r="H688" s="52"/>
      <c r="I688" s="52"/>
      <c r="J688" s="52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52"/>
      <c r="C689" s="52"/>
      <c r="D689" s="52"/>
      <c r="E689" s="52"/>
      <c r="F689" s="4"/>
      <c r="G689" s="4"/>
      <c r="H689" s="52"/>
      <c r="I689" s="52"/>
      <c r="J689" s="52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52"/>
      <c r="C690" s="52"/>
      <c r="D690" s="52"/>
      <c r="E690" s="52"/>
      <c r="F690" s="4"/>
      <c r="G690" s="4"/>
      <c r="H690" s="52"/>
      <c r="I690" s="52"/>
      <c r="J690" s="52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52"/>
      <c r="C691" s="52"/>
      <c r="D691" s="52"/>
      <c r="E691" s="52"/>
      <c r="F691" s="4"/>
      <c r="G691" s="4"/>
      <c r="H691" s="52"/>
      <c r="I691" s="52"/>
      <c r="J691" s="52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52"/>
      <c r="C692" s="52"/>
      <c r="D692" s="52"/>
      <c r="E692" s="52"/>
      <c r="F692" s="4"/>
      <c r="G692" s="4"/>
      <c r="H692" s="52"/>
      <c r="I692" s="52"/>
      <c r="J692" s="52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52"/>
      <c r="C693" s="52"/>
      <c r="D693" s="52"/>
      <c r="E693" s="52"/>
      <c r="F693" s="4"/>
      <c r="G693" s="4"/>
      <c r="H693" s="52"/>
      <c r="I693" s="52"/>
      <c r="J693" s="52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52"/>
      <c r="C694" s="52"/>
      <c r="D694" s="52"/>
      <c r="E694" s="52"/>
      <c r="F694" s="4"/>
      <c r="G694" s="4"/>
      <c r="H694" s="52"/>
      <c r="I694" s="52"/>
      <c r="J694" s="52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52"/>
      <c r="C695" s="52"/>
      <c r="D695" s="52"/>
      <c r="E695" s="52"/>
      <c r="F695" s="4"/>
      <c r="G695" s="4"/>
      <c r="H695" s="52"/>
      <c r="I695" s="52"/>
      <c r="J695" s="52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52"/>
      <c r="C696" s="52"/>
      <c r="D696" s="52"/>
      <c r="E696" s="52"/>
      <c r="F696" s="4"/>
      <c r="G696" s="4"/>
      <c r="H696" s="52"/>
      <c r="I696" s="52"/>
      <c r="J696" s="52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52"/>
      <c r="C697" s="52"/>
      <c r="D697" s="52"/>
      <c r="E697" s="52"/>
      <c r="F697" s="4"/>
      <c r="G697" s="4"/>
      <c r="H697" s="52"/>
      <c r="I697" s="52"/>
      <c r="J697" s="52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52"/>
      <c r="C698" s="52"/>
      <c r="D698" s="52"/>
      <c r="E698" s="52"/>
      <c r="F698" s="4"/>
      <c r="G698" s="4"/>
      <c r="H698" s="52"/>
      <c r="I698" s="52"/>
      <c r="J698" s="52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52"/>
      <c r="C699" s="52"/>
      <c r="D699" s="52"/>
      <c r="E699" s="52"/>
      <c r="F699" s="4"/>
      <c r="G699" s="4"/>
      <c r="H699" s="52"/>
      <c r="I699" s="52"/>
      <c r="J699" s="52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52"/>
      <c r="C700" s="52"/>
      <c r="D700" s="52"/>
      <c r="E700" s="52"/>
      <c r="F700" s="4"/>
      <c r="G700" s="4"/>
      <c r="H700" s="52"/>
      <c r="I700" s="52"/>
      <c r="J700" s="52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52"/>
      <c r="C701" s="52"/>
      <c r="D701" s="52"/>
      <c r="E701" s="52"/>
      <c r="F701" s="4"/>
      <c r="G701" s="4"/>
      <c r="H701" s="52"/>
      <c r="I701" s="52"/>
      <c r="J701" s="52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52"/>
      <c r="C702" s="52"/>
      <c r="D702" s="52"/>
      <c r="E702" s="52"/>
      <c r="F702" s="4"/>
      <c r="G702" s="4"/>
      <c r="H702" s="52"/>
      <c r="I702" s="52"/>
      <c r="J702" s="52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52"/>
      <c r="C703" s="52"/>
      <c r="D703" s="52"/>
      <c r="E703" s="52"/>
      <c r="F703" s="4"/>
      <c r="G703" s="4"/>
      <c r="H703" s="52"/>
      <c r="I703" s="52"/>
      <c r="J703" s="52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52"/>
      <c r="C704" s="52"/>
      <c r="D704" s="52"/>
      <c r="E704" s="52"/>
      <c r="F704" s="4"/>
      <c r="G704" s="4"/>
      <c r="H704" s="52"/>
      <c r="I704" s="52"/>
      <c r="J704" s="52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52"/>
      <c r="C705" s="52"/>
      <c r="D705" s="52"/>
      <c r="E705" s="52"/>
      <c r="F705" s="4"/>
      <c r="G705" s="4"/>
      <c r="H705" s="52"/>
      <c r="I705" s="52"/>
      <c r="J705" s="52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52"/>
      <c r="C706" s="52"/>
      <c r="D706" s="52"/>
      <c r="E706" s="52"/>
      <c r="F706" s="4"/>
      <c r="G706" s="4"/>
      <c r="H706" s="52"/>
      <c r="I706" s="52"/>
      <c r="J706" s="52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52"/>
      <c r="C707" s="52"/>
      <c r="D707" s="52"/>
      <c r="E707" s="52"/>
      <c r="F707" s="4"/>
      <c r="G707" s="4"/>
      <c r="H707" s="52"/>
      <c r="I707" s="52"/>
      <c r="J707" s="52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52"/>
      <c r="C708" s="52"/>
      <c r="D708" s="52"/>
      <c r="E708" s="52"/>
      <c r="F708" s="4"/>
      <c r="G708" s="4"/>
      <c r="H708" s="52"/>
      <c r="I708" s="52"/>
      <c r="J708" s="52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52"/>
      <c r="C709" s="52"/>
      <c r="D709" s="52"/>
      <c r="E709" s="52"/>
      <c r="F709" s="4"/>
      <c r="G709" s="4"/>
      <c r="H709" s="52"/>
      <c r="I709" s="52"/>
      <c r="J709" s="52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52"/>
      <c r="C710" s="52"/>
      <c r="D710" s="52"/>
      <c r="E710" s="52"/>
      <c r="F710" s="4"/>
      <c r="G710" s="4"/>
      <c r="H710" s="52"/>
      <c r="I710" s="52"/>
      <c r="J710" s="52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52"/>
      <c r="C711" s="52"/>
      <c r="D711" s="52"/>
      <c r="E711" s="52"/>
      <c r="F711" s="4"/>
      <c r="G711" s="4"/>
      <c r="H711" s="52"/>
      <c r="I711" s="52"/>
      <c r="J711" s="52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52"/>
      <c r="C712" s="52"/>
      <c r="D712" s="52"/>
      <c r="E712" s="52"/>
      <c r="F712" s="4"/>
      <c r="G712" s="4"/>
      <c r="H712" s="52"/>
      <c r="I712" s="52"/>
      <c r="J712" s="52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52"/>
      <c r="C713" s="52"/>
      <c r="D713" s="52"/>
      <c r="E713" s="52"/>
      <c r="F713" s="4"/>
      <c r="G713" s="4"/>
      <c r="H713" s="52"/>
      <c r="I713" s="52"/>
      <c r="J713" s="52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52"/>
      <c r="C714" s="52"/>
      <c r="D714" s="52"/>
      <c r="E714" s="52"/>
      <c r="F714" s="4"/>
      <c r="G714" s="4"/>
      <c r="H714" s="52"/>
      <c r="I714" s="52"/>
      <c r="J714" s="52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52"/>
      <c r="C715" s="52"/>
      <c r="D715" s="52"/>
      <c r="E715" s="52"/>
      <c r="F715" s="4"/>
      <c r="G715" s="4"/>
      <c r="H715" s="52"/>
      <c r="I715" s="52"/>
      <c r="J715" s="52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52"/>
      <c r="C716" s="52"/>
      <c r="D716" s="52"/>
      <c r="E716" s="52"/>
      <c r="F716" s="4"/>
      <c r="G716" s="4"/>
      <c r="H716" s="52"/>
      <c r="I716" s="52"/>
      <c r="J716" s="52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52"/>
      <c r="C717" s="52"/>
      <c r="D717" s="52"/>
      <c r="E717" s="52"/>
      <c r="F717" s="4"/>
      <c r="G717" s="4"/>
      <c r="H717" s="52"/>
      <c r="I717" s="52"/>
      <c r="J717" s="52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52"/>
      <c r="C718" s="52"/>
      <c r="D718" s="52"/>
      <c r="E718" s="52"/>
      <c r="F718" s="4"/>
      <c r="G718" s="4"/>
      <c r="H718" s="52"/>
      <c r="I718" s="52"/>
      <c r="J718" s="52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52"/>
      <c r="C719" s="52"/>
      <c r="D719" s="52"/>
      <c r="E719" s="52"/>
      <c r="F719" s="4"/>
      <c r="G719" s="4"/>
      <c r="H719" s="52"/>
      <c r="I719" s="52"/>
      <c r="J719" s="52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52"/>
      <c r="C720" s="52"/>
      <c r="D720" s="52"/>
      <c r="E720" s="52"/>
      <c r="F720" s="4"/>
      <c r="G720" s="4"/>
      <c r="H720" s="52"/>
      <c r="I720" s="52"/>
      <c r="J720" s="52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52"/>
      <c r="C721" s="52"/>
      <c r="D721" s="52"/>
      <c r="E721" s="52"/>
      <c r="F721" s="4"/>
      <c r="G721" s="4"/>
      <c r="H721" s="52"/>
      <c r="I721" s="52"/>
      <c r="J721" s="52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52"/>
      <c r="C722" s="52"/>
      <c r="D722" s="52"/>
      <c r="E722" s="52"/>
      <c r="F722" s="4"/>
      <c r="G722" s="4"/>
      <c r="H722" s="52"/>
      <c r="I722" s="52"/>
      <c r="J722" s="52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52"/>
      <c r="C723" s="52"/>
      <c r="D723" s="52"/>
      <c r="E723" s="52"/>
      <c r="F723" s="4"/>
      <c r="G723" s="4"/>
      <c r="H723" s="52"/>
      <c r="I723" s="52"/>
      <c r="J723" s="52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52"/>
      <c r="C724" s="52"/>
      <c r="D724" s="52"/>
      <c r="E724" s="52"/>
      <c r="F724" s="4"/>
      <c r="G724" s="4"/>
      <c r="H724" s="52"/>
      <c r="I724" s="52"/>
      <c r="J724" s="52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52"/>
      <c r="C725" s="52"/>
      <c r="D725" s="52"/>
      <c r="E725" s="52"/>
      <c r="F725" s="4"/>
      <c r="G725" s="4"/>
      <c r="H725" s="52"/>
      <c r="I725" s="52"/>
      <c r="J725" s="52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52"/>
      <c r="C726" s="52"/>
      <c r="D726" s="52"/>
      <c r="E726" s="52"/>
      <c r="F726" s="4"/>
      <c r="G726" s="4"/>
      <c r="H726" s="52"/>
      <c r="I726" s="52"/>
      <c r="J726" s="52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52"/>
      <c r="C727" s="52"/>
      <c r="D727" s="52"/>
      <c r="E727" s="52"/>
      <c r="F727" s="4"/>
      <c r="G727" s="4"/>
      <c r="H727" s="52"/>
      <c r="I727" s="52"/>
      <c r="J727" s="52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52"/>
      <c r="C728" s="52"/>
      <c r="D728" s="52"/>
      <c r="E728" s="52"/>
      <c r="F728" s="4"/>
      <c r="G728" s="4"/>
      <c r="H728" s="52"/>
      <c r="I728" s="52"/>
      <c r="J728" s="52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52"/>
      <c r="C729" s="52"/>
      <c r="D729" s="52"/>
      <c r="E729" s="52"/>
      <c r="F729" s="4"/>
      <c r="G729" s="4"/>
      <c r="H729" s="52"/>
      <c r="I729" s="52"/>
      <c r="J729" s="52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52"/>
      <c r="C730" s="52"/>
      <c r="D730" s="52"/>
      <c r="E730" s="52"/>
      <c r="F730" s="4"/>
      <c r="G730" s="4"/>
      <c r="H730" s="52"/>
      <c r="I730" s="52"/>
      <c r="J730" s="52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52"/>
      <c r="C731" s="52"/>
      <c r="D731" s="52"/>
      <c r="E731" s="52"/>
      <c r="F731" s="4"/>
      <c r="G731" s="4"/>
      <c r="H731" s="52"/>
      <c r="I731" s="52"/>
      <c r="J731" s="52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52"/>
      <c r="C732" s="52"/>
      <c r="D732" s="52"/>
      <c r="E732" s="52"/>
      <c r="F732" s="4"/>
      <c r="G732" s="4"/>
      <c r="H732" s="52"/>
      <c r="I732" s="52"/>
      <c r="J732" s="52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52"/>
      <c r="C733" s="52"/>
      <c r="D733" s="52"/>
      <c r="E733" s="52"/>
      <c r="F733" s="4"/>
      <c r="G733" s="4"/>
      <c r="H733" s="52"/>
      <c r="I733" s="52"/>
      <c r="J733" s="52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52"/>
      <c r="C734" s="52"/>
      <c r="D734" s="52"/>
      <c r="E734" s="52"/>
      <c r="F734" s="4"/>
      <c r="G734" s="4"/>
      <c r="H734" s="52"/>
      <c r="I734" s="52"/>
      <c r="J734" s="52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52"/>
      <c r="C735" s="52"/>
      <c r="D735" s="52"/>
      <c r="E735" s="52"/>
      <c r="F735" s="4"/>
      <c r="G735" s="4"/>
      <c r="H735" s="52"/>
      <c r="I735" s="52"/>
      <c r="J735" s="52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52"/>
      <c r="C736" s="52"/>
      <c r="D736" s="52"/>
      <c r="E736" s="52"/>
      <c r="F736" s="4"/>
      <c r="G736" s="4"/>
      <c r="H736" s="52"/>
      <c r="I736" s="52"/>
      <c r="J736" s="52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52"/>
      <c r="C737" s="52"/>
      <c r="D737" s="52"/>
      <c r="E737" s="52"/>
      <c r="F737" s="4"/>
      <c r="G737" s="4"/>
      <c r="H737" s="52"/>
      <c r="I737" s="52"/>
      <c r="J737" s="52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52"/>
      <c r="C738" s="52"/>
      <c r="D738" s="52"/>
      <c r="E738" s="52"/>
      <c r="F738" s="4"/>
      <c r="G738" s="4"/>
      <c r="H738" s="52"/>
      <c r="I738" s="52"/>
      <c r="J738" s="52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52"/>
      <c r="C739" s="52"/>
      <c r="D739" s="52"/>
      <c r="E739" s="52"/>
      <c r="F739" s="4"/>
      <c r="G739" s="4"/>
      <c r="H739" s="52"/>
      <c r="I739" s="52"/>
      <c r="J739" s="52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52"/>
      <c r="C740" s="52"/>
      <c r="D740" s="52"/>
      <c r="E740" s="52"/>
      <c r="F740" s="4"/>
      <c r="G740" s="4"/>
      <c r="H740" s="52"/>
      <c r="I740" s="52"/>
      <c r="J740" s="52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52"/>
      <c r="C741" s="52"/>
      <c r="D741" s="52"/>
      <c r="E741" s="52"/>
      <c r="F741" s="4"/>
      <c r="G741" s="4"/>
      <c r="H741" s="52"/>
      <c r="I741" s="52"/>
      <c r="J741" s="52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52"/>
      <c r="C742" s="52"/>
      <c r="D742" s="52"/>
      <c r="E742" s="52"/>
      <c r="F742" s="4"/>
      <c r="G742" s="4"/>
      <c r="H742" s="52"/>
      <c r="I742" s="52"/>
      <c r="J742" s="52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52"/>
      <c r="C743" s="52"/>
      <c r="D743" s="52"/>
      <c r="E743" s="52"/>
      <c r="F743" s="4"/>
      <c r="G743" s="4"/>
      <c r="H743" s="52"/>
      <c r="I743" s="52"/>
      <c r="J743" s="52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52"/>
      <c r="C744" s="52"/>
      <c r="D744" s="52"/>
      <c r="E744" s="52"/>
      <c r="F744" s="4"/>
      <c r="G744" s="4"/>
      <c r="H744" s="52"/>
      <c r="I744" s="52"/>
      <c r="J744" s="52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52"/>
      <c r="C745" s="52"/>
      <c r="D745" s="52"/>
      <c r="E745" s="52"/>
      <c r="F745" s="4"/>
      <c r="G745" s="4"/>
      <c r="H745" s="52"/>
      <c r="I745" s="52"/>
      <c r="J745" s="52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52"/>
      <c r="C746" s="52"/>
      <c r="D746" s="52"/>
      <c r="E746" s="52"/>
      <c r="F746" s="4"/>
      <c r="G746" s="4"/>
      <c r="H746" s="52"/>
      <c r="I746" s="52"/>
      <c r="J746" s="52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52"/>
      <c r="C747" s="52"/>
      <c r="D747" s="52"/>
      <c r="E747" s="52"/>
      <c r="F747" s="4"/>
      <c r="G747" s="4"/>
      <c r="H747" s="52"/>
      <c r="I747" s="52"/>
      <c r="J747" s="52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52"/>
      <c r="C748" s="52"/>
      <c r="D748" s="52"/>
      <c r="E748" s="52"/>
      <c r="F748" s="4"/>
      <c r="G748" s="4"/>
      <c r="H748" s="52"/>
      <c r="I748" s="52"/>
      <c r="J748" s="52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52"/>
      <c r="C749" s="52"/>
      <c r="D749" s="52"/>
      <c r="E749" s="52"/>
      <c r="F749" s="4"/>
      <c r="G749" s="4"/>
      <c r="H749" s="52"/>
      <c r="I749" s="52"/>
      <c r="J749" s="52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52"/>
      <c r="C750" s="52"/>
      <c r="D750" s="52"/>
      <c r="E750" s="52"/>
      <c r="F750" s="4"/>
      <c r="G750" s="4"/>
      <c r="H750" s="52"/>
      <c r="I750" s="52"/>
      <c r="J750" s="52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52"/>
      <c r="C751" s="52"/>
      <c r="D751" s="52"/>
      <c r="E751" s="52"/>
      <c r="F751" s="4"/>
      <c r="G751" s="4"/>
      <c r="H751" s="52"/>
      <c r="I751" s="52"/>
      <c r="J751" s="52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52"/>
      <c r="C752" s="52"/>
      <c r="D752" s="52"/>
      <c r="E752" s="52"/>
      <c r="F752" s="4"/>
      <c r="G752" s="4"/>
      <c r="H752" s="52"/>
      <c r="I752" s="52"/>
      <c r="J752" s="52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52"/>
      <c r="C753" s="52"/>
      <c r="D753" s="52"/>
      <c r="E753" s="52"/>
      <c r="F753" s="4"/>
      <c r="G753" s="4"/>
      <c r="H753" s="52"/>
      <c r="I753" s="52"/>
      <c r="J753" s="52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52"/>
      <c r="C754" s="52"/>
      <c r="D754" s="52"/>
      <c r="E754" s="52"/>
      <c r="F754" s="4"/>
      <c r="G754" s="4"/>
      <c r="H754" s="52"/>
      <c r="I754" s="52"/>
      <c r="J754" s="52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52"/>
      <c r="C755" s="52"/>
      <c r="D755" s="52"/>
      <c r="E755" s="52"/>
      <c r="F755" s="4"/>
      <c r="G755" s="4"/>
      <c r="H755" s="52"/>
      <c r="I755" s="52"/>
      <c r="J755" s="52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52"/>
      <c r="C756" s="52"/>
      <c r="D756" s="52"/>
      <c r="E756" s="52"/>
      <c r="F756" s="4"/>
      <c r="G756" s="4"/>
      <c r="H756" s="52"/>
      <c r="I756" s="52"/>
      <c r="J756" s="52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52"/>
      <c r="C757" s="52"/>
      <c r="D757" s="52"/>
      <c r="E757" s="52"/>
      <c r="F757" s="4"/>
      <c r="G757" s="4"/>
      <c r="H757" s="52"/>
      <c r="I757" s="52"/>
      <c r="J757" s="52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52"/>
      <c r="C758" s="52"/>
      <c r="D758" s="52"/>
      <c r="E758" s="52"/>
      <c r="F758" s="4"/>
      <c r="G758" s="4"/>
      <c r="H758" s="52"/>
      <c r="I758" s="52"/>
      <c r="J758" s="52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52"/>
      <c r="C759" s="52"/>
      <c r="D759" s="52"/>
      <c r="E759" s="52"/>
      <c r="F759" s="4"/>
      <c r="G759" s="4"/>
      <c r="H759" s="52"/>
      <c r="I759" s="52"/>
      <c r="J759" s="52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52"/>
      <c r="C760" s="52"/>
      <c r="D760" s="52"/>
      <c r="E760" s="52"/>
      <c r="F760" s="4"/>
      <c r="G760" s="4"/>
      <c r="H760" s="52"/>
      <c r="I760" s="52"/>
      <c r="J760" s="52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52"/>
      <c r="C761" s="52"/>
      <c r="D761" s="52"/>
      <c r="E761" s="52"/>
      <c r="F761" s="4"/>
      <c r="G761" s="4"/>
      <c r="H761" s="52"/>
      <c r="I761" s="52"/>
      <c r="J761" s="52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52"/>
      <c r="C762" s="52"/>
      <c r="D762" s="52"/>
      <c r="E762" s="52"/>
      <c r="F762" s="4"/>
      <c r="G762" s="4"/>
      <c r="H762" s="52"/>
      <c r="I762" s="52"/>
      <c r="J762" s="52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52"/>
      <c r="C763" s="52"/>
      <c r="D763" s="52"/>
      <c r="E763" s="52"/>
      <c r="F763" s="4"/>
      <c r="G763" s="4"/>
      <c r="H763" s="52"/>
      <c r="I763" s="52"/>
      <c r="J763" s="52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52"/>
      <c r="C764" s="52"/>
      <c r="D764" s="52"/>
      <c r="E764" s="52"/>
      <c r="F764" s="4"/>
      <c r="G764" s="4"/>
      <c r="H764" s="52"/>
      <c r="I764" s="52"/>
      <c r="J764" s="52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52"/>
      <c r="C765" s="52"/>
      <c r="D765" s="52"/>
      <c r="E765" s="52"/>
      <c r="F765" s="4"/>
      <c r="G765" s="4"/>
      <c r="H765" s="52"/>
      <c r="I765" s="52"/>
      <c r="J765" s="52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52"/>
      <c r="C766" s="52"/>
      <c r="D766" s="52"/>
      <c r="E766" s="52"/>
      <c r="F766" s="4"/>
      <c r="G766" s="4"/>
      <c r="H766" s="52"/>
      <c r="I766" s="52"/>
      <c r="J766" s="52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52"/>
      <c r="C767" s="52"/>
      <c r="D767" s="52"/>
      <c r="E767" s="52"/>
      <c r="F767" s="4"/>
      <c r="G767" s="4"/>
      <c r="H767" s="52"/>
      <c r="I767" s="52"/>
      <c r="J767" s="52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52"/>
      <c r="C768" s="52"/>
      <c r="D768" s="52"/>
      <c r="E768" s="52"/>
      <c r="F768" s="4"/>
      <c r="G768" s="4"/>
      <c r="H768" s="52"/>
      <c r="I768" s="52"/>
      <c r="J768" s="52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52"/>
      <c r="C769" s="52"/>
      <c r="D769" s="52"/>
      <c r="E769" s="52"/>
      <c r="F769" s="4"/>
      <c r="G769" s="4"/>
      <c r="H769" s="52"/>
      <c r="I769" s="52"/>
      <c r="J769" s="52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52"/>
      <c r="C770" s="52"/>
      <c r="D770" s="52"/>
      <c r="E770" s="52"/>
      <c r="F770" s="4"/>
      <c r="G770" s="4"/>
      <c r="H770" s="52"/>
      <c r="I770" s="52"/>
      <c r="J770" s="52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52"/>
      <c r="C771" s="52"/>
      <c r="D771" s="52"/>
      <c r="E771" s="52"/>
      <c r="F771" s="4"/>
      <c r="G771" s="4"/>
      <c r="H771" s="52"/>
      <c r="I771" s="52"/>
      <c r="J771" s="52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52"/>
      <c r="C772" s="52"/>
      <c r="D772" s="52"/>
      <c r="E772" s="52"/>
      <c r="F772" s="4"/>
      <c r="G772" s="4"/>
      <c r="H772" s="52"/>
      <c r="I772" s="52"/>
      <c r="J772" s="52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52"/>
      <c r="C773" s="52"/>
      <c r="D773" s="52"/>
      <c r="E773" s="52"/>
      <c r="F773" s="4"/>
      <c r="G773" s="4"/>
      <c r="H773" s="52"/>
      <c r="I773" s="52"/>
      <c r="J773" s="52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52"/>
      <c r="C774" s="52"/>
      <c r="D774" s="52"/>
      <c r="E774" s="52"/>
      <c r="F774" s="4"/>
      <c r="G774" s="4"/>
      <c r="H774" s="52"/>
      <c r="I774" s="52"/>
      <c r="J774" s="52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52"/>
      <c r="C775" s="52"/>
      <c r="D775" s="52"/>
      <c r="E775" s="52"/>
      <c r="F775" s="4"/>
      <c r="G775" s="4"/>
      <c r="H775" s="52"/>
      <c r="I775" s="52"/>
      <c r="J775" s="52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52"/>
      <c r="C776" s="52"/>
      <c r="D776" s="52"/>
      <c r="E776" s="52"/>
      <c r="F776" s="4"/>
      <c r="G776" s="4"/>
      <c r="H776" s="52"/>
      <c r="I776" s="52"/>
      <c r="J776" s="52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52"/>
      <c r="C777" s="52"/>
      <c r="D777" s="52"/>
      <c r="E777" s="52"/>
      <c r="F777" s="4"/>
      <c r="G777" s="4"/>
      <c r="H777" s="52"/>
      <c r="I777" s="52"/>
      <c r="J777" s="52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52"/>
      <c r="C778" s="52"/>
      <c r="D778" s="52"/>
      <c r="E778" s="52"/>
      <c r="F778" s="4"/>
      <c r="G778" s="4"/>
      <c r="H778" s="52"/>
      <c r="I778" s="52"/>
      <c r="J778" s="52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52"/>
      <c r="C779" s="52"/>
      <c r="D779" s="52"/>
      <c r="E779" s="52"/>
      <c r="F779" s="4"/>
      <c r="G779" s="4"/>
      <c r="H779" s="52"/>
      <c r="I779" s="52"/>
      <c r="J779" s="52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52"/>
      <c r="C780" s="52"/>
      <c r="D780" s="52"/>
      <c r="E780" s="52"/>
      <c r="F780" s="4"/>
      <c r="G780" s="4"/>
      <c r="H780" s="52"/>
      <c r="I780" s="52"/>
      <c r="J780" s="52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52"/>
      <c r="C781" s="52"/>
      <c r="D781" s="52"/>
      <c r="E781" s="52"/>
      <c r="F781" s="4"/>
      <c r="G781" s="4"/>
      <c r="H781" s="52"/>
      <c r="I781" s="52"/>
      <c r="J781" s="52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52"/>
      <c r="C782" s="52"/>
      <c r="D782" s="52"/>
      <c r="E782" s="52"/>
      <c r="F782" s="4"/>
      <c r="G782" s="4"/>
      <c r="H782" s="52"/>
      <c r="I782" s="52"/>
      <c r="J782" s="52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52"/>
      <c r="C783" s="52"/>
      <c r="D783" s="52"/>
      <c r="E783" s="52"/>
      <c r="F783" s="4"/>
      <c r="G783" s="4"/>
      <c r="H783" s="52"/>
      <c r="I783" s="52"/>
      <c r="J783" s="52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52"/>
      <c r="C784" s="52"/>
      <c r="D784" s="52"/>
      <c r="E784" s="52"/>
      <c r="F784" s="4"/>
      <c r="G784" s="4"/>
      <c r="H784" s="52"/>
      <c r="I784" s="52"/>
      <c r="J784" s="52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52"/>
      <c r="C785" s="52"/>
      <c r="D785" s="52"/>
      <c r="E785" s="52"/>
      <c r="F785" s="4"/>
      <c r="G785" s="4"/>
      <c r="H785" s="52"/>
      <c r="I785" s="52"/>
      <c r="J785" s="52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52"/>
      <c r="C786" s="52"/>
      <c r="D786" s="52"/>
      <c r="E786" s="52"/>
      <c r="F786" s="4"/>
      <c r="G786" s="4"/>
      <c r="H786" s="52"/>
      <c r="I786" s="52"/>
      <c r="J786" s="52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52"/>
      <c r="C787" s="52"/>
      <c r="D787" s="52"/>
      <c r="E787" s="52"/>
      <c r="F787" s="4"/>
      <c r="G787" s="4"/>
      <c r="H787" s="52"/>
      <c r="I787" s="52"/>
      <c r="J787" s="52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52"/>
      <c r="C788" s="52"/>
      <c r="D788" s="52"/>
      <c r="E788" s="52"/>
      <c r="F788" s="4"/>
      <c r="G788" s="4"/>
      <c r="H788" s="52"/>
      <c r="I788" s="52"/>
      <c r="J788" s="52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52"/>
      <c r="C789" s="52"/>
      <c r="D789" s="52"/>
      <c r="E789" s="52"/>
      <c r="F789" s="4"/>
      <c r="G789" s="4"/>
      <c r="H789" s="52"/>
      <c r="I789" s="52"/>
      <c r="J789" s="52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52"/>
      <c r="C790" s="52"/>
      <c r="D790" s="52"/>
      <c r="E790" s="52"/>
      <c r="F790" s="4"/>
      <c r="G790" s="4"/>
      <c r="H790" s="52"/>
      <c r="I790" s="52"/>
      <c r="J790" s="52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52"/>
      <c r="C791" s="52"/>
      <c r="D791" s="52"/>
      <c r="E791" s="52"/>
      <c r="F791" s="4"/>
      <c r="G791" s="4"/>
      <c r="H791" s="52"/>
      <c r="I791" s="52"/>
      <c r="J791" s="52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52"/>
      <c r="C792" s="52"/>
      <c r="D792" s="52"/>
      <c r="E792" s="52"/>
      <c r="F792" s="4"/>
      <c r="G792" s="4"/>
      <c r="H792" s="52"/>
      <c r="I792" s="52"/>
      <c r="J792" s="52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52"/>
      <c r="C793" s="52"/>
      <c r="D793" s="52"/>
      <c r="E793" s="52"/>
      <c r="F793" s="4"/>
      <c r="G793" s="4"/>
      <c r="H793" s="52"/>
      <c r="I793" s="52"/>
      <c r="J793" s="52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52"/>
      <c r="C794" s="52"/>
      <c r="D794" s="52"/>
      <c r="E794" s="52"/>
      <c r="F794" s="4"/>
      <c r="G794" s="4"/>
      <c r="H794" s="52"/>
      <c r="I794" s="52"/>
      <c r="J794" s="52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52"/>
      <c r="C795" s="52"/>
      <c r="D795" s="52"/>
      <c r="E795" s="52"/>
      <c r="F795" s="4"/>
      <c r="G795" s="4"/>
      <c r="H795" s="52"/>
      <c r="I795" s="52"/>
      <c r="J795" s="52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52"/>
      <c r="C796" s="52"/>
      <c r="D796" s="52"/>
      <c r="E796" s="52"/>
      <c r="F796" s="4"/>
      <c r="G796" s="4"/>
      <c r="H796" s="52"/>
      <c r="I796" s="52"/>
      <c r="J796" s="52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52"/>
      <c r="C797" s="52"/>
      <c r="D797" s="52"/>
      <c r="E797" s="52"/>
      <c r="F797" s="4"/>
      <c r="G797" s="4"/>
      <c r="H797" s="52"/>
      <c r="I797" s="52"/>
      <c r="J797" s="52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52"/>
      <c r="C798" s="52"/>
      <c r="D798" s="52"/>
      <c r="E798" s="52"/>
      <c r="F798" s="4"/>
      <c r="G798" s="4"/>
      <c r="H798" s="52"/>
      <c r="I798" s="52"/>
      <c r="J798" s="52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52"/>
      <c r="C799" s="52"/>
      <c r="D799" s="52"/>
      <c r="E799" s="52"/>
      <c r="F799" s="4"/>
      <c r="G799" s="4"/>
      <c r="H799" s="52"/>
      <c r="I799" s="52"/>
      <c r="J799" s="52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52"/>
      <c r="C800" s="52"/>
      <c r="D800" s="52"/>
      <c r="E800" s="52"/>
      <c r="F800" s="4"/>
      <c r="G800" s="4"/>
      <c r="H800" s="52"/>
      <c r="I800" s="52"/>
      <c r="J800" s="52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52"/>
      <c r="C801" s="52"/>
      <c r="D801" s="52"/>
      <c r="E801" s="52"/>
      <c r="F801" s="4"/>
      <c r="G801" s="4"/>
      <c r="H801" s="52"/>
      <c r="I801" s="52"/>
      <c r="J801" s="52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52"/>
      <c r="C802" s="52"/>
      <c r="D802" s="52"/>
      <c r="E802" s="52"/>
      <c r="F802" s="4"/>
      <c r="G802" s="4"/>
      <c r="H802" s="52"/>
      <c r="I802" s="52"/>
      <c r="J802" s="52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52"/>
      <c r="C803" s="52"/>
      <c r="D803" s="52"/>
      <c r="E803" s="52"/>
      <c r="F803" s="4"/>
      <c r="G803" s="4"/>
      <c r="H803" s="52"/>
      <c r="I803" s="52"/>
      <c r="J803" s="52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52"/>
      <c r="C804" s="52"/>
      <c r="D804" s="52"/>
      <c r="E804" s="52"/>
      <c r="F804" s="4"/>
      <c r="G804" s="4"/>
      <c r="H804" s="52"/>
      <c r="I804" s="52"/>
      <c r="J804" s="52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52"/>
      <c r="C805" s="52"/>
      <c r="D805" s="52"/>
      <c r="E805" s="52"/>
      <c r="F805" s="4"/>
      <c r="G805" s="4"/>
      <c r="H805" s="52"/>
      <c r="I805" s="52"/>
      <c r="J805" s="52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52"/>
      <c r="C806" s="52"/>
      <c r="D806" s="52"/>
      <c r="E806" s="52"/>
      <c r="F806" s="4"/>
      <c r="G806" s="4"/>
      <c r="H806" s="52"/>
      <c r="I806" s="52"/>
      <c r="J806" s="52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52"/>
      <c r="C807" s="52"/>
      <c r="D807" s="52"/>
      <c r="E807" s="52"/>
      <c r="F807" s="4"/>
      <c r="G807" s="4"/>
      <c r="H807" s="52"/>
      <c r="I807" s="52"/>
      <c r="J807" s="52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52"/>
      <c r="C808" s="52"/>
      <c r="D808" s="52"/>
      <c r="E808" s="52"/>
      <c r="F808" s="4"/>
      <c r="G808" s="4"/>
      <c r="H808" s="52"/>
      <c r="I808" s="52"/>
      <c r="J808" s="52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52"/>
      <c r="C809" s="52"/>
      <c r="D809" s="52"/>
      <c r="E809" s="52"/>
      <c r="F809" s="4"/>
      <c r="G809" s="4"/>
      <c r="H809" s="52"/>
      <c r="I809" s="52"/>
      <c r="J809" s="52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52"/>
      <c r="C810" s="52"/>
      <c r="D810" s="52"/>
      <c r="E810" s="52"/>
      <c r="F810" s="4"/>
      <c r="G810" s="4"/>
      <c r="H810" s="52"/>
      <c r="I810" s="52"/>
      <c r="J810" s="52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52"/>
      <c r="C811" s="52"/>
      <c r="D811" s="52"/>
      <c r="E811" s="52"/>
      <c r="F811" s="4"/>
      <c r="G811" s="4"/>
      <c r="H811" s="52"/>
      <c r="I811" s="52"/>
      <c r="J811" s="52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52"/>
      <c r="C812" s="52"/>
      <c r="D812" s="52"/>
      <c r="E812" s="52"/>
      <c r="F812" s="4"/>
      <c r="G812" s="4"/>
      <c r="H812" s="52"/>
      <c r="I812" s="52"/>
      <c r="J812" s="52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52"/>
      <c r="C813" s="52"/>
      <c r="D813" s="52"/>
      <c r="E813" s="52"/>
      <c r="F813" s="4"/>
      <c r="G813" s="4"/>
      <c r="H813" s="52"/>
      <c r="I813" s="52"/>
      <c r="J813" s="52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52"/>
      <c r="C814" s="52"/>
      <c r="D814" s="52"/>
      <c r="E814" s="52"/>
      <c r="F814" s="4"/>
      <c r="G814" s="4"/>
      <c r="H814" s="52"/>
      <c r="I814" s="52"/>
      <c r="J814" s="52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52"/>
      <c r="C815" s="52"/>
      <c r="D815" s="52"/>
      <c r="E815" s="52"/>
      <c r="F815" s="4"/>
      <c r="G815" s="4"/>
      <c r="H815" s="52"/>
      <c r="I815" s="52"/>
      <c r="J815" s="52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52"/>
      <c r="C816" s="52"/>
      <c r="D816" s="52"/>
      <c r="E816" s="52"/>
      <c r="F816" s="4"/>
      <c r="G816" s="4"/>
      <c r="H816" s="52"/>
      <c r="I816" s="52"/>
      <c r="J816" s="52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52"/>
      <c r="C817" s="52"/>
      <c r="D817" s="52"/>
      <c r="E817" s="52"/>
      <c r="F817" s="4"/>
      <c r="G817" s="4"/>
      <c r="H817" s="52"/>
      <c r="I817" s="52"/>
      <c r="J817" s="52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52"/>
      <c r="C818" s="52"/>
      <c r="D818" s="52"/>
      <c r="E818" s="52"/>
      <c r="F818" s="4"/>
      <c r="G818" s="4"/>
      <c r="H818" s="52"/>
      <c r="I818" s="52"/>
      <c r="J818" s="52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52"/>
      <c r="C819" s="52"/>
      <c r="D819" s="52"/>
      <c r="E819" s="52"/>
      <c r="F819" s="4"/>
      <c r="G819" s="4"/>
      <c r="H819" s="52"/>
      <c r="I819" s="52"/>
      <c r="J819" s="52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52"/>
      <c r="C820" s="52"/>
      <c r="D820" s="52"/>
      <c r="E820" s="52"/>
      <c r="F820" s="4"/>
      <c r="G820" s="4"/>
      <c r="H820" s="52"/>
      <c r="I820" s="52"/>
      <c r="J820" s="52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52"/>
      <c r="C821" s="52"/>
      <c r="D821" s="52"/>
      <c r="E821" s="52"/>
      <c r="F821" s="4"/>
      <c r="G821" s="4"/>
      <c r="H821" s="52"/>
      <c r="I821" s="52"/>
      <c r="J821" s="52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52"/>
      <c r="C822" s="52"/>
      <c r="D822" s="52"/>
      <c r="E822" s="52"/>
      <c r="F822" s="4"/>
      <c r="G822" s="4"/>
      <c r="H822" s="52"/>
      <c r="I822" s="52"/>
      <c r="J822" s="52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52"/>
      <c r="C823" s="52"/>
      <c r="D823" s="52"/>
      <c r="E823" s="52"/>
      <c r="F823" s="4"/>
      <c r="G823" s="4"/>
      <c r="H823" s="52"/>
      <c r="I823" s="52"/>
      <c r="J823" s="52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52"/>
      <c r="C824" s="52"/>
      <c r="D824" s="52"/>
      <c r="E824" s="52"/>
      <c r="F824" s="4"/>
      <c r="G824" s="4"/>
      <c r="H824" s="52"/>
      <c r="I824" s="52"/>
      <c r="J824" s="52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52"/>
      <c r="C825" s="52"/>
      <c r="D825" s="52"/>
      <c r="E825" s="52"/>
      <c r="F825" s="4"/>
      <c r="G825" s="4"/>
      <c r="H825" s="52"/>
      <c r="I825" s="52"/>
      <c r="J825" s="52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52"/>
      <c r="C826" s="52"/>
      <c r="D826" s="52"/>
      <c r="E826" s="52"/>
      <c r="F826" s="4"/>
      <c r="G826" s="4"/>
      <c r="H826" s="52"/>
      <c r="I826" s="52"/>
      <c r="J826" s="52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52"/>
      <c r="C827" s="52"/>
      <c r="D827" s="52"/>
      <c r="E827" s="52"/>
      <c r="F827" s="4"/>
      <c r="G827" s="4"/>
      <c r="H827" s="52"/>
      <c r="I827" s="52"/>
      <c r="J827" s="52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52"/>
      <c r="C828" s="52"/>
      <c r="D828" s="52"/>
      <c r="E828" s="52"/>
      <c r="F828" s="4"/>
      <c r="G828" s="4"/>
      <c r="H828" s="52"/>
      <c r="I828" s="52"/>
      <c r="J828" s="52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52"/>
      <c r="C829" s="52"/>
      <c r="D829" s="52"/>
      <c r="E829" s="52"/>
      <c r="F829" s="4"/>
      <c r="G829" s="4"/>
      <c r="H829" s="52"/>
      <c r="I829" s="52"/>
      <c r="J829" s="52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52"/>
      <c r="C830" s="52"/>
      <c r="D830" s="52"/>
      <c r="E830" s="52"/>
      <c r="F830" s="4"/>
      <c r="G830" s="4"/>
      <c r="H830" s="52"/>
      <c r="I830" s="52"/>
      <c r="J830" s="52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52"/>
      <c r="C831" s="52"/>
      <c r="D831" s="52"/>
      <c r="E831" s="52"/>
      <c r="F831" s="4"/>
      <c r="G831" s="4"/>
      <c r="H831" s="52"/>
      <c r="I831" s="52"/>
      <c r="J831" s="52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52"/>
      <c r="C832" s="52"/>
      <c r="D832" s="52"/>
      <c r="E832" s="52"/>
      <c r="F832" s="4"/>
      <c r="G832" s="4"/>
      <c r="H832" s="52"/>
      <c r="I832" s="52"/>
      <c r="J832" s="52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52"/>
      <c r="C833" s="52"/>
      <c r="D833" s="52"/>
      <c r="E833" s="52"/>
      <c r="F833" s="4"/>
      <c r="G833" s="4"/>
      <c r="H833" s="52"/>
      <c r="I833" s="52"/>
      <c r="J833" s="52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52"/>
      <c r="C834" s="52"/>
      <c r="D834" s="52"/>
      <c r="E834" s="52"/>
      <c r="F834" s="4"/>
      <c r="G834" s="4"/>
      <c r="H834" s="52"/>
      <c r="I834" s="52"/>
      <c r="J834" s="52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52"/>
      <c r="C835" s="52"/>
      <c r="D835" s="52"/>
      <c r="E835" s="52"/>
      <c r="F835" s="4"/>
      <c r="G835" s="4"/>
      <c r="H835" s="52"/>
      <c r="I835" s="52"/>
      <c r="J835" s="52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52"/>
      <c r="C836" s="52"/>
      <c r="D836" s="52"/>
      <c r="E836" s="52"/>
      <c r="F836" s="4"/>
      <c r="G836" s="4"/>
      <c r="H836" s="52"/>
      <c r="I836" s="52"/>
      <c r="J836" s="52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52"/>
      <c r="C837" s="52"/>
      <c r="D837" s="52"/>
      <c r="E837" s="52"/>
      <c r="F837" s="4"/>
      <c r="G837" s="4"/>
      <c r="H837" s="52"/>
      <c r="I837" s="52"/>
      <c r="J837" s="52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52"/>
      <c r="C838" s="52"/>
      <c r="D838" s="52"/>
      <c r="E838" s="52"/>
      <c r="F838" s="4"/>
      <c r="G838" s="4"/>
      <c r="H838" s="52"/>
      <c r="I838" s="52"/>
      <c r="J838" s="52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52"/>
      <c r="C839" s="52"/>
      <c r="D839" s="52"/>
      <c r="E839" s="52"/>
      <c r="F839" s="4"/>
      <c r="G839" s="4"/>
      <c r="H839" s="52"/>
      <c r="I839" s="52"/>
      <c r="J839" s="52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52"/>
      <c r="C840" s="52"/>
      <c r="D840" s="52"/>
      <c r="E840" s="52"/>
      <c r="F840" s="4"/>
      <c r="G840" s="4"/>
      <c r="H840" s="52"/>
      <c r="I840" s="52"/>
      <c r="J840" s="52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52"/>
      <c r="C841" s="52"/>
      <c r="D841" s="52"/>
      <c r="E841" s="52"/>
      <c r="F841" s="4"/>
      <c r="G841" s="4"/>
      <c r="H841" s="52"/>
      <c r="I841" s="52"/>
      <c r="J841" s="52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52"/>
      <c r="C842" s="52"/>
      <c r="D842" s="52"/>
      <c r="E842" s="52"/>
      <c r="F842" s="4"/>
      <c r="G842" s="4"/>
      <c r="H842" s="52"/>
      <c r="I842" s="52"/>
      <c r="J842" s="52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52"/>
      <c r="C843" s="52"/>
      <c r="D843" s="52"/>
      <c r="E843" s="52"/>
      <c r="F843" s="4"/>
      <c r="G843" s="4"/>
      <c r="H843" s="52"/>
      <c r="I843" s="52"/>
      <c r="J843" s="52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52"/>
      <c r="C844" s="52"/>
      <c r="D844" s="52"/>
      <c r="E844" s="52"/>
      <c r="F844" s="4"/>
      <c r="G844" s="4"/>
      <c r="H844" s="52"/>
      <c r="I844" s="52"/>
      <c r="J844" s="52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52"/>
      <c r="C845" s="52"/>
      <c r="D845" s="52"/>
      <c r="E845" s="52"/>
      <c r="F845" s="4"/>
      <c r="G845" s="4"/>
      <c r="H845" s="52"/>
      <c r="I845" s="52"/>
      <c r="J845" s="52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52"/>
      <c r="C846" s="52"/>
      <c r="D846" s="52"/>
      <c r="E846" s="52"/>
      <c r="F846" s="4"/>
      <c r="G846" s="4"/>
      <c r="H846" s="52"/>
      <c r="I846" s="52"/>
      <c r="J846" s="52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52"/>
      <c r="C847" s="52"/>
      <c r="D847" s="52"/>
      <c r="E847" s="52"/>
      <c r="F847" s="4"/>
      <c r="G847" s="4"/>
      <c r="H847" s="52"/>
      <c r="I847" s="52"/>
      <c r="J847" s="52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52"/>
      <c r="C848" s="52"/>
      <c r="D848" s="52"/>
      <c r="E848" s="52"/>
      <c r="F848" s="4"/>
      <c r="G848" s="4"/>
      <c r="H848" s="52"/>
      <c r="I848" s="52"/>
      <c r="J848" s="52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52"/>
      <c r="C849" s="52"/>
      <c r="D849" s="52"/>
      <c r="E849" s="52"/>
      <c r="F849" s="4"/>
      <c r="G849" s="4"/>
      <c r="H849" s="52"/>
      <c r="I849" s="52"/>
      <c r="J849" s="52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52"/>
      <c r="C850" s="52"/>
      <c r="D850" s="52"/>
      <c r="E850" s="52"/>
      <c r="F850" s="4"/>
      <c r="G850" s="4"/>
      <c r="H850" s="52"/>
      <c r="I850" s="52"/>
      <c r="J850" s="52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52"/>
      <c r="C851" s="52"/>
      <c r="D851" s="52"/>
      <c r="E851" s="52"/>
      <c r="F851" s="4"/>
      <c r="G851" s="4"/>
      <c r="H851" s="52"/>
      <c r="I851" s="52"/>
      <c r="J851" s="52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52"/>
      <c r="C852" s="52"/>
      <c r="D852" s="52"/>
      <c r="E852" s="52"/>
      <c r="F852" s="4"/>
      <c r="G852" s="4"/>
      <c r="H852" s="52"/>
      <c r="I852" s="52"/>
      <c r="J852" s="52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52"/>
      <c r="C853" s="52"/>
      <c r="D853" s="52"/>
      <c r="E853" s="52"/>
      <c r="F853" s="4"/>
      <c r="G853" s="4"/>
      <c r="H853" s="52"/>
      <c r="I853" s="52"/>
      <c r="J853" s="52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52"/>
      <c r="C854" s="52"/>
      <c r="D854" s="52"/>
      <c r="E854" s="52"/>
      <c r="F854" s="4"/>
      <c r="G854" s="4"/>
      <c r="H854" s="52"/>
      <c r="I854" s="52"/>
      <c r="J854" s="52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52"/>
      <c r="C855" s="52"/>
      <c r="D855" s="52"/>
      <c r="E855" s="52"/>
      <c r="F855" s="4"/>
      <c r="G855" s="4"/>
      <c r="H855" s="52"/>
      <c r="I855" s="52"/>
      <c r="J855" s="52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52"/>
      <c r="C856" s="52"/>
      <c r="D856" s="52"/>
      <c r="E856" s="52"/>
      <c r="F856" s="4"/>
      <c r="G856" s="4"/>
      <c r="H856" s="52"/>
      <c r="I856" s="52"/>
      <c r="J856" s="52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52"/>
      <c r="C857" s="52"/>
      <c r="D857" s="52"/>
      <c r="E857" s="52"/>
      <c r="F857" s="4"/>
      <c r="G857" s="4"/>
      <c r="H857" s="52"/>
      <c r="I857" s="52"/>
      <c r="J857" s="52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52"/>
      <c r="C858" s="52"/>
      <c r="D858" s="52"/>
      <c r="E858" s="52"/>
      <c r="F858" s="4"/>
      <c r="G858" s="4"/>
      <c r="H858" s="52"/>
      <c r="I858" s="52"/>
      <c r="J858" s="52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52"/>
      <c r="C859" s="52"/>
      <c r="D859" s="52"/>
      <c r="E859" s="52"/>
      <c r="F859" s="4"/>
      <c r="G859" s="4"/>
      <c r="H859" s="52"/>
      <c r="I859" s="52"/>
      <c r="J859" s="52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52"/>
      <c r="C860" s="52"/>
      <c r="D860" s="52"/>
      <c r="E860" s="52"/>
      <c r="F860" s="4"/>
      <c r="G860" s="4"/>
      <c r="H860" s="52"/>
      <c r="I860" s="52"/>
      <c r="J860" s="52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52"/>
      <c r="C861" s="52"/>
      <c r="D861" s="52"/>
      <c r="E861" s="52"/>
      <c r="F861" s="4"/>
      <c r="G861" s="4"/>
      <c r="H861" s="52"/>
      <c r="I861" s="52"/>
      <c r="J861" s="52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52"/>
      <c r="C862" s="52"/>
      <c r="D862" s="52"/>
      <c r="E862" s="52"/>
      <c r="F862" s="4"/>
      <c r="G862" s="4"/>
      <c r="H862" s="52"/>
      <c r="I862" s="52"/>
      <c r="J862" s="52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52"/>
      <c r="C863" s="52"/>
      <c r="D863" s="52"/>
      <c r="E863" s="52"/>
      <c r="F863" s="4"/>
      <c r="G863" s="4"/>
      <c r="H863" s="52"/>
      <c r="I863" s="52"/>
      <c r="J863" s="52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52"/>
      <c r="C864" s="52"/>
      <c r="D864" s="52"/>
      <c r="E864" s="52"/>
      <c r="F864" s="4"/>
      <c r="G864" s="4"/>
      <c r="H864" s="52"/>
      <c r="I864" s="52"/>
      <c r="J864" s="52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52"/>
      <c r="C865" s="52"/>
      <c r="D865" s="52"/>
      <c r="E865" s="52"/>
      <c r="F865" s="4"/>
      <c r="G865" s="4"/>
      <c r="H865" s="52"/>
      <c r="I865" s="52"/>
      <c r="J865" s="52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52"/>
      <c r="C866" s="52"/>
      <c r="D866" s="52"/>
      <c r="E866" s="52"/>
      <c r="F866" s="4"/>
      <c r="G866" s="4"/>
      <c r="H866" s="52"/>
      <c r="I866" s="52"/>
      <c r="J866" s="52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52"/>
      <c r="C867" s="52"/>
      <c r="D867" s="52"/>
      <c r="E867" s="52"/>
      <c r="F867" s="4"/>
      <c r="G867" s="4"/>
      <c r="H867" s="52"/>
      <c r="I867" s="52"/>
      <c r="J867" s="52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52"/>
      <c r="C868" s="52"/>
      <c r="D868" s="52"/>
      <c r="E868" s="52"/>
      <c r="F868" s="4"/>
      <c r="G868" s="4"/>
      <c r="H868" s="52"/>
      <c r="I868" s="52"/>
      <c r="J868" s="52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52"/>
      <c r="C869" s="52"/>
      <c r="D869" s="52"/>
      <c r="E869" s="52"/>
      <c r="F869" s="4"/>
      <c r="G869" s="4"/>
      <c r="H869" s="52"/>
      <c r="I869" s="52"/>
      <c r="J869" s="52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52"/>
      <c r="C870" s="52"/>
      <c r="D870" s="52"/>
      <c r="E870" s="52"/>
      <c r="F870" s="4"/>
      <c r="G870" s="4"/>
      <c r="H870" s="52"/>
      <c r="I870" s="52"/>
      <c r="J870" s="52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52"/>
      <c r="C871" s="52"/>
      <c r="D871" s="52"/>
      <c r="E871" s="52"/>
      <c r="F871" s="4"/>
      <c r="G871" s="4"/>
      <c r="H871" s="52"/>
      <c r="I871" s="52"/>
      <c r="J871" s="52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52"/>
      <c r="C872" s="52"/>
      <c r="D872" s="52"/>
      <c r="E872" s="52"/>
      <c r="F872" s="4"/>
      <c r="G872" s="4"/>
      <c r="H872" s="52"/>
      <c r="I872" s="52"/>
      <c r="J872" s="52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52"/>
      <c r="C873" s="52"/>
      <c r="D873" s="52"/>
      <c r="E873" s="52"/>
      <c r="F873" s="4"/>
      <c r="G873" s="4"/>
      <c r="H873" s="52"/>
      <c r="I873" s="52"/>
      <c r="J873" s="52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52"/>
      <c r="C874" s="52"/>
      <c r="D874" s="52"/>
      <c r="E874" s="52"/>
      <c r="F874" s="4"/>
      <c r="G874" s="4"/>
      <c r="H874" s="52"/>
      <c r="I874" s="52"/>
      <c r="J874" s="52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52"/>
      <c r="C875" s="52"/>
      <c r="D875" s="52"/>
      <c r="E875" s="52"/>
      <c r="F875" s="4"/>
      <c r="G875" s="4"/>
      <c r="H875" s="52"/>
      <c r="I875" s="52"/>
      <c r="J875" s="52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52"/>
      <c r="C876" s="52"/>
      <c r="D876" s="52"/>
      <c r="E876" s="52"/>
      <c r="F876" s="4"/>
      <c r="G876" s="4"/>
      <c r="H876" s="52"/>
      <c r="I876" s="52"/>
      <c r="J876" s="52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52"/>
      <c r="C877" s="52"/>
      <c r="D877" s="52"/>
      <c r="E877" s="52"/>
      <c r="F877" s="4"/>
      <c r="G877" s="4"/>
      <c r="H877" s="52"/>
      <c r="I877" s="52"/>
      <c r="J877" s="52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52"/>
      <c r="C878" s="52"/>
      <c r="D878" s="52"/>
      <c r="E878" s="52"/>
      <c r="F878" s="4"/>
      <c r="G878" s="4"/>
      <c r="H878" s="52"/>
      <c r="I878" s="52"/>
      <c r="J878" s="52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52"/>
      <c r="C879" s="52"/>
      <c r="D879" s="52"/>
      <c r="E879" s="52"/>
      <c r="F879" s="4"/>
      <c r="G879" s="4"/>
      <c r="H879" s="52"/>
      <c r="I879" s="52"/>
      <c r="J879" s="52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52"/>
      <c r="C880" s="52"/>
      <c r="D880" s="52"/>
      <c r="E880" s="52"/>
      <c r="F880" s="4"/>
      <c r="G880" s="4"/>
      <c r="H880" s="52"/>
      <c r="I880" s="52"/>
      <c r="J880" s="52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52"/>
      <c r="C881" s="52"/>
      <c r="D881" s="52"/>
      <c r="E881" s="52"/>
      <c r="F881" s="4"/>
      <c r="G881" s="4"/>
      <c r="H881" s="52"/>
      <c r="I881" s="52"/>
      <c r="J881" s="52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52"/>
      <c r="C882" s="52"/>
      <c r="D882" s="52"/>
      <c r="E882" s="52"/>
      <c r="F882" s="4"/>
      <c r="G882" s="4"/>
      <c r="H882" s="52"/>
      <c r="I882" s="52"/>
      <c r="J882" s="52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52"/>
      <c r="C883" s="52"/>
      <c r="D883" s="52"/>
      <c r="E883" s="52"/>
      <c r="F883" s="4"/>
      <c r="G883" s="4"/>
      <c r="H883" s="52"/>
      <c r="I883" s="52"/>
      <c r="J883" s="52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52"/>
      <c r="C884" s="52"/>
      <c r="D884" s="52"/>
      <c r="E884" s="52"/>
      <c r="F884" s="4"/>
      <c r="G884" s="4"/>
      <c r="H884" s="52"/>
      <c r="I884" s="52"/>
      <c r="J884" s="52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52"/>
      <c r="C885" s="52"/>
      <c r="D885" s="52"/>
      <c r="E885" s="52"/>
      <c r="F885" s="4"/>
      <c r="G885" s="4"/>
      <c r="H885" s="52"/>
      <c r="I885" s="52"/>
      <c r="J885" s="52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52"/>
      <c r="C886" s="52"/>
      <c r="D886" s="52"/>
      <c r="E886" s="52"/>
      <c r="F886" s="4"/>
      <c r="G886" s="4"/>
      <c r="H886" s="52"/>
      <c r="I886" s="52"/>
      <c r="J886" s="52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52"/>
      <c r="C887" s="52"/>
      <c r="D887" s="52"/>
      <c r="E887" s="52"/>
      <c r="F887" s="4"/>
      <c r="G887" s="4"/>
      <c r="H887" s="52"/>
      <c r="I887" s="52"/>
      <c r="J887" s="52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52"/>
      <c r="C888" s="52"/>
      <c r="D888" s="52"/>
      <c r="E888" s="52"/>
      <c r="F888" s="4"/>
      <c r="G888" s="4"/>
      <c r="H888" s="52"/>
      <c r="I888" s="52"/>
      <c r="J888" s="52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52"/>
      <c r="C889" s="52"/>
      <c r="D889" s="52"/>
      <c r="E889" s="52"/>
      <c r="F889" s="4"/>
      <c r="G889" s="4"/>
      <c r="H889" s="52"/>
      <c r="I889" s="52"/>
      <c r="J889" s="52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52"/>
      <c r="C890" s="52"/>
      <c r="D890" s="52"/>
      <c r="E890" s="52"/>
      <c r="F890" s="4"/>
      <c r="G890" s="4"/>
      <c r="H890" s="52"/>
      <c r="I890" s="52"/>
      <c r="J890" s="52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52"/>
      <c r="C891" s="52"/>
      <c r="D891" s="52"/>
      <c r="E891" s="52"/>
      <c r="F891" s="4"/>
      <c r="G891" s="4"/>
      <c r="H891" s="52"/>
      <c r="I891" s="52"/>
      <c r="J891" s="52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52"/>
      <c r="C892" s="52"/>
      <c r="D892" s="52"/>
      <c r="E892" s="52"/>
      <c r="F892" s="4"/>
      <c r="G892" s="4"/>
      <c r="H892" s="52"/>
      <c r="I892" s="52"/>
      <c r="J892" s="52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52"/>
      <c r="C893" s="52"/>
      <c r="D893" s="52"/>
      <c r="E893" s="52"/>
      <c r="F893" s="4"/>
      <c r="G893" s="4"/>
      <c r="H893" s="52"/>
      <c r="I893" s="52"/>
      <c r="J893" s="52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52"/>
      <c r="C894" s="52"/>
      <c r="D894" s="52"/>
      <c r="E894" s="52"/>
      <c r="F894" s="4"/>
      <c r="G894" s="4"/>
      <c r="H894" s="52"/>
      <c r="I894" s="52"/>
      <c r="J894" s="52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52"/>
      <c r="C895" s="52"/>
      <c r="D895" s="52"/>
      <c r="E895" s="52"/>
      <c r="F895" s="4"/>
      <c r="G895" s="4"/>
      <c r="H895" s="52"/>
      <c r="I895" s="52"/>
      <c r="J895" s="52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52"/>
      <c r="C896" s="52"/>
      <c r="D896" s="52"/>
      <c r="E896" s="52"/>
      <c r="F896" s="4"/>
      <c r="G896" s="4"/>
      <c r="H896" s="52"/>
      <c r="I896" s="52"/>
      <c r="J896" s="52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52"/>
      <c r="C897" s="52"/>
      <c r="D897" s="52"/>
      <c r="E897" s="52"/>
      <c r="F897" s="4"/>
      <c r="G897" s="4"/>
      <c r="H897" s="52"/>
      <c r="I897" s="52"/>
      <c r="J897" s="52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52"/>
      <c r="C898" s="52"/>
      <c r="D898" s="52"/>
      <c r="E898" s="52"/>
      <c r="F898" s="4"/>
      <c r="G898" s="4"/>
      <c r="H898" s="52"/>
      <c r="I898" s="52"/>
      <c r="J898" s="52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52"/>
      <c r="C899" s="52"/>
      <c r="D899" s="52"/>
      <c r="E899" s="52"/>
      <c r="F899" s="4"/>
      <c r="G899" s="4"/>
      <c r="H899" s="52"/>
      <c r="I899" s="52"/>
      <c r="J899" s="52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52"/>
      <c r="C900" s="52"/>
      <c r="D900" s="52"/>
      <c r="E900" s="52"/>
      <c r="F900" s="4"/>
      <c r="G900" s="4"/>
      <c r="H900" s="52"/>
      <c r="I900" s="52"/>
      <c r="J900" s="52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52"/>
      <c r="C901" s="52"/>
      <c r="D901" s="52"/>
      <c r="E901" s="52"/>
      <c r="F901" s="4"/>
      <c r="G901" s="4"/>
      <c r="H901" s="52"/>
      <c r="I901" s="52"/>
      <c r="J901" s="52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52"/>
      <c r="C902" s="52"/>
      <c r="D902" s="52"/>
      <c r="E902" s="52"/>
      <c r="F902" s="4"/>
      <c r="G902" s="4"/>
      <c r="H902" s="52"/>
      <c r="I902" s="52"/>
      <c r="J902" s="52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52"/>
      <c r="C903" s="52"/>
      <c r="D903" s="52"/>
      <c r="E903" s="52"/>
      <c r="F903" s="4"/>
      <c r="G903" s="4"/>
      <c r="H903" s="52"/>
      <c r="I903" s="52"/>
      <c r="J903" s="52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52"/>
      <c r="C904" s="52"/>
      <c r="D904" s="52"/>
      <c r="E904" s="52"/>
      <c r="F904" s="4"/>
      <c r="G904" s="4"/>
      <c r="H904" s="52"/>
      <c r="I904" s="52"/>
      <c r="J904" s="52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52"/>
      <c r="C905" s="52"/>
      <c r="D905" s="52"/>
      <c r="E905" s="52"/>
      <c r="F905" s="4"/>
      <c r="G905" s="4"/>
      <c r="H905" s="52"/>
      <c r="I905" s="52"/>
      <c r="J905" s="52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52"/>
      <c r="C906" s="52"/>
      <c r="D906" s="52"/>
      <c r="E906" s="52"/>
      <c r="F906" s="4"/>
      <c r="G906" s="4"/>
      <c r="H906" s="52"/>
      <c r="I906" s="52"/>
      <c r="J906" s="52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52"/>
      <c r="C907" s="52"/>
      <c r="D907" s="52"/>
      <c r="E907" s="52"/>
      <c r="F907" s="4"/>
      <c r="G907" s="4"/>
      <c r="H907" s="52"/>
      <c r="I907" s="52"/>
      <c r="J907" s="52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52"/>
      <c r="C908" s="52"/>
      <c r="D908" s="52"/>
      <c r="E908" s="52"/>
      <c r="F908" s="4"/>
      <c r="G908" s="4"/>
      <c r="H908" s="52"/>
      <c r="I908" s="52"/>
      <c r="J908" s="52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52"/>
      <c r="C909" s="52"/>
      <c r="D909" s="52"/>
      <c r="E909" s="52"/>
      <c r="F909" s="4"/>
      <c r="G909" s="4"/>
      <c r="H909" s="52"/>
      <c r="I909" s="52"/>
      <c r="J909" s="52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52"/>
      <c r="C910" s="52"/>
      <c r="D910" s="52"/>
      <c r="E910" s="52"/>
      <c r="F910" s="4"/>
      <c r="G910" s="4"/>
      <c r="H910" s="52"/>
      <c r="I910" s="52"/>
      <c r="J910" s="52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52"/>
      <c r="C911" s="52"/>
      <c r="D911" s="52"/>
      <c r="E911" s="52"/>
      <c r="F911" s="4"/>
      <c r="G911" s="4"/>
      <c r="H911" s="52"/>
      <c r="I911" s="52"/>
      <c r="J911" s="52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52"/>
      <c r="C912" s="52"/>
      <c r="D912" s="52"/>
      <c r="E912" s="52"/>
      <c r="F912" s="4"/>
      <c r="G912" s="4"/>
      <c r="H912" s="52"/>
      <c r="I912" s="52"/>
      <c r="J912" s="52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52"/>
      <c r="C913" s="52"/>
      <c r="D913" s="52"/>
      <c r="E913" s="52"/>
      <c r="F913" s="4"/>
      <c r="G913" s="4"/>
      <c r="H913" s="52"/>
      <c r="I913" s="52"/>
      <c r="J913" s="52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52"/>
      <c r="C914" s="52"/>
      <c r="D914" s="52"/>
      <c r="E914" s="52"/>
      <c r="F914" s="4"/>
      <c r="G914" s="4"/>
      <c r="H914" s="52"/>
      <c r="I914" s="52"/>
      <c r="J914" s="52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52"/>
      <c r="C915" s="52"/>
      <c r="D915" s="52"/>
      <c r="E915" s="52"/>
      <c r="F915" s="4"/>
      <c r="G915" s="4"/>
      <c r="H915" s="52"/>
      <c r="I915" s="52"/>
      <c r="J915" s="52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52"/>
      <c r="C916" s="52"/>
      <c r="D916" s="52"/>
      <c r="E916" s="52"/>
      <c r="F916" s="4"/>
      <c r="G916" s="4"/>
      <c r="H916" s="52"/>
      <c r="I916" s="52"/>
      <c r="J916" s="52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52"/>
      <c r="C917" s="52"/>
      <c r="D917" s="52"/>
      <c r="E917" s="52"/>
      <c r="F917" s="4"/>
      <c r="G917" s="4"/>
      <c r="H917" s="52"/>
      <c r="I917" s="52"/>
      <c r="J917" s="52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52"/>
      <c r="C918" s="52"/>
      <c r="D918" s="52"/>
      <c r="E918" s="52"/>
      <c r="F918" s="4"/>
      <c r="G918" s="4"/>
      <c r="H918" s="52"/>
      <c r="I918" s="52"/>
      <c r="J918" s="52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52"/>
      <c r="C919" s="52"/>
      <c r="D919" s="52"/>
      <c r="E919" s="52"/>
      <c r="F919" s="4"/>
      <c r="G919" s="4"/>
      <c r="H919" s="52"/>
      <c r="I919" s="52"/>
      <c r="J919" s="52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52"/>
      <c r="C920" s="52"/>
      <c r="D920" s="52"/>
      <c r="E920" s="52"/>
      <c r="F920" s="4"/>
      <c r="G920" s="4"/>
      <c r="H920" s="52"/>
      <c r="I920" s="52"/>
      <c r="J920" s="52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52"/>
      <c r="C921" s="52"/>
      <c r="D921" s="52"/>
      <c r="E921" s="52"/>
      <c r="F921" s="4"/>
      <c r="G921" s="4"/>
      <c r="H921" s="52"/>
      <c r="I921" s="52"/>
      <c r="J921" s="52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52"/>
      <c r="C922" s="52"/>
      <c r="D922" s="52"/>
      <c r="E922" s="52"/>
      <c r="F922" s="4"/>
      <c r="G922" s="4"/>
      <c r="H922" s="52"/>
      <c r="I922" s="52"/>
      <c r="J922" s="52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52"/>
      <c r="C923" s="52"/>
      <c r="D923" s="52"/>
      <c r="E923" s="52"/>
      <c r="F923" s="4"/>
      <c r="G923" s="4"/>
      <c r="H923" s="52"/>
      <c r="I923" s="52"/>
      <c r="J923" s="52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52"/>
      <c r="C924" s="52"/>
      <c r="D924" s="52"/>
      <c r="E924" s="52"/>
      <c r="F924" s="4"/>
      <c r="G924" s="4"/>
      <c r="H924" s="52"/>
      <c r="I924" s="52"/>
      <c r="J924" s="52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52"/>
      <c r="C925" s="52"/>
      <c r="D925" s="52"/>
      <c r="E925" s="52"/>
      <c r="F925" s="4"/>
      <c r="G925" s="4"/>
      <c r="H925" s="52"/>
      <c r="I925" s="52"/>
      <c r="J925" s="52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52"/>
      <c r="C926" s="52"/>
      <c r="D926" s="52"/>
      <c r="E926" s="52"/>
      <c r="F926" s="4"/>
      <c r="G926" s="4"/>
      <c r="H926" s="52"/>
      <c r="I926" s="52"/>
      <c r="J926" s="52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52"/>
      <c r="C927" s="52"/>
      <c r="D927" s="52"/>
      <c r="E927" s="52"/>
      <c r="F927" s="4"/>
      <c r="G927" s="4"/>
      <c r="H927" s="52"/>
      <c r="I927" s="52"/>
      <c r="J927" s="52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52"/>
      <c r="C928" s="52"/>
      <c r="D928" s="52"/>
      <c r="E928" s="52"/>
      <c r="F928" s="4"/>
      <c r="G928" s="4"/>
      <c r="H928" s="52"/>
      <c r="I928" s="52"/>
      <c r="J928" s="52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52"/>
      <c r="C929" s="52"/>
      <c r="D929" s="52"/>
      <c r="E929" s="52"/>
      <c r="F929" s="4"/>
      <c r="G929" s="4"/>
      <c r="H929" s="52"/>
      <c r="I929" s="52"/>
      <c r="J929" s="52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52"/>
      <c r="C930" s="52"/>
      <c r="D930" s="52"/>
      <c r="E930" s="52"/>
      <c r="F930" s="4"/>
      <c r="G930" s="4"/>
      <c r="H930" s="52"/>
      <c r="I930" s="52"/>
      <c r="J930" s="52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52"/>
      <c r="C931" s="52"/>
      <c r="D931" s="52"/>
      <c r="E931" s="52"/>
      <c r="F931" s="4"/>
      <c r="G931" s="4"/>
      <c r="H931" s="52"/>
      <c r="I931" s="52"/>
      <c r="J931" s="52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52"/>
      <c r="C932" s="52"/>
      <c r="D932" s="52"/>
      <c r="E932" s="52"/>
      <c r="F932" s="4"/>
      <c r="G932" s="4"/>
      <c r="H932" s="52"/>
      <c r="I932" s="52"/>
      <c r="J932" s="52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52"/>
      <c r="C933" s="52"/>
      <c r="D933" s="52"/>
      <c r="E933" s="52"/>
      <c r="F933" s="4"/>
      <c r="G933" s="4"/>
      <c r="H933" s="52"/>
      <c r="I933" s="52"/>
      <c r="J933" s="52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52"/>
      <c r="C934" s="52"/>
      <c r="D934" s="52"/>
      <c r="E934" s="52"/>
      <c r="F934" s="4"/>
      <c r="G934" s="4"/>
      <c r="H934" s="52"/>
      <c r="I934" s="52"/>
      <c r="J934" s="52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52"/>
      <c r="C935" s="52"/>
      <c r="D935" s="52"/>
      <c r="E935" s="52"/>
      <c r="F935" s="4"/>
      <c r="G935" s="4"/>
      <c r="H935" s="52"/>
      <c r="I935" s="52"/>
      <c r="J935" s="52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52"/>
      <c r="C936" s="52"/>
      <c r="D936" s="52"/>
      <c r="E936" s="52"/>
      <c r="F936" s="4"/>
      <c r="G936" s="4"/>
      <c r="H936" s="52"/>
      <c r="I936" s="52"/>
      <c r="J936" s="52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52"/>
      <c r="C937" s="52"/>
      <c r="D937" s="52"/>
      <c r="E937" s="52"/>
      <c r="F937" s="4"/>
      <c r="G937" s="4"/>
      <c r="H937" s="52"/>
      <c r="I937" s="52"/>
      <c r="J937" s="52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52"/>
      <c r="C938" s="52"/>
      <c r="D938" s="52"/>
      <c r="E938" s="52"/>
      <c r="F938" s="4"/>
      <c r="G938" s="4"/>
      <c r="H938" s="52"/>
      <c r="I938" s="52"/>
      <c r="J938" s="52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52"/>
      <c r="C939" s="52"/>
      <c r="D939" s="52"/>
      <c r="E939" s="52"/>
      <c r="F939" s="4"/>
      <c r="G939" s="4"/>
      <c r="H939" s="52"/>
      <c r="I939" s="52"/>
      <c r="J939" s="52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52"/>
      <c r="C940" s="52"/>
      <c r="D940" s="52"/>
      <c r="E940" s="52"/>
      <c r="F940" s="4"/>
      <c r="G940" s="4"/>
      <c r="H940" s="52"/>
      <c r="I940" s="52"/>
      <c r="J940" s="52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52"/>
      <c r="C941" s="52"/>
      <c r="D941" s="52"/>
      <c r="E941" s="52"/>
      <c r="F941" s="4"/>
      <c r="G941" s="4"/>
      <c r="H941" s="52"/>
      <c r="I941" s="52"/>
      <c r="J941" s="52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52"/>
      <c r="C942" s="52"/>
      <c r="D942" s="52"/>
      <c r="E942" s="52"/>
      <c r="F942" s="4"/>
      <c r="G942" s="4"/>
      <c r="H942" s="52"/>
      <c r="I942" s="52"/>
      <c r="J942" s="52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52"/>
      <c r="C943" s="52"/>
      <c r="D943" s="52"/>
      <c r="E943" s="52"/>
      <c r="F943" s="4"/>
      <c r="G943" s="4"/>
      <c r="H943" s="52"/>
      <c r="I943" s="52"/>
      <c r="J943" s="52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52"/>
      <c r="C944" s="52"/>
      <c r="D944" s="52"/>
      <c r="E944" s="52"/>
      <c r="F944" s="4"/>
      <c r="G944" s="4"/>
      <c r="H944" s="52"/>
      <c r="I944" s="52"/>
      <c r="J944" s="52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52"/>
      <c r="C945" s="52"/>
      <c r="D945" s="52"/>
      <c r="E945" s="52"/>
      <c r="F945" s="4"/>
      <c r="G945" s="4"/>
      <c r="H945" s="52"/>
      <c r="I945" s="52"/>
      <c r="J945" s="52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52"/>
      <c r="C946" s="52"/>
      <c r="D946" s="52"/>
      <c r="E946" s="52"/>
      <c r="F946" s="4"/>
      <c r="G946" s="4"/>
      <c r="H946" s="52"/>
      <c r="I946" s="52"/>
      <c r="J946" s="52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52"/>
      <c r="C947" s="52"/>
      <c r="D947" s="52"/>
      <c r="E947" s="52"/>
      <c r="F947" s="4"/>
      <c r="G947" s="4"/>
      <c r="H947" s="52"/>
      <c r="I947" s="52"/>
      <c r="J947" s="52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52"/>
      <c r="C948" s="52"/>
      <c r="D948" s="52"/>
      <c r="E948" s="52"/>
      <c r="F948" s="4"/>
      <c r="G948" s="4"/>
      <c r="H948" s="52"/>
      <c r="I948" s="52"/>
      <c r="J948" s="52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52"/>
      <c r="C949" s="52"/>
      <c r="D949" s="52"/>
      <c r="E949" s="52"/>
      <c r="F949" s="4"/>
      <c r="G949" s="4"/>
      <c r="H949" s="52"/>
      <c r="I949" s="52"/>
      <c r="J949" s="52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52"/>
      <c r="C950" s="52"/>
      <c r="D950" s="52"/>
      <c r="E950" s="52"/>
      <c r="F950" s="4"/>
      <c r="G950" s="4"/>
      <c r="H950" s="52"/>
      <c r="I950" s="52"/>
      <c r="J950" s="52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52"/>
      <c r="C951" s="52"/>
      <c r="D951" s="52"/>
      <c r="E951" s="52"/>
      <c r="F951" s="4"/>
      <c r="G951" s="4"/>
      <c r="H951" s="52"/>
      <c r="I951" s="52"/>
      <c r="J951" s="52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52"/>
      <c r="C952" s="52"/>
      <c r="D952" s="52"/>
      <c r="E952" s="52"/>
      <c r="F952" s="4"/>
      <c r="G952" s="4"/>
      <c r="H952" s="52"/>
      <c r="I952" s="52"/>
      <c r="J952" s="52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52"/>
      <c r="C953" s="52"/>
      <c r="D953" s="52"/>
      <c r="E953" s="52"/>
      <c r="F953" s="4"/>
      <c r="G953" s="4"/>
      <c r="H953" s="52"/>
      <c r="I953" s="52"/>
      <c r="J953" s="52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52"/>
      <c r="C954" s="52"/>
      <c r="D954" s="52"/>
      <c r="E954" s="52"/>
      <c r="F954" s="4"/>
      <c r="G954" s="4"/>
      <c r="H954" s="52"/>
      <c r="I954" s="52"/>
      <c r="J954" s="52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52"/>
      <c r="C955" s="52"/>
      <c r="D955" s="52"/>
      <c r="E955" s="52"/>
      <c r="F955" s="4"/>
      <c r="G955" s="4"/>
      <c r="H955" s="52"/>
      <c r="I955" s="52"/>
      <c r="J955" s="52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52"/>
      <c r="C956" s="52"/>
      <c r="D956" s="52"/>
      <c r="E956" s="52"/>
      <c r="F956" s="4"/>
      <c r="G956" s="4"/>
      <c r="H956" s="52"/>
      <c r="I956" s="52"/>
      <c r="J956" s="52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52"/>
      <c r="C957" s="52"/>
      <c r="D957" s="52"/>
      <c r="E957" s="52"/>
      <c r="F957" s="4"/>
      <c r="G957" s="4"/>
      <c r="H957" s="52"/>
      <c r="I957" s="52"/>
      <c r="J957" s="52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52"/>
      <c r="C958" s="52"/>
      <c r="D958" s="52"/>
      <c r="E958" s="52"/>
      <c r="F958" s="4"/>
      <c r="G958" s="4"/>
      <c r="H958" s="52"/>
      <c r="I958" s="52"/>
      <c r="J958" s="52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52"/>
      <c r="C959" s="52"/>
      <c r="D959" s="52"/>
      <c r="E959" s="52"/>
      <c r="F959" s="4"/>
      <c r="G959" s="4"/>
      <c r="H959" s="52"/>
      <c r="I959" s="52"/>
      <c r="J959" s="52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52"/>
      <c r="C960" s="52"/>
      <c r="D960" s="52"/>
      <c r="E960" s="52"/>
      <c r="F960" s="4"/>
      <c r="G960" s="4"/>
      <c r="H960" s="52"/>
      <c r="I960" s="52"/>
      <c r="J960" s="52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52"/>
      <c r="C961" s="52"/>
      <c r="D961" s="52"/>
      <c r="E961" s="52"/>
      <c r="F961" s="4"/>
      <c r="G961" s="4"/>
      <c r="H961" s="52"/>
      <c r="I961" s="52"/>
      <c r="J961" s="52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52"/>
      <c r="C962" s="52"/>
      <c r="D962" s="52"/>
      <c r="E962" s="52"/>
      <c r="F962" s="4"/>
      <c r="G962" s="4"/>
      <c r="H962" s="52"/>
      <c r="I962" s="52"/>
      <c r="J962" s="52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52"/>
      <c r="C963" s="52"/>
      <c r="D963" s="52"/>
      <c r="E963" s="52"/>
      <c r="F963" s="4"/>
      <c r="G963" s="4"/>
      <c r="H963" s="52"/>
      <c r="I963" s="52"/>
      <c r="J963" s="52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52"/>
      <c r="C964" s="52"/>
      <c r="D964" s="52"/>
      <c r="E964" s="52"/>
      <c r="F964" s="4"/>
      <c r="G964" s="4"/>
      <c r="H964" s="52"/>
      <c r="I964" s="52"/>
      <c r="J964" s="52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52"/>
      <c r="C965" s="52"/>
      <c r="D965" s="52"/>
      <c r="E965" s="52"/>
      <c r="F965" s="4"/>
      <c r="G965" s="4"/>
      <c r="H965" s="52"/>
      <c r="I965" s="52"/>
      <c r="J965" s="52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52"/>
      <c r="C966" s="52"/>
      <c r="D966" s="52"/>
      <c r="E966" s="52"/>
      <c r="F966" s="4"/>
      <c r="G966" s="4"/>
      <c r="H966" s="52"/>
      <c r="I966" s="52"/>
      <c r="J966" s="52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52"/>
      <c r="C967" s="52"/>
      <c r="D967" s="52"/>
      <c r="E967" s="52"/>
      <c r="F967" s="4"/>
      <c r="G967" s="4"/>
      <c r="H967" s="52"/>
      <c r="I967" s="52"/>
      <c r="J967" s="52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52"/>
      <c r="C968" s="52"/>
      <c r="D968" s="52"/>
      <c r="E968" s="52"/>
      <c r="F968" s="4"/>
      <c r="G968" s="4"/>
      <c r="H968" s="52"/>
      <c r="I968" s="52"/>
      <c r="J968" s="52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52"/>
      <c r="C969" s="52"/>
      <c r="D969" s="52"/>
      <c r="E969" s="52"/>
      <c r="F969" s="4"/>
      <c r="G969" s="4"/>
      <c r="H969" s="52"/>
      <c r="I969" s="52"/>
      <c r="J969" s="52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52"/>
      <c r="C970" s="52"/>
      <c r="D970" s="52"/>
      <c r="E970" s="52"/>
      <c r="F970" s="4"/>
      <c r="G970" s="4"/>
      <c r="H970" s="52"/>
      <c r="I970" s="52"/>
      <c r="J970" s="52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52"/>
      <c r="C971" s="52"/>
      <c r="D971" s="52"/>
      <c r="E971" s="52"/>
      <c r="F971" s="4"/>
      <c r="G971" s="4"/>
      <c r="H971" s="52"/>
      <c r="I971" s="52"/>
      <c r="J971" s="52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52"/>
      <c r="C972" s="52"/>
      <c r="D972" s="52"/>
      <c r="E972" s="52"/>
      <c r="F972" s="4"/>
      <c r="G972" s="4"/>
      <c r="H972" s="52"/>
      <c r="I972" s="52"/>
      <c r="J972" s="52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52"/>
      <c r="C973" s="52"/>
      <c r="D973" s="52"/>
      <c r="E973" s="52"/>
      <c r="F973" s="4"/>
      <c r="G973" s="4"/>
      <c r="H973" s="52"/>
      <c r="I973" s="52"/>
      <c r="J973" s="52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52"/>
      <c r="C974" s="52"/>
      <c r="D974" s="52"/>
      <c r="E974" s="52"/>
      <c r="F974" s="4"/>
      <c r="G974" s="4"/>
      <c r="H974" s="52"/>
      <c r="I974" s="52"/>
      <c r="J974" s="52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52"/>
      <c r="C975" s="52"/>
      <c r="D975" s="52"/>
      <c r="E975" s="52"/>
      <c r="F975" s="4"/>
      <c r="G975" s="4"/>
      <c r="H975" s="52"/>
      <c r="I975" s="52"/>
      <c r="J975" s="52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52"/>
      <c r="C976" s="52"/>
      <c r="D976" s="52"/>
      <c r="E976" s="52"/>
      <c r="F976" s="4"/>
      <c r="G976" s="4"/>
      <c r="H976" s="52"/>
      <c r="I976" s="52"/>
      <c r="J976" s="52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52"/>
      <c r="C977" s="52"/>
      <c r="D977" s="52"/>
      <c r="E977" s="52"/>
      <c r="F977" s="4"/>
      <c r="G977" s="4"/>
      <c r="H977" s="52"/>
      <c r="I977" s="52"/>
      <c r="J977" s="52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52"/>
      <c r="C978" s="52"/>
      <c r="D978" s="52"/>
      <c r="E978" s="52"/>
      <c r="F978" s="4"/>
      <c r="G978" s="4"/>
      <c r="H978" s="52"/>
      <c r="I978" s="52"/>
      <c r="J978" s="52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52"/>
      <c r="C979" s="52"/>
      <c r="D979" s="52"/>
      <c r="E979" s="52"/>
      <c r="F979" s="4"/>
      <c r="G979" s="4"/>
      <c r="H979" s="52"/>
      <c r="I979" s="52"/>
      <c r="J979" s="52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52"/>
      <c r="C980" s="52"/>
      <c r="D980" s="52"/>
      <c r="E980" s="52"/>
      <c r="F980" s="4"/>
      <c r="G980" s="4"/>
      <c r="H980" s="52"/>
      <c r="I980" s="52"/>
      <c r="J980" s="52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52"/>
      <c r="C981" s="52"/>
      <c r="D981" s="52"/>
      <c r="E981" s="52"/>
      <c r="F981" s="4"/>
      <c r="G981" s="4"/>
      <c r="H981" s="52"/>
      <c r="I981" s="52"/>
      <c r="J981" s="52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52"/>
      <c r="C982" s="52"/>
      <c r="D982" s="52"/>
      <c r="E982" s="52"/>
      <c r="F982" s="4"/>
      <c r="G982" s="4"/>
      <c r="H982" s="52"/>
      <c r="I982" s="52"/>
      <c r="J982" s="52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52"/>
      <c r="C983" s="52"/>
      <c r="D983" s="52"/>
      <c r="E983" s="52"/>
      <c r="F983" s="4"/>
      <c r="G983" s="4"/>
      <c r="H983" s="52"/>
      <c r="I983" s="52"/>
      <c r="J983" s="52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52"/>
      <c r="C984" s="52"/>
      <c r="D984" s="52"/>
      <c r="E984" s="52"/>
      <c r="F984" s="4"/>
      <c r="G984" s="4"/>
      <c r="H984" s="52"/>
      <c r="I984" s="52"/>
      <c r="J984" s="52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52"/>
      <c r="C985" s="52"/>
      <c r="D985" s="52"/>
      <c r="E985" s="52"/>
      <c r="F985" s="4"/>
      <c r="G985" s="4"/>
      <c r="H985" s="52"/>
      <c r="I985" s="52"/>
      <c r="J985" s="52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52"/>
      <c r="C986" s="52"/>
      <c r="D986" s="52"/>
      <c r="E986" s="52"/>
      <c r="F986" s="4"/>
      <c r="G986" s="4"/>
      <c r="H986" s="52"/>
      <c r="I986" s="52"/>
      <c r="J986" s="52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52"/>
      <c r="C987" s="52"/>
      <c r="D987" s="52"/>
      <c r="E987" s="52"/>
      <c r="F987" s="4"/>
      <c r="G987" s="4"/>
      <c r="H987" s="52"/>
      <c r="I987" s="52"/>
      <c r="J987" s="52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52"/>
      <c r="C988" s="52"/>
      <c r="D988" s="52"/>
      <c r="E988" s="52"/>
      <c r="F988" s="4"/>
      <c r="G988" s="4"/>
      <c r="H988" s="52"/>
      <c r="I988" s="52"/>
      <c r="J988" s="52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52"/>
      <c r="C989" s="52"/>
      <c r="D989" s="52"/>
      <c r="E989" s="52"/>
      <c r="F989" s="4"/>
      <c r="G989" s="4"/>
      <c r="H989" s="52"/>
      <c r="I989" s="52"/>
      <c r="J989" s="52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52"/>
      <c r="C990" s="52"/>
      <c r="D990" s="52"/>
      <c r="E990" s="52"/>
      <c r="F990" s="4"/>
      <c r="G990" s="4"/>
      <c r="H990" s="52"/>
      <c r="I990" s="52"/>
      <c r="J990" s="52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52"/>
      <c r="C991" s="52"/>
      <c r="D991" s="52"/>
      <c r="E991" s="52"/>
      <c r="F991" s="4"/>
      <c r="G991" s="4"/>
      <c r="H991" s="52"/>
      <c r="I991" s="52"/>
      <c r="J991" s="52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52"/>
      <c r="C992" s="52"/>
      <c r="D992" s="52"/>
      <c r="E992" s="52"/>
      <c r="F992" s="4"/>
      <c r="G992" s="4"/>
      <c r="H992" s="52"/>
      <c r="I992" s="52"/>
      <c r="J992" s="52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52"/>
      <c r="C993" s="52"/>
      <c r="D993" s="52"/>
      <c r="E993" s="52"/>
      <c r="F993" s="4"/>
      <c r="G993" s="4"/>
      <c r="H993" s="52"/>
      <c r="I993" s="52"/>
      <c r="J993" s="52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52"/>
      <c r="C994" s="52"/>
      <c r="D994" s="52"/>
      <c r="E994" s="52"/>
      <c r="F994" s="4"/>
      <c r="G994" s="4"/>
      <c r="H994" s="52"/>
      <c r="I994" s="52"/>
      <c r="J994" s="52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52"/>
      <c r="C995" s="52"/>
      <c r="D995" s="52"/>
      <c r="E995" s="52"/>
      <c r="F995" s="4"/>
      <c r="G995" s="4"/>
      <c r="H995" s="52"/>
      <c r="I995" s="52"/>
      <c r="J995" s="52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52"/>
      <c r="C996" s="52"/>
      <c r="D996" s="52"/>
      <c r="E996" s="52"/>
      <c r="F996" s="4"/>
      <c r="G996" s="4"/>
      <c r="H996" s="52"/>
      <c r="I996" s="52"/>
      <c r="J996" s="52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52"/>
      <c r="C997" s="52"/>
      <c r="D997" s="52"/>
      <c r="E997" s="52"/>
      <c r="F997" s="4"/>
      <c r="G997" s="4"/>
      <c r="H997" s="52"/>
      <c r="I997" s="52"/>
      <c r="J997" s="52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52"/>
      <c r="C998" s="52"/>
      <c r="D998" s="52"/>
      <c r="E998" s="52"/>
      <c r="F998" s="4"/>
      <c r="G998" s="4"/>
      <c r="H998" s="52"/>
      <c r="I998" s="52"/>
      <c r="J998" s="52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52"/>
      <c r="C999" s="52"/>
      <c r="D999" s="52"/>
      <c r="E999" s="52"/>
      <c r="F999" s="4"/>
      <c r="G999" s="4"/>
      <c r="H999" s="52"/>
      <c r="I999" s="52"/>
      <c r="J999" s="52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52"/>
      <c r="C1000" s="52"/>
      <c r="D1000" s="52"/>
      <c r="E1000" s="52"/>
      <c r="F1000" s="4"/>
      <c r="G1000" s="4"/>
      <c r="H1000" s="52"/>
      <c r="I1000" s="52"/>
      <c r="J1000" s="52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52"/>
      <c r="C1001" s="52"/>
      <c r="D1001" s="52"/>
      <c r="E1001" s="52"/>
      <c r="F1001" s="4"/>
      <c r="G1001" s="4"/>
      <c r="H1001" s="52"/>
      <c r="I1001" s="52"/>
      <c r="J1001" s="52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52"/>
      <c r="C1002" s="52"/>
      <c r="D1002" s="52"/>
      <c r="E1002" s="52"/>
      <c r="F1002" s="4"/>
      <c r="G1002" s="4"/>
      <c r="H1002" s="52"/>
      <c r="I1002" s="52"/>
      <c r="J1002" s="52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</sheetData>
  <mergeCells count="5">
    <mergeCell ref="B1:E1"/>
    <mergeCell ref="G1:K1"/>
    <mergeCell ref="M1:Q1"/>
    <mergeCell ref="S1:W1"/>
    <mergeCell ref="Y1:A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4.5"/>
    <col customWidth="1" min="3" max="3" width="13.75"/>
    <col customWidth="1" min="4" max="4" width="17.25"/>
    <col customWidth="1" min="5" max="5" width="16.75"/>
    <col customWidth="1" min="6" max="6" width="14.88"/>
    <col customWidth="1" min="7" max="7" width="14.38"/>
    <col customWidth="1" min="8" max="8" width="16.25"/>
    <col customWidth="1" min="9" max="10" width="14.0"/>
    <col customWidth="1" min="11" max="12" width="15.13"/>
    <col customWidth="1" min="13" max="13" width="19.38"/>
    <col customWidth="1" min="14" max="15" width="14.5"/>
    <col customWidth="1" min="16" max="16" width="17.63"/>
    <col customWidth="1" min="17" max="17" width="15.75"/>
    <col customWidth="1" min="18" max="18" width="23.88"/>
    <col customWidth="1" min="19" max="20" width="15.5"/>
    <col customWidth="1" min="21" max="21" width="23.63"/>
    <col customWidth="1" min="22" max="22" width="15.0"/>
    <col customWidth="1" min="23" max="23" width="12.13"/>
    <col customWidth="1" min="24" max="25" width="12.5"/>
    <col customWidth="1" min="26" max="26" width="10.13"/>
  </cols>
  <sheetData>
    <row r="1">
      <c r="A1" s="570"/>
      <c r="B1" s="571" t="s">
        <v>1765</v>
      </c>
      <c r="C1" s="570"/>
      <c r="D1" s="570"/>
      <c r="E1" s="570"/>
      <c r="F1" s="571" t="s">
        <v>1766</v>
      </c>
      <c r="G1" s="570"/>
      <c r="H1" s="570"/>
      <c r="I1" s="570"/>
      <c r="J1" s="570"/>
      <c r="K1" s="571" t="s">
        <v>1767</v>
      </c>
      <c r="L1" s="570"/>
      <c r="N1" s="570"/>
      <c r="O1" s="570"/>
      <c r="P1" s="571" t="s">
        <v>1768</v>
      </c>
      <c r="Q1" s="570"/>
      <c r="R1" s="570"/>
      <c r="S1" s="570"/>
      <c r="T1" s="570"/>
      <c r="U1" s="571" t="s">
        <v>1769</v>
      </c>
      <c r="V1" s="570"/>
      <c r="W1" s="570"/>
      <c r="X1" s="570"/>
      <c r="Y1" s="570"/>
      <c r="Z1" s="570"/>
      <c r="AB1" s="570"/>
      <c r="AD1" s="570"/>
      <c r="AE1" s="570"/>
      <c r="AF1" s="570"/>
      <c r="AG1" s="570"/>
    </row>
    <row r="2">
      <c r="B2" s="572"/>
      <c r="C2" s="572"/>
      <c r="D2" s="572"/>
      <c r="F2" s="572"/>
      <c r="G2" s="572"/>
      <c r="H2" s="572"/>
      <c r="K2" s="572"/>
      <c r="L2" s="572"/>
      <c r="M2" s="572"/>
      <c r="P2" s="572"/>
      <c r="Q2" s="572"/>
      <c r="R2" s="572"/>
      <c r="U2" s="572"/>
      <c r="V2" s="572"/>
    </row>
    <row r="3">
      <c r="B3" s="573">
        <v>44775.0</v>
      </c>
      <c r="C3" s="573">
        <v>44777.0</v>
      </c>
      <c r="D3" s="573">
        <v>44779.0</v>
      </c>
      <c r="F3" s="573">
        <v>44782.0</v>
      </c>
      <c r="G3" s="573">
        <v>44784.0</v>
      </c>
      <c r="H3" s="573">
        <v>44786.0</v>
      </c>
      <c r="K3" s="573">
        <v>44789.0</v>
      </c>
      <c r="L3" s="573">
        <v>44791.0</v>
      </c>
      <c r="M3" s="573">
        <v>44793.0</v>
      </c>
      <c r="P3" s="573">
        <v>44796.0</v>
      </c>
      <c r="Q3" s="573">
        <v>44798.0</v>
      </c>
      <c r="R3" s="573">
        <v>44800.0</v>
      </c>
      <c r="U3" s="573">
        <v>44803.0</v>
      </c>
      <c r="V3" s="574"/>
    </row>
    <row r="4">
      <c r="A4" s="43" t="s">
        <v>0</v>
      </c>
      <c r="B4" s="16" t="s">
        <v>726</v>
      </c>
      <c r="C4" s="257" t="s">
        <v>319</v>
      </c>
      <c r="D4" s="257"/>
      <c r="F4" s="17"/>
      <c r="G4" s="257" t="s">
        <v>319</v>
      </c>
      <c r="H4" s="257" t="s">
        <v>435</v>
      </c>
      <c r="K4" s="17"/>
      <c r="L4" s="257" t="s">
        <v>1243</v>
      </c>
      <c r="M4" s="257"/>
      <c r="P4" s="17"/>
      <c r="Q4" s="257" t="s">
        <v>1384</v>
      </c>
      <c r="R4" s="257" t="s">
        <v>435</v>
      </c>
      <c r="U4" s="257" t="s">
        <v>1384</v>
      </c>
      <c r="V4" s="396"/>
    </row>
    <row r="5">
      <c r="A5" s="43" t="s">
        <v>5</v>
      </c>
      <c r="B5" s="16" t="s">
        <v>471</v>
      </c>
      <c r="C5" s="575" t="s">
        <v>878</v>
      </c>
      <c r="D5" s="257" t="s">
        <v>229</v>
      </c>
      <c r="F5" s="16" t="s">
        <v>169</v>
      </c>
      <c r="G5" s="575" t="s">
        <v>878</v>
      </c>
      <c r="H5" s="257" t="s">
        <v>435</v>
      </c>
      <c r="K5" s="16" t="s">
        <v>1190</v>
      </c>
      <c r="L5" s="575"/>
      <c r="M5" s="257"/>
      <c r="P5" s="16" t="s">
        <v>1271</v>
      </c>
      <c r="Q5" s="575" t="s">
        <v>311</v>
      </c>
      <c r="R5" s="257" t="s">
        <v>435</v>
      </c>
      <c r="U5" s="257" t="s">
        <v>471</v>
      </c>
      <c r="V5" s="576"/>
    </row>
    <row r="6">
      <c r="A6" s="43" t="s">
        <v>13</v>
      </c>
      <c r="B6" s="577" t="s">
        <v>435</v>
      </c>
      <c r="C6" s="578" t="s">
        <v>435</v>
      </c>
      <c r="D6" s="257" t="s">
        <v>978</v>
      </c>
      <c r="F6" s="577" t="s">
        <v>435</v>
      </c>
      <c r="G6" s="578" t="s">
        <v>435</v>
      </c>
      <c r="H6" s="257" t="s">
        <v>435</v>
      </c>
      <c r="K6" s="577" t="s">
        <v>435</v>
      </c>
      <c r="L6" s="578" t="s">
        <v>435</v>
      </c>
      <c r="M6" s="257"/>
      <c r="P6" s="577" t="s">
        <v>435</v>
      </c>
      <c r="Q6" s="578" t="s">
        <v>435</v>
      </c>
      <c r="R6" s="257" t="s">
        <v>435</v>
      </c>
      <c r="U6" s="577" t="s">
        <v>435</v>
      </c>
      <c r="V6" s="579"/>
    </row>
    <row r="7">
      <c r="A7" s="43" t="s">
        <v>19</v>
      </c>
      <c r="B7" s="580" t="s">
        <v>435</v>
      </c>
      <c r="C7" s="581" t="s">
        <v>435</v>
      </c>
      <c r="D7" s="257" t="s">
        <v>1909</v>
      </c>
      <c r="F7" s="580" t="s">
        <v>435</v>
      </c>
      <c r="G7" s="581" t="s">
        <v>435</v>
      </c>
      <c r="H7" s="257" t="s">
        <v>435</v>
      </c>
      <c r="K7" s="580" t="s">
        <v>435</v>
      </c>
      <c r="L7" s="581" t="s">
        <v>435</v>
      </c>
      <c r="M7" s="257"/>
      <c r="P7" s="580" t="s">
        <v>435</v>
      </c>
      <c r="Q7" s="581" t="s">
        <v>435</v>
      </c>
      <c r="R7" s="257" t="s">
        <v>435</v>
      </c>
      <c r="U7" s="577" t="s">
        <v>435</v>
      </c>
      <c r="V7" s="579"/>
    </row>
    <row r="8">
      <c r="A8" s="43" t="s">
        <v>39</v>
      </c>
      <c r="B8" s="257"/>
      <c r="C8" s="575"/>
      <c r="D8" s="257" t="s">
        <v>1910</v>
      </c>
      <c r="F8" s="257"/>
      <c r="G8" s="575" t="s">
        <v>301</v>
      </c>
      <c r="H8" s="257"/>
      <c r="K8" s="257"/>
      <c r="L8" s="575"/>
      <c r="M8" s="257"/>
      <c r="P8" s="257" t="s">
        <v>1216</v>
      </c>
      <c r="Q8" s="575" t="s">
        <v>301</v>
      </c>
      <c r="R8" s="257"/>
      <c r="U8" s="257" t="s">
        <v>1216</v>
      </c>
      <c r="V8" s="576"/>
    </row>
    <row r="9">
      <c r="A9" s="43" t="s">
        <v>45</v>
      </c>
      <c r="B9" s="257"/>
      <c r="C9" s="16"/>
      <c r="D9" s="257"/>
      <c r="F9" s="257"/>
      <c r="G9" s="16" t="s">
        <v>229</v>
      </c>
      <c r="H9" s="257"/>
      <c r="K9" s="257" t="s">
        <v>120</v>
      </c>
      <c r="L9" s="16"/>
      <c r="M9" s="257"/>
      <c r="P9" s="257" t="s">
        <v>120</v>
      </c>
      <c r="Q9" s="257" t="s">
        <v>750</v>
      </c>
      <c r="R9" s="257"/>
      <c r="U9" s="257" t="s">
        <v>120</v>
      </c>
      <c r="V9" s="396"/>
    </row>
    <row r="10">
      <c r="A10" s="43" t="s">
        <v>54</v>
      </c>
      <c r="B10" s="257"/>
      <c r="C10" s="257"/>
      <c r="D10" s="17"/>
      <c r="F10" s="257"/>
      <c r="G10" s="257"/>
      <c r="H10" s="17"/>
      <c r="K10" s="257" t="s">
        <v>1215</v>
      </c>
      <c r="L10" s="257"/>
      <c r="M10" s="17"/>
      <c r="P10" s="257" t="s">
        <v>1215</v>
      </c>
      <c r="Q10" s="17"/>
      <c r="R10" s="17"/>
      <c r="U10" s="257" t="s">
        <v>607</v>
      </c>
      <c r="V10" s="396"/>
    </row>
    <row r="11">
      <c r="A11" s="43" t="s">
        <v>64</v>
      </c>
      <c r="B11" s="16"/>
      <c r="C11" s="257" t="s">
        <v>301</v>
      </c>
      <c r="D11" s="17"/>
      <c r="F11" s="16"/>
      <c r="G11" s="257" t="s">
        <v>1134</v>
      </c>
      <c r="H11" s="17"/>
      <c r="K11" s="16" t="s">
        <v>774</v>
      </c>
      <c r="L11" s="257" t="s">
        <v>923</v>
      </c>
      <c r="M11" s="17"/>
      <c r="P11" s="16" t="s">
        <v>607</v>
      </c>
      <c r="Q11" s="257" t="s">
        <v>923</v>
      </c>
      <c r="R11" s="17"/>
      <c r="U11" s="16" t="s">
        <v>598</v>
      </c>
      <c r="V11" s="396"/>
    </row>
    <row r="12">
      <c r="A12" s="43" t="s">
        <v>71</v>
      </c>
      <c r="B12" s="257" t="s">
        <v>773</v>
      </c>
      <c r="C12" s="257" t="s">
        <v>923</v>
      </c>
      <c r="D12" s="17"/>
      <c r="F12" s="257"/>
      <c r="G12" s="257" t="s">
        <v>1151</v>
      </c>
      <c r="H12" s="17"/>
      <c r="K12" s="257"/>
      <c r="L12" s="257"/>
      <c r="M12" s="17"/>
      <c r="P12" s="257" t="s">
        <v>303</v>
      </c>
      <c r="Q12" s="257"/>
      <c r="R12" s="17"/>
      <c r="U12" s="16" t="s">
        <v>801</v>
      </c>
      <c r="V12" s="396"/>
    </row>
    <row r="13">
      <c r="A13" s="43" t="s">
        <v>80</v>
      </c>
      <c r="B13" s="257" t="s">
        <v>799</v>
      </c>
      <c r="C13" s="257"/>
      <c r="D13" s="17"/>
      <c r="F13" s="257"/>
      <c r="G13" s="257" t="s">
        <v>978</v>
      </c>
      <c r="H13" s="17"/>
      <c r="K13" s="257"/>
      <c r="L13" s="257"/>
      <c r="M13" s="17"/>
      <c r="P13" s="257" t="s">
        <v>1355</v>
      </c>
      <c r="Q13" s="257" t="s">
        <v>978</v>
      </c>
      <c r="R13" s="17"/>
      <c r="U13" s="257" t="s">
        <v>303</v>
      </c>
      <c r="V13" s="396"/>
    </row>
    <row r="14">
      <c r="A14" s="43" t="s">
        <v>95</v>
      </c>
      <c r="B14" s="257" t="s">
        <v>826</v>
      </c>
      <c r="C14" s="257" t="s">
        <v>96</v>
      </c>
      <c r="D14" s="17"/>
      <c r="F14" s="257"/>
      <c r="G14" s="257"/>
      <c r="H14" s="17"/>
      <c r="K14" s="257"/>
      <c r="L14" s="257"/>
      <c r="M14" s="17"/>
      <c r="P14" s="257" t="s">
        <v>1373</v>
      </c>
      <c r="Q14" s="257" t="s">
        <v>96</v>
      </c>
      <c r="R14" s="17"/>
      <c r="U14" s="17"/>
      <c r="V14" s="396"/>
    </row>
    <row r="16">
      <c r="B16" s="582">
        <v>44805.0</v>
      </c>
      <c r="C16" s="582">
        <v>44807.0</v>
      </c>
      <c r="F16" s="582">
        <v>44810.0</v>
      </c>
      <c r="G16" s="582">
        <v>44812.0</v>
      </c>
      <c r="H16" s="582">
        <v>44814.0</v>
      </c>
      <c r="K16" s="582">
        <v>44817.0</v>
      </c>
      <c r="L16" s="582">
        <v>44819.0</v>
      </c>
      <c r="M16" s="582">
        <v>44821.0</v>
      </c>
      <c r="P16" s="582">
        <v>44831.0</v>
      </c>
      <c r="Q16" s="582">
        <v>44833.0</v>
      </c>
    </row>
    <row r="17">
      <c r="A17" s="43" t="s">
        <v>0</v>
      </c>
      <c r="B17" s="257"/>
      <c r="C17" s="69" t="s">
        <v>879</v>
      </c>
      <c r="F17" s="257" t="s">
        <v>319</v>
      </c>
      <c r="G17" s="257" t="s">
        <v>311</v>
      </c>
      <c r="H17" s="257" t="s">
        <v>435</v>
      </c>
      <c r="K17" s="257"/>
      <c r="L17" s="257" t="s">
        <v>319</v>
      </c>
      <c r="M17" s="17"/>
      <c r="P17" s="257"/>
      <c r="Q17" s="16" t="s">
        <v>319</v>
      </c>
    </row>
    <row r="18">
      <c r="A18" s="43" t="s">
        <v>5</v>
      </c>
      <c r="B18" s="257" t="s">
        <v>727</v>
      </c>
      <c r="C18" s="411"/>
      <c r="F18" s="583"/>
      <c r="G18" s="257" t="s">
        <v>925</v>
      </c>
      <c r="H18" s="257" t="s">
        <v>435</v>
      </c>
      <c r="K18" s="17"/>
      <c r="L18" s="257" t="s">
        <v>925</v>
      </c>
      <c r="M18" s="138" t="s">
        <v>1019</v>
      </c>
      <c r="P18" s="584" t="s">
        <v>904</v>
      </c>
      <c r="Q18" s="16"/>
    </row>
    <row r="19">
      <c r="A19" s="43" t="s">
        <v>13</v>
      </c>
      <c r="B19" s="585" t="s">
        <v>435</v>
      </c>
      <c r="C19" s="69" t="s">
        <v>902</v>
      </c>
      <c r="F19" s="577" t="s">
        <v>435</v>
      </c>
      <c r="G19" s="578" t="s">
        <v>435</v>
      </c>
      <c r="H19" s="257" t="s">
        <v>435</v>
      </c>
      <c r="K19" s="577" t="s">
        <v>435</v>
      </c>
      <c r="L19" s="577" t="s">
        <v>435</v>
      </c>
      <c r="M19" s="138" t="s">
        <v>728</v>
      </c>
      <c r="P19" s="585" t="s">
        <v>435</v>
      </c>
      <c r="Q19" s="585" t="s">
        <v>435</v>
      </c>
    </row>
    <row r="20">
      <c r="A20" s="43" t="s">
        <v>19</v>
      </c>
      <c r="B20" s="585" t="s">
        <v>435</v>
      </c>
      <c r="C20" s="69" t="s">
        <v>924</v>
      </c>
      <c r="F20" s="580" t="s">
        <v>435</v>
      </c>
      <c r="G20" s="581" t="s">
        <v>435</v>
      </c>
      <c r="H20" s="257" t="s">
        <v>435</v>
      </c>
      <c r="K20" s="580" t="s">
        <v>435</v>
      </c>
      <c r="L20" s="580" t="s">
        <v>435</v>
      </c>
      <c r="M20" s="138" t="s">
        <v>751</v>
      </c>
      <c r="P20" s="585" t="s">
        <v>435</v>
      </c>
      <c r="Q20" s="585" t="s">
        <v>435</v>
      </c>
    </row>
    <row r="21">
      <c r="A21" s="43" t="s">
        <v>39</v>
      </c>
      <c r="B21" s="257"/>
      <c r="C21" s="257"/>
      <c r="F21" s="17"/>
      <c r="G21" s="257" t="s">
        <v>955</v>
      </c>
      <c r="H21" s="257"/>
      <c r="K21" s="257" t="s">
        <v>1216</v>
      </c>
      <c r="L21" s="16" t="s">
        <v>1152</v>
      </c>
      <c r="M21" s="17"/>
      <c r="P21" s="17"/>
      <c r="Q21" s="257" t="s">
        <v>955</v>
      </c>
    </row>
    <row r="22">
      <c r="A22" s="43" t="s">
        <v>45</v>
      </c>
      <c r="B22" s="17"/>
      <c r="C22" s="257"/>
      <c r="F22" s="257" t="s">
        <v>120</v>
      </c>
      <c r="G22" s="16" t="s">
        <v>229</v>
      </c>
      <c r="H22" s="257"/>
      <c r="K22" s="257" t="s">
        <v>120</v>
      </c>
      <c r="L22" s="16" t="s">
        <v>229</v>
      </c>
      <c r="M22" s="586"/>
      <c r="P22" s="16"/>
      <c r="Q22" s="16" t="s">
        <v>229</v>
      </c>
    </row>
    <row r="23">
      <c r="A23" s="43" t="s">
        <v>54</v>
      </c>
      <c r="B23" s="257" t="s">
        <v>750</v>
      </c>
      <c r="C23" s="17"/>
      <c r="F23" s="16"/>
      <c r="G23" s="257" t="s">
        <v>294</v>
      </c>
      <c r="H23" s="17"/>
      <c r="K23" s="257"/>
      <c r="L23" s="257" t="s">
        <v>294</v>
      </c>
      <c r="M23" s="586"/>
      <c r="P23" s="16" t="s">
        <v>17</v>
      </c>
      <c r="Q23" s="16" t="s">
        <v>294</v>
      </c>
    </row>
    <row r="24">
      <c r="A24" s="43" t="s">
        <v>64</v>
      </c>
      <c r="B24" s="16" t="s">
        <v>774</v>
      </c>
      <c r="C24" s="17"/>
      <c r="F24" s="257" t="s">
        <v>330</v>
      </c>
      <c r="G24" s="587" t="s">
        <v>1152</v>
      </c>
      <c r="H24" s="17"/>
      <c r="K24" s="16"/>
      <c r="L24" s="16" t="s">
        <v>923</v>
      </c>
      <c r="M24" s="586"/>
      <c r="P24" s="16" t="s">
        <v>330</v>
      </c>
      <c r="Q24" s="16"/>
    </row>
    <row r="25">
      <c r="A25" s="43" t="s">
        <v>71</v>
      </c>
      <c r="B25" s="16" t="s">
        <v>800</v>
      </c>
      <c r="C25" s="17"/>
      <c r="F25" s="257" t="s">
        <v>598</v>
      </c>
      <c r="G25" s="257" t="s">
        <v>1173</v>
      </c>
      <c r="H25" s="17"/>
      <c r="K25" s="587" t="s">
        <v>828</v>
      </c>
      <c r="L25" s="16" t="s">
        <v>773</v>
      </c>
      <c r="M25" s="588"/>
      <c r="P25" s="16" t="s">
        <v>828</v>
      </c>
      <c r="Q25" s="16"/>
    </row>
    <row r="26">
      <c r="A26" s="43" t="s">
        <v>80</v>
      </c>
      <c r="B26" s="257" t="s">
        <v>827</v>
      </c>
      <c r="C26" s="17"/>
      <c r="F26" s="257" t="s">
        <v>1018</v>
      </c>
      <c r="G26" s="257" t="s">
        <v>132</v>
      </c>
      <c r="H26" s="17"/>
      <c r="K26" s="257" t="s">
        <v>132</v>
      </c>
      <c r="L26" s="257" t="s">
        <v>1374</v>
      </c>
      <c r="M26" s="589"/>
      <c r="P26" s="16" t="s">
        <v>132</v>
      </c>
      <c r="Q26" s="16" t="s">
        <v>773</v>
      </c>
    </row>
    <row r="27">
      <c r="A27" s="43" t="s">
        <v>95</v>
      </c>
      <c r="B27" s="16" t="s">
        <v>499</v>
      </c>
      <c r="C27" s="17"/>
      <c r="F27" s="257" t="s">
        <v>303</v>
      </c>
      <c r="G27" s="16" t="s">
        <v>96</v>
      </c>
      <c r="H27" s="17"/>
      <c r="K27" s="257"/>
      <c r="L27" s="16" t="s">
        <v>879</v>
      </c>
      <c r="M27" s="586"/>
      <c r="P27" s="257"/>
      <c r="Q27" s="16"/>
    </row>
    <row r="28">
      <c r="H28" s="590"/>
    </row>
    <row r="29">
      <c r="B29" s="591">
        <v>44835.0</v>
      </c>
      <c r="F29" s="591">
        <v>44838.0</v>
      </c>
      <c r="G29" s="591">
        <v>44840.0</v>
      </c>
      <c r="H29" s="591">
        <v>44842.0</v>
      </c>
      <c r="K29" s="591">
        <v>44844.0</v>
      </c>
      <c r="L29" s="591">
        <v>44845.0</v>
      </c>
      <c r="M29" s="591">
        <v>44847.0</v>
      </c>
      <c r="N29" s="591">
        <v>44849.0</v>
      </c>
      <c r="P29" s="591">
        <v>44851.0</v>
      </c>
      <c r="Q29" s="591">
        <v>44852.0</v>
      </c>
      <c r="R29" s="591">
        <v>44854.0</v>
      </c>
      <c r="S29" s="591">
        <v>44856.0</v>
      </c>
      <c r="T29" s="572"/>
      <c r="U29" s="591">
        <v>44858.0</v>
      </c>
      <c r="V29" s="591">
        <v>44859.0</v>
      </c>
      <c r="W29" s="591">
        <v>44861.0</v>
      </c>
      <c r="X29" s="591">
        <v>44863.0</v>
      </c>
      <c r="Z29" s="592">
        <v>44865.0</v>
      </c>
    </row>
    <row r="30">
      <c r="A30" s="43" t="s">
        <v>0</v>
      </c>
      <c r="B30" s="584"/>
      <c r="F30" s="257" t="s">
        <v>311</v>
      </c>
      <c r="G30" s="584" t="s">
        <v>903</v>
      </c>
      <c r="H30" s="16"/>
      <c r="K30" s="16" t="s">
        <v>435</v>
      </c>
      <c r="L30" s="16" t="s">
        <v>904</v>
      </c>
      <c r="M30" s="279"/>
      <c r="N30" s="578" t="s">
        <v>435</v>
      </c>
      <c r="P30" s="16" t="s">
        <v>435</v>
      </c>
      <c r="Q30" s="16" t="s">
        <v>322</v>
      </c>
      <c r="S30" s="16" t="s">
        <v>756</v>
      </c>
      <c r="T30" s="22"/>
      <c r="U30" s="16" t="s">
        <v>435</v>
      </c>
      <c r="V30" s="16" t="s">
        <v>322</v>
      </c>
      <c r="W30" s="16" t="s">
        <v>319</v>
      </c>
      <c r="X30" s="578" t="s">
        <v>435</v>
      </c>
      <c r="Z30" s="16" t="s">
        <v>435</v>
      </c>
    </row>
    <row r="31">
      <c r="A31" s="43" t="s">
        <v>5</v>
      </c>
      <c r="B31" s="593"/>
      <c r="F31" s="257" t="s">
        <v>471</v>
      </c>
      <c r="G31" s="584" t="s">
        <v>925</v>
      </c>
      <c r="H31" s="16" t="s">
        <v>1060</v>
      </c>
      <c r="K31" s="16" t="s">
        <v>435</v>
      </c>
      <c r="L31" s="257" t="s">
        <v>509</v>
      </c>
      <c r="M31" s="279"/>
      <c r="N31" s="581" t="s">
        <v>435</v>
      </c>
      <c r="P31" s="16" t="s">
        <v>435</v>
      </c>
      <c r="Q31" s="257" t="s">
        <v>1190</v>
      </c>
      <c r="R31" s="16" t="s">
        <v>319</v>
      </c>
      <c r="S31" s="16" t="s">
        <v>1094</v>
      </c>
      <c r="T31" s="22"/>
      <c r="U31" s="16" t="s">
        <v>435</v>
      </c>
      <c r="V31" s="257" t="s">
        <v>1190</v>
      </c>
      <c r="W31" s="16" t="s">
        <v>1324</v>
      </c>
      <c r="X31" s="581" t="s">
        <v>435</v>
      </c>
      <c r="Z31" s="16" t="s">
        <v>435</v>
      </c>
    </row>
    <row r="32">
      <c r="A32" s="43" t="s">
        <v>13</v>
      </c>
      <c r="B32" s="584" t="s">
        <v>728</v>
      </c>
      <c r="F32" s="577" t="s">
        <v>435</v>
      </c>
      <c r="G32" s="577" t="s">
        <v>435</v>
      </c>
      <c r="H32" s="16" t="s">
        <v>1080</v>
      </c>
      <c r="K32" s="16" t="s">
        <v>435</v>
      </c>
      <c r="L32" s="594"/>
      <c r="M32" s="594"/>
      <c r="N32" s="595" t="s">
        <v>435</v>
      </c>
      <c r="P32" s="16" t="s">
        <v>435</v>
      </c>
      <c r="Q32" s="585" t="s">
        <v>1080</v>
      </c>
      <c r="R32" s="596" t="s">
        <v>1324</v>
      </c>
      <c r="S32" s="17"/>
      <c r="U32" s="16" t="s">
        <v>435</v>
      </c>
      <c r="V32" s="597"/>
      <c r="W32" s="596" t="s">
        <v>509</v>
      </c>
      <c r="X32" s="595" t="s">
        <v>435</v>
      </c>
      <c r="Z32" s="16" t="s">
        <v>435</v>
      </c>
    </row>
    <row r="33">
      <c r="A33" s="43" t="s">
        <v>19</v>
      </c>
      <c r="B33" s="584" t="s">
        <v>751</v>
      </c>
      <c r="F33" s="580" t="s">
        <v>435</v>
      </c>
      <c r="G33" s="580" t="s">
        <v>435</v>
      </c>
      <c r="H33" s="16" t="s">
        <v>1094</v>
      </c>
      <c r="K33" s="16" t="s">
        <v>435</v>
      </c>
      <c r="L33" s="594"/>
      <c r="M33" s="594"/>
      <c r="N33" s="595" t="s">
        <v>435</v>
      </c>
      <c r="P33" s="16" t="s">
        <v>435</v>
      </c>
      <c r="Q33" s="598" t="s">
        <v>878</v>
      </c>
      <c r="R33" s="581"/>
      <c r="S33" s="17"/>
      <c r="U33" s="16" t="s">
        <v>435</v>
      </c>
      <c r="V33" s="599"/>
      <c r="W33" s="581"/>
      <c r="X33" s="595" t="s">
        <v>435</v>
      </c>
      <c r="Z33" s="16" t="s">
        <v>435</v>
      </c>
    </row>
    <row r="34">
      <c r="A34" s="43" t="s">
        <v>39</v>
      </c>
      <c r="B34" s="584"/>
      <c r="F34" s="16"/>
      <c r="H34" s="17"/>
      <c r="K34" s="16" t="s">
        <v>435</v>
      </c>
      <c r="L34" s="279"/>
      <c r="M34" s="600"/>
      <c r="N34" s="601" t="s">
        <v>435</v>
      </c>
      <c r="P34" s="16" t="s">
        <v>435</v>
      </c>
      <c r="Q34" s="16" t="s">
        <v>775</v>
      </c>
      <c r="R34" s="279"/>
      <c r="S34" s="17"/>
      <c r="U34" s="16" t="s">
        <v>435</v>
      </c>
      <c r="V34" s="16" t="s">
        <v>775</v>
      </c>
      <c r="W34" s="16" t="s">
        <v>1645</v>
      </c>
      <c r="X34" s="601" t="s">
        <v>435</v>
      </c>
      <c r="Z34" s="16" t="s">
        <v>435</v>
      </c>
    </row>
    <row r="35">
      <c r="A35" s="43" t="s">
        <v>45</v>
      </c>
      <c r="B35" s="17"/>
      <c r="F35" s="16"/>
      <c r="G35" s="584" t="s">
        <v>229</v>
      </c>
      <c r="H35" s="17"/>
      <c r="K35" s="16" t="s">
        <v>435</v>
      </c>
      <c r="L35" s="16" t="s">
        <v>120</v>
      </c>
      <c r="M35" s="16" t="s">
        <v>229</v>
      </c>
      <c r="N35" s="17"/>
      <c r="P35" s="16" t="s">
        <v>435</v>
      </c>
      <c r="Q35" s="16" t="s">
        <v>1440</v>
      </c>
      <c r="R35" s="16" t="s">
        <v>229</v>
      </c>
      <c r="S35" s="17"/>
      <c r="U35" s="16" t="s">
        <v>435</v>
      </c>
      <c r="V35" s="279"/>
      <c r="W35" s="16" t="s">
        <v>229</v>
      </c>
      <c r="X35" s="17"/>
      <c r="Z35" s="16" t="s">
        <v>435</v>
      </c>
    </row>
    <row r="36">
      <c r="A36" s="43" t="s">
        <v>54</v>
      </c>
      <c r="B36" s="17"/>
      <c r="F36" s="16"/>
      <c r="G36" s="584" t="s">
        <v>294</v>
      </c>
      <c r="H36" s="17"/>
      <c r="K36" s="16"/>
      <c r="L36" s="602" t="s">
        <v>17</v>
      </c>
      <c r="M36" s="16" t="s">
        <v>294</v>
      </c>
      <c r="N36" s="17"/>
      <c r="P36" s="16" t="s">
        <v>1245</v>
      </c>
      <c r="Q36" s="16" t="s">
        <v>17</v>
      </c>
      <c r="R36" s="16" t="s">
        <v>294</v>
      </c>
      <c r="S36" s="17"/>
      <c r="U36" s="584" t="s">
        <v>1245</v>
      </c>
      <c r="V36" s="603"/>
      <c r="W36" s="16" t="s">
        <v>294</v>
      </c>
      <c r="X36" s="17"/>
      <c r="Z36" s="16" t="s">
        <v>435</v>
      </c>
    </row>
    <row r="37">
      <c r="A37" s="43" t="s">
        <v>64</v>
      </c>
      <c r="B37" s="17"/>
      <c r="F37" s="16"/>
      <c r="G37" s="584" t="s">
        <v>923</v>
      </c>
      <c r="H37" s="17"/>
      <c r="K37" s="16" t="s">
        <v>1113</v>
      </c>
      <c r="L37" s="16" t="s">
        <v>330</v>
      </c>
      <c r="M37" s="279"/>
      <c r="N37" s="17"/>
      <c r="P37" s="265"/>
      <c r="Q37" s="16" t="s">
        <v>607</v>
      </c>
      <c r="R37" s="279"/>
      <c r="S37" s="17"/>
      <c r="U37" s="604"/>
      <c r="V37" s="605" t="s">
        <v>330</v>
      </c>
      <c r="W37" s="16" t="s">
        <v>923</v>
      </c>
      <c r="X37" s="17"/>
      <c r="Z37" s="16" t="s">
        <v>435</v>
      </c>
    </row>
    <row r="38">
      <c r="A38" s="43" t="s">
        <v>71</v>
      </c>
      <c r="B38" s="17"/>
      <c r="F38" s="606" t="s">
        <v>828</v>
      </c>
      <c r="G38" s="16" t="s">
        <v>598</v>
      </c>
      <c r="H38" s="17"/>
      <c r="K38" s="16"/>
      <c r="L38" s="16" t="s">
        <v>1244</v>
      </c>
      <c r="M38" s="17"/>
      <c r="N38" s="17"/>
      <c r="P38" s="583" t="s">
        <v>345</v>
      </c>
      <c r="Q38" s="607"/>
      <c r="R38" s="16" t="s">
        <v>902</v>
      </c>
      <c r="S38" s="17"/>
      <c r="U38" s="608" t="s">
        <v>345</v>
      </c>
      <c r="V38" s="603"/>
      <c r="W38" s="22"/>
      <c r="X38" s="17"/>
      <c r="Z38" s="16" t="s">
        <v>435</v>
      </c>
    </row>
    <row r="39">
      <c r="A39" s="43" t="s">
        <v>80</v>
      </c>
      <c r="B39" s="17"/>
      <c r="F39" s="16" t="s">
        <v>854</v>
      </c>
      <c r="G39" s="16" t="s">
        <v>1019</v>
      </c>
      <c r="H39" s="17"/>
      <c r="K39" s="16" t="s">
        <v>1135</v>
      </c>
      <c r="L39" s="16" t="s">
        <v>1151</v>
      </c>
      <c r="M39" s="16" t="s">
        <v>1323</v>
      </c>
      <c r="N39" s="17"/>
      <c r="P39" s="16" t="s">
        <v>730</v>
      </c>
      <c r="Q39" s="16" t="s">
        <v>132</v>
      </c>
      <c r="R39" s="16" t="s">
        <v>773</v>
      </c>
      <c r="S39" s="17"/>
      <c r="U39" s="584" t="s">
        <v>327</v>
      </c>
      <c r="V39" s="605" t="s">
        <v>132</v>
      </c>
      <c r="W39" s="16" t="s">
        <v>978</v>
      </c>
      <c r="X39" s="17"/>
      <c r="Z39" s="16" t="s">
        <v>435</v>
      </c>
    </row>
    <row r="40">
      <c r="A40" s="609" t="s">
        <v>95</v>
      </c>
      <c r="B40" s="17"/>
      <c r="F40" s="257" t="s">
        <v>880</v>
      </c>
      <c r="G40" s="16" t="s">
        <v>96</v>
      </c>
      <c r="H40" s="17"/>
      <c r="K40" s="16" t="s">
        <v>854</v>
      </c>
      <c r="L40" s="16" t="s">
        <v>1272</v>
      </c>
      <c r="M40" s="279"/>
      <c r="N40" s="17"/>
      <c r="P40" s="16" t="s">
        <v>854</v>
      </c>
      <c r="Q40" s="16" t="s">
        <v>1482</v>
      </c>
      <c r="R40" s="16" t="s">
        <v>96</v>
      </c>
      <c r="S40" s="17"/>
      <c r="U40" s="610"/>
      <c r="V40" s="605" t="s">
        <v>1622</v>
      </c>
      <c r="W40" s="16" t="s">
        <v>96</v>
      </c>
      <c r="X40" s="17"/>
      <c r="Z40" s="16" t="s">
        <v>435</v>
      </c>
    </row>
    <row r="42">
      <c r="B42" s="611">
        <v>44866.0</v>
      </c>
      <c r="C42" s="611">
        <v>44868.0</v>
      </c>
      <c r="D42" s="611">
        <v>44870.0</v>
      </c>
      <c r="F42" s="611">
        <v>44872.0</v>
      </c>
      <c r="G42" s="611">
        <v>44873.0</v>
      </c>
      <c r="H42" s="611">
        <v>44875.0</v>
      </c>
      <c r="I42" s="611">
        <v>44877.0</v>
      </c>
      <c r="J42" s="572"/>
      <c r="K42" s="611">
        <v>44879.0</v>
      </c>
      <c r="L42" s="611">
        <v>44880.0</v>
      </c>
      <c r="M42" s="611">
        <v>44882.0</v>
      </c>
      <c r="N42" s="611">
        <v>44884.0</v>
      </c>
      <c r="P42" s="611">
        <v>44886.0</v>
      </c>
      <c r="Q42" s="611">
        <v>44887.0</v>
      </c>
      <c r="R42" s="611">
        <v>44889.0</v>
      </c>
      <c r="S42" s="611">
        <v>44891.0</v>
      </c>
      <c r="U42" s="611">
        <v>44893.0</v>
      </c>
      <c r="V42" s="611">
        <v>44894.0</v>
      </c>
    </row>
    <row r="43">
      <c r="A43" s="22" t="s">
        <v>0</v>
      </c>
      <c r="B43" s="16" t="s">
        <v>322</v>
      </c>
      <c r="C43" s="279"/>
      <c r="D43" s="16"/>
      <c r="F43" s="16" t="s">
        <v>435</v>
      </c>
      <c r="G43" s="16" t="s">
        <v>322</v>
      </c>
      <c r="H43" s="16" t="s">
        <v>319</v>
      </c>
      <c r="I43" s="578" t="s">
        <v>435</v>
      </c>
      <c r="J43" s="612"/>
      <c r="K43" s="16" t="s">
        <v>435</v>
      </c>
      <c r="L43" s="16" t="s">
        <v>322</v>
      </c>
      <c r="M43" s="16" t="s">
        <v>319</v>
      </c>
      <c r="P43" s="16" t="s">
        <v>435</v>
      </c>
      <c r="Q43" s="16" t="s">
        <v>904</v>
      </c>
      <c r="R43" s="16" t="s">
        <v>1272</v>
      </c>
      <c r="S43" s="16" t="s">
        <v>435</v>
      </c>
      <c r="U43" s="16" t="s">
        <v>435</v>
      </c>
      <c r="V43" s="16"/>
    </row>
    <row r="44">
      <c r="A44" s="22" t="s">
        <v>5</v>
      </c>
      <c r="B44" s="613"/>
      <c r="C44" s="279"/>
      <c r="D44" s="16"/>
      <c r="F44" s="16" t="s">
        <v>435</v>
      </c>
      <c r="G44" s="613"/>
      <c r="H44" s="16" t="s">
        <v>1153</v>
      </c>
      <c r="I44" s="581" t="s">
        <v>435</v>
      </c>
      <c r="J44" s="612"/>
      <c r="K44" s="16" t="s">
        <v>435</v>
      </c>
      <c r="L44" s="257" t="s">
        <v>1309</v>
      </c>
      <c r="M44" s="16" t="s">
        <v>1416</v>
      </c>
      <c r="N44" s="16" t="s">
        <v>541</v>
      </c>
      <c r="P44" s="16" t="s">
        <v>435</v>
      </c>
      <c r="Q44" s="16" t="s">
        <v>464</v>
      </c>
      <c r="R44" s="16" t="s">
        <v>1216</v>
      </c>
      <c r="S44" s="16" t="s">
        <v>435</v>
      </c>
      <c r="U44" s="16" t="s">
        <v>435</v>
      </c>
      <c r="V44" s="613"/>
    </row>
    <row r="45">
      <c r="A45" s="22" t="s">
        <v>13</v>
      </c>
      <c r="B45" s="597"/>
      <c r="C45" s="596"/>
      <c r="D45" s="279"/>
      <c r="F45" s="16" t="s">
        <v>435</v>
      </c>
      <c r="G45" s="597"/>
      <c r="H45" s="596" t="s">
        <v>509</v>
      </c>
      <c r="I45" s="595" t="s">
        <v>435</v>
      </c>
      <c r="J45" s="614"/>
      <c r="K45" s="16" t="s">
        <v>435</v>
      </c>
      <c r="L45" s="585" t="s">
        <v>311</v>
      </c>
      <c r="M45" s="16" t="s">
        <v>1153</v>
      </c>
      <c r="N45" s="16" t="s">
        <v>1494</v>
      </c>
      <c r="P45" s="16" t="s">
        <v>435</v>
      </c>
      <c r="R45" s="16" t="s">
        <v>1605</v>
      </c>
      <c r="S45" s="16" t="s">
        <v>435</v>
      </c>
      <c r="U45" s="16" t="s">
        <v>435</v>
      </c>
      <c r="V45" s="597"/>
    </row>
    <row r="46">
      <c r="A46" s="22" t="s">
        <v>19</v>
      </c>
      <c r="B46" s="585" t="s">
        <v>311</v>
      </c>
      <c r="C46" s="581"/>
      <c r="D46" s="16" t="s">
        <v>776</v>
      </c>
      <c r="F46" s="16" t="s">
        <v>435</v>
      </c>
      <c r="G46" s="599"/>
      <c r="H46" s="615" t="s">
        <v>729</v>
      </c>
      <c r="I46" s="595" t="s">
        <v>435</v>
      </c>
      <c r="J46" s="614"/>
      <c r="K46" s="16" t="s">
        <v>435</v>
      </c>
      <c r="L46" s="598"/>
      <c r="M46" s="581"/>
      <c r="N46" s="16" t="s">
        <v>924</v>
      </c>
      <c r="P46" s="16" t="s">
        <v>435</v>
      </c>
      <c r="Q46" s="279"/>
      <c r="R46" s="16" t="s">
        <v>1615</v>
      </c>
      <c r="S46" s="16" t="s">
        <v>435</v>
      </c>
      <c r="U46" s="16" t="s">
        <v>435</v>
      </c>
      <c r="V46" s="597"/>
    </row>
    <row r="47">
      <c r="A47" s="396" t="s">
        <v>39</v>
      </c>
      <c r="B47" s="16" t="s">
        <v>775</v>
      </c>
      <c r="C47" s="16" t="s">
        <v>773</v>
      </c>
      <c r="D47" s="12"/>
      <c r="F47" s="16" t="s">
        <v>435</v>
      </c>
      <c r="G47" s="47"/>
      <c r="H47" s="610"/>
      <c r="I47" s="601" t="s">
        <v>435</v>
      </c>
      <c r="J47" s="614"/>
      <c r="K47" s="16" t="s">
        <v>435</v>
      </c>
      <c r="M47" s="16" t="s">
        <v>1441</v>
      </c>
      <c r="N47" s="12"/>
      <c r="P47" s="16" t="s">
        <v>435</v>
      </c>
      <c r="R47" s="16" t="s">
        <v>1623</v>
      </c>
      <c r="S47" s="16"/>
      <c r="U47" s="16" t="s">
        <v>435</v>
      </c>
      <c r="V47" s="17"/>
    </row>
    <row r="48">
      <c r="A48" s="22" t="s">
        <v>45</v>
      </c>
      <c r="B48" s="16" t="s">
        <v>801</v>
      </c>
      <c r="C48" s="16" t="s">
        <v>229</v>
      </c>
      <c r="D48" s="12"/>
      <c r="F48" s="16"/>
      <c r="G48" s="616" t="s">
        <v>775</v>
      </c>
      <c r="H48" s="610"/>
      <c r="I48" s="12"/>
      <c r="J48" s="47"/>
      <c r="K48" s="16"/>
      <c r="L48" s="16" t="s">
        <v>773</v>
      </c>
      <c r="M48" s="16" t="s">
        <v>998</v>
      </c>
      <c r="N48" s="12"/>
      <c r="P48" s="16" t="s">
        <v>435</v>
      </c>
      <c r="Q48" s="16" t="s">
        <v>1154</v>
      </c>
      <c r="R48" s="16" t="s">
        <v>998</v>
      </c>
      <c r="S48" s="16"/>
      <c r="U48" s="16" t="s">
        <v>435</v>
      </c>
      <c r="V48" s="16"/>
    </row>
    <row r="49">
      <c r="A49" s="22" t="s">
        <v>54</v>
      </c>
      <c r="B49" s="16" t="s">
        <v>17</v>
      </c>
      <c r="C49" s="16" t="s">
        <v>294</v>
      </c>
      <c r="D49" s="12"/>
      <c r="F49" s="584" t="s">
        <v>1911</v>
      </c>
      <c r="G49" s="16" t="s">
        <v>17</v>
      </c>
      <c r="H49" s="606" t="s">
        <v>229</v>
      </c>
      <c r="I49" s="12"/>
      <c r="J49" s="47"/>
      <c r="K49" s="16" t="s">
        <v>1245</v>
      </c>
      <c r="L49" s="16" t="s">
        <v>1154</v>
      </c>
      <c r="M49" s="16" t="s">
        <v>1021</v>
      </c>
      <c r="N49" s="12"/>
      <c r="P49" s="16" t="s">
        <v>331</v>
      </c>
      <c r="Q49" s="605" t="s">
        <v>17</v>
      </c>
      <c r="R49" s="16" t="s">
        <v>1021</v>
      </c>
      <c r="S49" s="12"/>
      <c r="U49" s="617"/>
      <c r="V49" s="16"/>
    </row>
    <row r="50">
      <c r="A50" s="22" t="s">
        <v>64</v>
      </c>
      <c r="B50" s="279"/>
      <c r="C50" s="16" t="s">
        <v>96</v>
      </c>
      <c r="D50" s="12"/>
      <c r="F50" s="604"/>
      <c r="G50" s="605" t="s">
        <v>1095</v>
      </c>
      <c r="H50" s="16" t="s">
        <v>776</v>
      </c>
      <c r="I50" s="12"/>
      <c r="J50" s="47"/>
      <c r="K50" s="16" t="s">
        <v>327</v>
      </c>
      <c r="L50" s="16" t="s">
        <v>330</v>
      </c>
      <c r="M50" s="16"/>
      <c r="N50" s="12"/>
      <c r="P50" s="608" t="s">
        <v>345</v>
      </c>
      <c r="Q50" s="605" t="s">
        <v>607</v>
      </c>
      <c r="R50" s="16" t="s">
        <v>776</v>
      </c>
      <c r="S50" s="12"/>
      <c r="U50" s="618"/>
      <c r="V50" s="16"/>
    </row>
    <row r="51">
      <c r="A51" s="22" t="s">
        <v>71</v>
      </c>
      <c r="B51" s="583" t="s">
        <v>855</v>
      </c>
      <c r="C51" s="279"/>
      <c r="D51" s="12"/>
      <c r="F51" s="608" t="s">
        <v>1912</v>
      </c>
      <c r="G51" s="605" t="s">
        <v>1114</v>
      </c>
      <c r="H51" s="22" t="s">
        <v>1229</v>
      </c>
      <c r="I51" s="12"/>
      <c r="J51" s="47"/>
      <c r="K51" s="279"/>
      <c r="L51" s="583" t="s">
        <v>828</v>
      </c>
      <c r="M51" s="605" t="s">
        <v>217</v>
      </c>
      <c r="N51" s="12"/>
      <c r="P51" s="584" t="s">
        <v>1522</v>
      </c>
      <c r="Q51" s="605" t="s">
        <v>996</v>
      </c>
      <c r="R51" s="619" t="s">
        <v>1646</v>
      </c>
      <c r="S51" s="12"/>
      <c r="U51" s="620"/>
      <c r="V51" s="16"/>
    </row>
    <row r="52">
      <c r="A52" s="22" t="s">
        <v>80</v>
      </c>
      <c r="B52" s="16" t="s">
        <v>132</v>
      </c>
      <c r="C52" s="279"/>
      <c r="D52" s="12"/>
      <c r="F52" s="604"/>
      <c r="G52" s="603"/>
      <c r="H52" s="279"/>
      <c r="I52" s="12"/>
      <c r="J52" s="47"/>
      <c r="K52" s="279"/>
      <c r="L52" s="605" t="s">
        <v>132</v>
      </c>
      <c r="M52" s="279"/>
      <c r="N52" s="12"/>
      <c r="P52" s="604"/>
      <c r="Q52" s="605" t="s">
        <v>907</v>
      </c>
      <c r="R52" s="16" t="s">
        <v>1652</v>
      </c>
      <c r="S52" s="12"/>
      <c r="U52" s="618"/>
      <c r="V52" s="279"/>
    </row>
    <row r="53">
      <c r="A53" s="22" t="s">
        <v>95</v>
      </c>
      <c r="B53" s="279"/>
      <c r="C53" s="16"/>
      <c r="D53" s="12"/>
      <c r="F53" s="584"/>
      <c r="G53" s="603"/>
      <c r="H53" s="279"/>
      <c r="I53" s="12"/>
      <c r="J53" s="47"/>
      <c r="K53" s="16" t="s">
        <v>1273</v>
      </c>
      <c r="L53" s="605" t="s">
        <v>633</v>
      </c>
      <c r="M53" s="279"/>
      <c r="N53" s="12"/>
      <c r="P53" s="584" t="s">
        <v>285</v>
      </c>
      <c r="Q53" s="603"/>
      <c r="R53" s="16" t="s">
        <v>96</v>
      </c>
      <c r="S53" s="12"/>
      <c r="U53" s="617"/>
      <c r="V53" s="279"/>
    </row>
    <row r="55">
      <c r="B55" s="621">
        <v>44898.0</v>
      </c>
      <c r="F55" s="621">
        <v>44900.0</v>
      </c>
      <c r="G55" s="621">
        <v>44901.0</v>
      </c>
      <c r="H55" s="621">
        <v>44902.0</v>
      </c>
      <c r="I55" s="621">
        <v>44905.0</v>
      </c>
      <c r="K55" s="621">
        <v>44907.0</v>
      </c>
      <c r="L55" s="621">
        <v>44908.0</v>
      </c>
      <c r="M55" s="621">
        <v>44910.0</v>
      </c>
      <c r="N55" s="621">
        <v>44912.0</v>
      </c>
      <c r="P55" s="622">
        <v>44914.0</v>
      </c>
      <c r="Q55" s="621">
        <v>44915.0</v>
      </c>
      <c r="R55" s="621">
        <v>44917.0</v>
      </c>
      <c r="S55" s="621">
        <v>44918.0</v>
      </c>
      <c r="U55" s="621">
        <v>44921.0</v>
      </c>
      <c r="V55" s="621">
        <v>44922.0</v>
      </c>
      <c r="W55" s="621">
        <v>44924.0</v>
      </c>
      <c r="X55" s="621">
        <v>44926.0</v>
      </c>
    </row>
    <row r="56">
      <c r="A56" s="43" t="s">
        <v>0</v>
      </c>
      <c r="B56" s="623"/>
      <c r="F56" s="16" t="s">
        <v>435</v>
      </c>
      <c r="G56" s="16" t="s">
        <v>904</v>
      </c>
      <c r="H56" s="16" t="s">
        <v>1020</v>
      </c>
      <c r="I56" s="16" t="s">
        <v>435</v>
      </c>
      <c r="K56" s="16" t="s">
        <v>435</v>
      </c>
      <c r="L56" s="16" t="s">
        <v>904</v>
      </c>
      <c r="M56" s="265"/>
      <c r="N56" s="16"/>
      <c r="P56" s="584" t="s">
        <v>435</v>
      </c>
      <c r="Q56" s="624"/>
      <c r="R56" s="16" t="s">
        <v>1272</v>
      </c>
      <c r="S56" s="16" t="s">
        <v>1542</v>
      </c>
      <c r="U56" s="16" t="s">
        <v>435</v>
      </c>
      <c r="V56" s="16" t="s">
        <v>435</v>
      </c>
      <c r="W56" s="16" t="s">
        <v>435</v>
      </c>
      <c r="X56" s="16" t="s">
        <v>435</v>
      </c>
    </row>
    <row r="57">
      <c r="A57" s="43" t="s">
        <v>5</v>
      </c>
      <c r="B57" s="16" t="s">
        <v>729</v>
      </c>
      <c r="F57" s="16" t="s">
        <v>435</v>
      </c>
      <c r="G57" s="16" t="s">
        <v>1913</v>
      </c>
      <c r="H57" s="16" t="s">
        <v>1044</v>
      </c>
      <c r="I57" s="16" t="s">
        <v>435</v>
      </c>
      <c r="K57" s="16" t="s">
        <v>435</v>
      </c>
      <c r="L57" s="16" t="s">
        <v>329</v>
      </c>
      <c r="M57" s="265"/>
      <c r="N57" s="16"/>
      <c r="P57" s="584" t="s">
        <v>435</v>
      </c>
      <c r="Q57" s="605" t="s">
        <v>1417</v>
      </c>
      <c r="R57" s="16" t="s">
        <v>1044</v>
      </c>
      <c r="S57" s="16" t="s">
        <v>311</v>
      </c>
      <c r="U57" s="16" t="s">
        <v>435</v>
      </c>
      <c r="V57" s="16" t="s">
        <v>435</v>
      </c>
      <c r="W57" s="16" t="s">
        <v>435</v>
      </c>
      <c r="X57" s="16" t="s">
        <v>435</v>
      </c>
    </row>
    <row r="58">
      <c r="A58" s="43" t="s">
        <v>13</v>
      </c>
      <c r="B58" s="16" t="s">
        <v>752</v>
      </c>
      <c r="F58" s="16" t="s">
        <v>435</v>
      </c>
      <c r="G58" s="16"/>
      <c r="H58" s="22" t="s">
        <v>1914</v>
      </c>
      <c r="I58" s="16" t="s">
        <v>435</v>
      </c>
      <c r="K58" s="16" t="s">
        <v>435</v>
      </c>
      <c r="L58" s="16" t="s">
        <v>1020</v>
      </c>
      <c r="M58" s="265"/>
      <c r="N58" s="16" t="s">
        <v>1393</v>
      </c>
      <c r="P58" s="584" t="s">
        <v>435</v>
      </c>
      <c r="Q58" s="605" t="s">
        <v>1430</v>
      </c>
      <c r="R58" s="279"/>
      <c r="S58" s="16" t="s">
        <v>120</v>
      </c>
      <c r="U58" s="16" t="s">
        <v>435</v>
      </c>
      <c r="V58" s="16" t="s">
        <v>435</v>
      </c>
      <c r="W58" s="16" t="s">
        <v>435</v>
      </c>
      <c r="X58" s="16" t="s">
        <v>435</v>
      </c>
    </row>
    <row r="59">
      <c r="A59" s="43" t="s">
        <v>19</v>
      </c>
      <c r="B59" s="16" t="s">
        <v>776</v>
      </c>
      <c r="F59" s="16" t="s">
        <v>435</v>
      </c>
      <c r="G59" s="16"/>
      <c r="H59" s="16" t="s">
        <v>963</v>
      </c>
      <c r="I59" s="16" t="s">
        <v>435</v>
      </c>
      <c r="K59" s="16" t="s">
        <v>435</v>
      </c>
      <c r="M59" s="16" t="s">
        <v>963</v>
      </c>
      <c r="N59" s="16" t="s">
        <v>1405</v>
      </c>
      <c r="P59" s="584" t="s">
        <v>435</v>
      </c>
      <c r="Q59" s="605" t="s">
        <v>1442</v>
      </c>
      <c r="R59" s="16" t="s">
        <v>963</v>
      </c>
      <c r="S59" s="16" t="s">
        <v>281</v>
      </c>
      <c r="U59" s="16" t="s">
        <v>435</v>
      </c>
      <c r="V59" s="16" t="s">
        <v>435</v>
      </c>
      <c r="W59" s="16" t="s">
        <v>435</v>
      </c>
      <c r="X59" s="16" t="s">
        <v>435</v>
      </c>
    </row>
    <row r="60">
      <c r="A60" s="43" t="s">
        <v>39</v>
      </c>
      <c r="B60" s="625"/>
      <c r="F60" s="16" t="s">
        <v>435</v>
      </c>
      <c r="G60" s="16" t="s">
        <v>944</v>
      </c>
      <c r="H60" s="16" t="s">
        <v>1081</v>
      </c>
      <c r="I60" s="22"/>
      <c r="K60" s="16" t="s">
        <v>435</v>
      </c>
      <c r="L60" s="16"/>
      <c r="M60" s="16" t="s">
        <v>980</v>
      </c>
      <c r="N60" s="22"/>
      <c r="P60" s="584" t="s">
        <v>435</v>
      </c>
      <c r="Q60" s="605"/>
      <c r="R60" s="16" t="s">
        <v>980</v>
      </c>
      <c r="U60" s="16" t="s">
        <v>435</v>
      </c>
      <c r="V60" s="16" t="s">
        <v>435</v>
      </c>
      <c r="W60" s="16" t="s">
        <v>435</v>
      </c>
      <c r="X60" s="16" t="s">
        <v>435</v>
      </c>
    </row>
    <row r="61">
      <c r="A61" s="43" t="s">
        <v>45</v>
      </c>
      <c r="B61" s="625"/>
      <c r="F61" s="16" t="s">
        <v>435</v>
      </c>
      <c r="G61" s="605"/>
      <c r="H61" s="16" t="s">
        <v>998</v>
      </c>
      <c r="I61" s="22"/>
      <c r="K61" s="16" t="s">
        <v>435</v>
      </c>
      <c r="L61" s="16"/>
      <c r="M61" s="16" t="s">
        <v>998</v>
      </c>
      <c r="N61" s="22"/>
      <c r="P61" s="584" t="s">
        <v>435</v>
      </c>
      <c r="Q61" s="605"/>
      <c r="R61" s="16" t="s">
        <v>998</v>
      </c>
      <c r="S61" s="22"/>
      <c r="U61" s="16" t="s">
        <v>435</v>
      </c>
      <c r="V61" s="16" t="s">
        <v>435</v>
      </c>
      <c r="W61" s="16" t="s">
        <v>435</v>
      </c>
      <c r="X61" s="16" t="s">
        <v>435</v>
      </c>
    </row>
    <row r="62">
      <c r="A62" s="43" t="s">
        <v>54</v>
      </c>
      <c r="B62" s="625"/>
      <c r="F62" s="626" t="s">
        <v>802</v>
      </c>
      <c r="G62" s="627" t="s">
        <v>17</v>
      </c>
      <c r="H62" s="626" t="s">
        <v>1021</v>
      </c>
      <c r="I62" s="47"/>
      <c r="K62" s="16" t="s">
        <v>1154</v>
      </c>
      <c r="L62" s="16"/>
      <c r="M62" s="16" t="s">
        <v>1021</v>
      </c>
      <c r="N62" s="47"/>
      <c r="P62" s="584"/>
      <c r="Q62" s="605"/>
      <c r="R62" s="16" t="s">
        <v>1021</v>
      </c>
      <c r="U62" s="16" t="s">
        <v>435</v>
      </c>
      <c r="V62" s="16" t="s">
        <v>435</v>
      </c>
      <c r="W62" s="16" t="s">
        <v>435</v>
      </c>
      <c r="X62" s="16" t="s">
        <v>435</v>
      </c>
    </row>
    <row r="63">
      <c r="A63" s="43" t="s">
        <v>64</v>
      </c>
      <c r="B63" s="625"/>
      <c r="F63" s="584" t="s">
        <v>829</v>
      </c>
      <c r="G63" s="604"/>
      <c r="H63" s="584" t="s">
        <v>776</v>
      </c>
      <c r="I63" s="47"/>
      <c r="K63" s="16" t="s">
        <v>730</v>
      </c>
      <c r="L63" s="16" t="s">
        <v>607</v>
      </c>
      <c r="M63" s="16" t="s">
        <v>776</v>
      </c>
      <c r="N63" s="47"/>
      <c r="P63" s="610"/>
      <c r="Q63" s="605" t="s">
        <v>607</v>
      </c>
      <c r="R63" s="16" t="s">
        <v>776</v>
      </c>
      <c r="S63" s="47"/>
      <c r="U63" s="16" t="s">
        <v>435</v>
      </c>
      <c r="V63" s="16" t="s">
        <v>435</v>
      </c>
      <c r="W63" s="16" t="s">
        <v>435</v>
      </c>
      <c r="X63" s="16" t="s">
        <v>435</v>
      </c>
    </row>
    <row r="64">
      <c r="A64" s="43" t="s">
        <v>71</v>
      </c>
      <c r="B64" s="625"/>
      <c r="F64" s="604"/>
      <c r="G64" s="584" t="s">
        <v>979</v>
      </c>
      <c r="H64" s="628"/>
      <c r="I64" s="47"/>
      <c r="K64" s="16" t="s">
        <v>345</v>
      </c>
      <c r="L64" s="16" t="s">
        <v>1274</v>
      </c>
      <c r="M64" s="16" t="s">
        <v>217</v>
      </c>
      <c r="N64" s="47"/>
      <c r="P64" s="629"/>
      <c r="Q64" s="605" t="s">
        <v>907</v>
      </c>
      <c r="R64" s="16"/>
      <c r="S64" s="47"/>
      <c r="U64" s="16" t="s">
        <v>435</v>
      </c>
      <c r="V64" s="16" t="s">
        <v>435</v>
      </c>
      <c r="W64" s="16" t="s">
        <v>435</v>
      </c>
      <c r="X64" s="16" t="s">
        <v>435</v>
      </c>
    </row>
    <row r="65">
      <c r="A65" s="43" t="s">
        <v>80</v>
      </c>
      <c r="B65" s="625"/>
      <c r="F65" s="584" t="s">
        <v>856</v>
      </c>
      <c r="G65" s="584" t="s">
        <v>997</v>
      </c>
      <c r="H65" s="584"/>
      <c r="I65" s="47"/>
      <c r="K65" s="16" t="s">
        <v>881</v>
      </c>
      <c r="L65" s="16" t="s">
        <v>907</v>
      </c>
      <c r="M65" s="16" t="s">
        <v>978</v>
      </c>
      <c r="N65" s="47"/>
      <c r="P65" s="629"/>
      <c r="R65" s="16"/>
      <c r="S65" s="47"/>
      <c r="U65" s="16" t="s">
        <v>435</v>
      </c>
      <c r="V65" s="16" t="s">
        <v>435</v>
      </c>
      <c r="W65" s="16" t="s">
        <v>435</v>
      </c>
      <c r="X65" s="16" t="s">
        <v>435</v>
      </c>
    </row>
    <row r="66">
      <c r="A66" s="609" t="s">
        <v>95</v>
      </c>
      <c r="B66" s="625"/>
      <c r="F66" s="584" t="s">
        <v>881</v>
      </c>
      <c r="G66" s="584"/>
      <c r="H66" s="584"/>
      <c r="I66" s="47"/>
      <c r="K66" s="16"/>
      <c r="L66" s="16"/>
      <c r="M66" s="16"/>
      <c r="N66" s="47"/>
      <c r="P66" s="584"/>
      <c r="Q66" s="605"/>
      <c r="R66" s="16" t="s">
        <v>96</v>
      </c>
      <c r="S66" s="47"/>
      <c r="U66" s="16" t="s">
        <v>435</v>
      </c>
      <c r="V66" s="16" t="s">
        <v>435</v>
      </c>
      <c r="W66" s="16" t="s">
        <v>435</v>
      </c>
      <c r="X66" s="16" t="s">
        <v>435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5.38"/>
    <col customWidth="1" min="3" max="3" width="13.5"/>
    <col customWidth="1" min="5" max="5" width="11.0"/>
    <col customWidth="1" min="6" max="6" width="9.75"/>
    <col customWidth="1" min="9" max="9" width="11.5"/>
    <col customWidth="1" min="11" max="11" width="12.75"/>
    <col customWidth="1" min="12" max="12" width="5.13"/>
    <col customWidth="1" min="14" max="14" width="14.38"/>
    <col customWidth="1" min="18" max="18" width="11.63"/>
    <col customWidth="1" min="19" max="19" width="10.5"/>
  </cols>
  <sheetData>
    <row r="1" hidden="1">
      <c r="A1" s="504"/>
      <c r="B1" s="630">
        <v>45205.0</v>
      </c>
      <c r="C1" s="630">
        <v>45212.0</v>
      </c>
      <c r="D1" s="630">
        <v>45219.0</v>
      </c>
      <c r="E1" s="630">
        <v>45226.0</v>
      </c>
      <c r="F1" s="4"/>
      <c r="G1" s="631">
        <v>45233.0</v>
      </c>
      <c r="H1" s="631">
        <v>45238.0</v>
      </c>
      <c r="I1" s="631">
        <v>45240.0</v>
      </c>
      <c r="J1" s="631">
        <v>45247.0</v>
      </c>
      <c r="K1" s="631">
        <v>45254.0</v>
      </c>
      <c r="L1" s="4"/>
      <c r="M1" s="632">
        <v>45261.0</v>
      </c>
      <c r="N1" s="632">
        <v>45268.0</v>
      </c>
      <c r="O1" s="632">
        <v>45273.0</v>
      </c>
      <c r="P1" s="632">
        <v>45280.0</v>
      </c>
      <c r="Q1" s="632">
        <v>45282.0</v>
      </c>
      <c r="R1" s="632">
        <v>45289.0</v>
      </c>
      <c r="S1" s="4"/>
      <c r="T1" s="4"/>
      <c r="U1" s="4"/>
      <c r="V1" s="4"/>
      <c r="W1" s="4"/>
      <c r="X1" s="4"/>
      <c r="Y1" s="4"/>
      <c r="Z1" s="4"/>
      <c r="AA1" s="4"/>
      <c r="AB1" s="4"/>
    </row>
    <row r="2" hidden="1">
      <c r="A2" s="633" t="s">
        <v>0</v>
      </c>
      <c r="B2" s="143" t="s">
        <v>435</v>
      </c>
      <c r="C2" s="143" t="s">
        <v>435</v>
      </c>
      <c r="D2" s="143" t="s">
        <v>435</v>
      </c>
      <c r="E2" s="143" t="s">
        <v>435</v>
      </c>
      <c r="F2" s="4"/>
      <c r="G2" s="189" t="s">
        <v>435</v>
      </c>
      <c r="H2" s="189" t="s">
        <v>435</v>
      </c>
      <c r="I2" s="189" t="s">
        <v>435</v>
      </c>
      <c r="J2" s="189" t="s">
        <v>435</v>
      </c>
      <c r="K2" s="189" t="s">
        <v>435</v>
      </c>
      <c r="L2" s="4"/>
      <c r="M2" s="189" t="s">
        <v>435</v>
      </c>
      <c r="N2" s="189" t="s">
        <v>435</v>
      </c>
      <c r="O2" s="189" t="s">
        <v>435</v>
      </c>
      <c r="P2" s="189" t="s">
        <v>435</v>
      </c>
      <c r="Q2" s="189" t="s">
        <v>435</v>
      </c>
      <c r="R2" s="143"/>
      <c r="S2" s="4"/>
      <c r="T2" s="4"/>
      <c r="U2" s="4"/>
      <c r="V2" s="4"/>
      <c r="W2" s="4"/>
      <c r="X2" s="4"/>
      <c r="Y2" s="4"/>
      <c r="Z2" s="4"/>
      <c r="AA2" s="4"/>
      <c r="AB2" s="4"/>
    </row>
    <row r="3" hidden="1">
      <c r="A3" s="633" t="s">
        <v>5</v>
      </c>
      <c r="B3" s="143" t="s">
        <v>435</v>
      </c>
      <c r="C3" s="143" t="s">
        <v>435</v>
      </c>
      <c r="D3" s="143" t="s">
        <v>435</v>
      </c>
      <c r="E3" s="143" t="s">
        <v>435</v>
      </c>
      <c r="F3" s="4"/>
      <c r="G3" s="189" t="s">
        <v>435</v>
      </c>
      <c r="H3" s="189" t="s">
        <v>435</v>
      </c>
      <c r="I3" s="189" t="s">
        <v>435</v>
      </c>
      <c r="J3" s="189" t="s">
        <v>435</v>
      </c>
      <c r="K3" s="189" t="s">
        <v>435</v>
      </c>
      <c r="L3" s="4"/>
      <c r="M3" s="189" t="s">
        <v>435</v>
      </c>
      <c r="N3" s="189" t="s">
        <v>435</v>
      </c>
      <c r="O3" s="189" t="s">
        <v>435</v>
      </c>
      <c r="P3" s="189" t="s">
        <v>435</v>
      </c>
      <c r="Q3" s="189" t="s">
        <v>435</v>
      </c>
      <c r="R3" s="143"/>
      <c r="S3" s="4"/>
      <c r="T3" s="4"/>
      <c r="U3" s="4"/>
      <c r="V3" s="4"/>
      <c r="W3" s="4"/>
      <c r="X3" s="4"/>
      <c r="Y3" s="4"/>
      <c r="Z3" s="4"/>
      <c r="AA3" s="4"/>
      <c r="AB3" s="4"/>
    </row>
    <row r="4" hidden="1">
      <c r="A4" s="633" t="s">
        <v>13</v>
      </c>
      <c r="B4" s="143" t="s">
        <v>435</v>
      </c>
      <c r="C4" s="143" t="s">
        <v>435</v>
      </c>
      <c r="D4" s="143" t="s">
        <v>435</v>
      </c>
      <c r="E4" s="143" t="s">
        <v>435</v>
      </c>
      <c r="F4" s="4"/>
      <c r="G4" s="189" t="s">
        <v>435</v>
      </c>
      <c r="H4" s="189" t="s">
        <v>435</v>
      </c>
      <c r="I4" s="189" t="s">
        <v>435</v>
      </c>
      <c r="J4" s="189" t="s">
        <v>435</v>
      </c>
      <c r="K4" s="189" t="s">
        <v>435</v>
      </c>
      <c r="L4" s="4"/>
      <c r="M4" s="189" t="s">
        <v>435</v>
      </c>
      <c r="N4" s="189" t="s">
        <v>435</v>
      </c>
      <c r="O4" s="189" t="s">
        <v>435</v>
      </c>
      <c r="P4" s="189" t="s">
        <v>435</v>
      </c>
      <c r="Q4" s="189" t="s">
        <v>435</v>
      </c>
      <c r="R4" s="143"/>
      <c r="S4" s="4"/>
      <c r="T4" s="4"/>
      <c r="U4" s="4"/>
      <c r="V4" s="4"/>
      <c r="W4" s="4"/>
      <c r="X4" s="4"/>
      <c r="Y4" s="4"/>
      <c r="Z4" s="4"/>
      <c r="AA4" s="4"/>
      <c r="AB4" s="4"/>
    </row>
    <row r="5" hidden="1">
      <c r="A5" s="633" t="s">
        <v>19</v>
      </c>
      <c r="B5" s="143" t="s">
        <v>435</v>
      </c>
      <c r="C5" s="143" t="s">
        <v>435</v>
      </c>
      <c r="D5" s="143" t="s">
        <v>435</v>
      </c>
      <c r="E5" s="143" t="s">
        <v>435</v>
      </c>
      <c r="F5" s="4"/>
      <c r="G5" s="189" t="s">
        <v>435</v>
      </c>
      <c r="H5" s="189" t="s">
        <v>435</v>
      </c>
      <c r="I5" s="189" t="s">
        <v>435</v>
      </c>
      <c r="J5" s="189" t="s">
        <v>435</v>
      </c>
      <c r="K5" s="189" t="s">
        <v>435</v>
      </c>
      <c r="L5" s="4"/>
      <c r="M5" s="189" t="s">
        <v>435</v>
      </c>
      <c r="N5" s="189" t="s">
        <v>435</v>
      </c>
      <c r="O5" s="189" t="s">
        <v>435</v>
      </c>
      <c r="P5" s="189" t="s">
        <v>435</v>
      </c>
      <c r="Q5" s="189" t="s">
        <v>435</v>
      </c>
      <c r="R5" s="143"/>
      <c r="S5" s="4"/>
      <c r="T5" s="4"/>
      <c r="U5" s="4"/>
      <c r="V5" s="4"/>
      <c r="W5" s="4"/>
      <c r="X5" s="4"/>
      <c r="Y5" s="4"/>
      <c r="Z5" s="4"/>
      <c r="AA5" s="4"/>
      <c r="AB5" s="4"/>
    </row>
    <row r="6" hidden="1">
      <c r="A6" s="633" t="s">
        <v>39</v>
      </c>
      <c r="B6" s="143" t="s">
        <v>435</v>
      </c>
      <c r="C6" s="143" t="s">
        <v>435</v>
      </c>
      <c r="D6" s="143" t="s">
        <v>435</v>
      </c>
      <c r="E6" s="143" t="s">
        <v>435</v>
      </c>
      <c r="F6" s="4"/>
      <c r="G6" s="189" t="s">
        <v>435</v>
      </c>
      <c r="H6" s="189" t="s">
        <v>435</v>
      </c>
      <c r="I6" s="189" t="s">
        <v>435</v>
      </c>
      <c r="J6" s="189" t="s">
        <v>435</v>
      </c>
      <c r="K6" s="189" t="s">
        <v>435</v>
      </c>
      <c r="L6" s="4"/>
      <c r="M6" s="189" t="s">
        <v>435</v>
      </c>
      <c r="N6" s="189" t="s">
        <v>435</v>
      </c>
      <c r="O6" s="189" t="s">
        <v>435</v>
      </c>
      <c r="P6" s="189" t="s">
        <v>435</v>
      </c>
      <c r="Q6" s="189" t="s">
        <v>435</v>
      </c>
      <c r="R6" s="143"/>
      <c r="S6" s="4"/>
      <c r="T6" s="4"/>
      <c r="U6" s="4"/>
      <c r="V6" s="4"/>
      <c r="W6" s="4"/>
      <c r="X6" s="4"/>
      <c r="Y6" s="4"/>
      <c r="Z6" s="4"/>
      <c r="AA6" s="4"/>
      <c r="AB6" s="4"/>
    </row>
    <row r="7" hidden="1">
      <c r="A7" s="633" t="s">
        <v>45</v>
      </c>
      <c r="B7" s="143" t="s">
        <v>435</v>
      </c>
      <c r="C7" s="143" t="s">
        <v>435</v>
      </c>
      <c r="D7" s="143" t="s">
        <v>435</v>
      </c>
      <c r="E7" s="143" t="s">
        <v>435</v>
      </c>
      <c r="F7" s="4"/>
      <c r="G7" s="189" t="s">
        <v>435</v>
      </c>
      <c r="H7" s="189" t="s">
        <v>435</v>
      </c>
      <c r="I7" s="189" t="s">
        <v>435</v>
      </c>
      <c r="J7" s="189" t="s">
        <v>435</v>
      </c>
      <c r="K7" s="189" t="s">
        <v>435</v>
      </c>
      <c r="L7" s="4"/>
      <c r="M7" s="189" t="s">
        <v>435</v>
      </c>
      <c r="N7" s="189" t="s">
        <v>435</v>
      </c>
      <c r="O7" s="189" t="s">
        <v>435</v>
      </c>
      <c r="P7" s="189" t="s">
        <v>435</v>
      </c>
      <c r="Q7" s="189" t="s">
        <v>435</v>
      </c>
      <c r="R7" s="143"/>
      <c r="S7" s="4"/>
      <c r="T7" s="4"/>
      <c r="U7" s="4"/>
      <c r="V7" s="4"/>
      <c r="W7" s="4"/>
      <c r="X7" s="4"/>
      <c r="Y7" s="4"/>
      <c r="Z7" s="4"/>
      <c r="AA7" s="4"/>
      <c r="AB7" s="4"/>
    </row>
    <row r="8" hidden="1">
      <c r="A8" s="633" t="s">
        <v>54</v>
      </c>
      <c r="B8" s="143" t="s">
        <v>435</v>
      </c>
      <c r="C8" s="143" t="s">
        <v>435</v>
      </c>
      <c r="D8" s="143" t="s">
        <v>435</v>
      </c>
      <c r="E8" s="143" t="s">
        <v>435</v>
      </c>
      <c r="F8" s="4"/>
      <c r="G8" s="189" t="s">
        <v>435</v>
      </c>
      <c r="H8" s="189" t="s">
        <v>352</v>
      </c>
      <c r="I8" s="189" t="s">
        <v>435</v>
      </c>
      <c r="J8" s="189" t="s">
        <v>435</v>
      </c>
      <c r="K8" s="189" t="s">
        <v>435</v>
      </c>
      <c r="L8" s="4"/>
      <c r="M8" s="189"/>
      <c r="N8" s="189" t="s">
        <v>435</v>
      </c>
      <c r="O8" s="189" t="s">
        <v>435</v>
      </c>
      <c r="P8" s="189" t="s">
        <v>435</v>
      </c>
      <c r="Q8" s="189" t="s">
        <v>435</v>
      </c>
      <c r="R8" s="143"/>
      <c r="S8" s="4"/>
      <c r="T8" s="4"/>
      <c r="U8" s="4"/>
      <c r="V8" s="4"/>
      <c r="W8" s="4"/>
      <c r="X8" s="4"/>
      <c r="Y8" s="4"/>
      <c r="Z8" s="4"/>
      <c r="AA8" s="4"/>
      <c r="AB8" s="4"/>
    </row>
    <row r="9" hidden="1">
      <c r="A9" s="633" t="s">
        <v>64</v>
      </c>
      <c r="B9" s="143" t="s">
        <v>435</v>
      </c>
      <c r="C9" s="143" t="s">
        <v>435</v>
      </c>
      <c r="D9" s="143" t="s">
        <v>435</v>
      </c>
      <c r="E9" s="143" t="s">
        <v>435</v>
      </c>
      <c r="F9" s="4"/>
      <c r="G9" s="189" t="s">
        <v>450</v>
      </c>
      <c r="H9" s="189" t="s">
        <v>435</v>
      </c>
      <c r="I9" s="189" t="s">
        <v>435</v>
      </c>
      <c r="J9" s="189" t="s">
        <v>435</v>
      </c>
      <c r="K9" s="189" t="s">
        <v>435</v>
      </c>
      <c r="L9" s="4"/>
      <c r="M9" s="189"/>
      <c r="N9" s="189" t="s">
        <v>435</v>
      </c>
      <c r="O9" s="189" t="s">
        <v>435</v>
      </c>
      <c r="P9" s="189" t="s">
        <v>435</v>
      </c>
      <c r="Q9" s="189" t="s">
        <v>435</v>
      </c>
      <c r="R9" s="143"/>
      <c r="S9" s="4"/>
      <c r="T9" s="4"/>
      <c r="U9" s="4"/>
      <c r="V9" s="4"/>
      <c r="W9" s="4"/>
      <c r="X9" s="4"/>
      <c r="Y9" s="4"/>
      <c r="Z9" s="4"/>
      <c r="AA9" s="4"/>
      <c r="AB9" s="4"/>
    </row>
    <row r="10" hidden="1">
      <c r="A10" s="633" t="s">
        <v>71</v>
      </c>
      <c r="B10" s="143" t="s">
        <v>435</v>
      </c>
      <c r="C10" s="143" t="s">
        <v>435</v>
      </c>
      <c r="D10" s="143" t="s">
        <v>435</v>
      </c>
      <c r="E10" s="143" t="s">
        <v>435</v>
      </c>
      <c r="F10" s="4"/>
      <c r="G10" s="189" t="s">
        <v>1915</v>
      </c>
      <c r="H10" s="189" t="s">
        <v>435</v>
      </c>
      <c r="I10" s="189" t="s">
        <v>435</v>
      </c>
      <c r="J10" s="189" t="s">
        <v>435</v>
      </c>
      <c r="K10" s="189" t="s">
        <v>435</v>
      </c>
      <c r="L10" s="4"/>
      <c r="M10" s="189" t="s">
        <v>352</v>
      </c>
      <c r="N10" s="189" t="s">
        <v>435</v>
      </c>
      <c r="O10" s="189" t="s">
        <v>435</v>
      </c>
      <c r="P10" s="189" t="s">
        <v>435</v>
      </c>
      <c r="Q10" s="189" t="s">
        <v>352</v>
      </c>
      <c r="R10" s="189" t="s">
        <v>650</v>
      </c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idden="1">
      <c r="A11" s="633" t="s">
        <v>80</v>
      </c>
      <c r="B11" s="143" t="s">
        <v>435</v>
      </c>
      <c r="C11" s="143" t="s">
        <v>435</v>
      </c>
      <c r="D11" s="143" t="s">
        <v>435</v>
      </c>
      <c r="E11" s="143" t="s">
        <v>435</v>
      </c>
      <c r="F11" s="4"/>
      <c r="G11" s="189" t="s">
        <v>435</v>
      </c>
      <c r="H11" s="189" t="s">
        <v>435</v>
      </c>
      <c r="I11" s="189" t="s">
        <v>435</v>
      </c>
      <c r="J11" s="189" t="s">
        <v>435</v>
      </c>
      <c r="K11" s="189" t="s">
        <v>435</v>
      </c>
      <c r="L11" s="4"/>
      <c r="M11" s="189" t="s">
        <v>537</v>
      </c>
      <c r="N11" s="189" t="s">
        <v>435</v>
      </c>
      <c r="O11" s="189" t="s">
        <v>537</v>
      </c>
      <c r="P11" s="189" t="s">
        <v>435</v>
      </c>
      <c r="Q11" s="189" t="s">
        <v>435</v>
      </c>
      <c r="R11" s="135" t="s">
        <v>306</v>
      </c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idden="1">
      <c r="A12" s="633" t="s">
        <v>95</v>
      </c>
      <c r="B12" s="143" t="s">
        <v>283</v>
      </c>
      <c r="C12" s="143" t="s">
        <v>435</v>
      </c>
      <c r="D12" s="143" t="s">
        <v>283</v>
      </c>
      <c r="E12" s="143" t="s">
        <v>435</v>
      </c>
      <c r="F12" s="4"/>
      <c r="G12" s="189" t="s">
        <v>283</v>
      </c>
      <c r="H12" s="189" t="s">
        <v>435</v>
      </c>
      <c r="I12" s="189" t="s">
        <v>435</v>
      </c>
      <c r="J12" s="189" t="s">
        <v>283</v>
      </c>
      <c r="K12" s="189" t="s">
        <v>435</v>
      </c>
      <c r="L12" s="4"/>
      <c r="M12" s="189" t="s">
        <v>283</v>
      </c>
      <c r="N12" s="189" t="s">
        <v>435</v>
      </c>
      <c r="O12" s="189" t="s">
        <v>435</v>
      </c>
      <c r="P12" s="189" t="s">
        <v>283</v>
      </c>
      <c r="Q12" s="189" t="s">
        <v>435</v>
      </c>
      <c r="R12" s="143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idden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634">
        <v>2024.0</v>
      </c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635">
        <v>45296.0</v>
      </c>
      <c r="C15" s="635">
        <v>45303.0</v>
      </c>
      <c r="D15" s="635">
        <v>45310.0</v>
      </c>
      <c r="E15" s="635">
        <v>45317.0</v>
      </c>
      <c r="F15" s="4"/>
      <c r="G15" s="4"/>
      <c r="H15" s="636">
        <v>45324.0</v>
      </c>
      <c r="I15" s="636">
        <v>45331.0</v>
      </c>
      <c r="J15" s="636">
        <v>45338.0</v>
      </c>
      <c r="K15" s="636">
        <v>45345.0</v>
      </c>
      <c r="L15" s="4"/>
      <c r="M15" s="637">
        <v>45352.0</v>
      </c>
      <c r="N15" s="637">
        <v>45357.0</v>
      </c>
      <c r="O15" s="637">
        <v>45359.0</v>
      </c>
      <c r="P15" s="637">
        <v>45364.0</v>
      </c>
      <c r="Q15" s="637">
        <v>45366.0</v>
      </c>
      <c r="R15" s="637">
        <v>45371.0</v>
      </c>
      <c r="S15" s="637">
        <v>45373.0</v>
      </c>
      <c r="T15" s="637">
        <v>45378.0</v>
      </c>
      <c r="U15" s="4"/>
      <c r="V15" s="4"/>
      <c r="W15" s="4"/>
      <c r="X15" s="4"/>
      <c r="Y15" s="4"/>
      <c r="Z15" s="4"/>
      <c r="AA15" s="4"/>
      <c r="AB15" s="4"/>
    </row>
    <row r="16">
      <c r="A16" s="638" t="s">
        <v>0</v>
      </c>
      <c r="B16" s="189" t="s">
        <v>435</v>
      </c>
      <c r="C16" s="189" t="s">
        <v>435</v>
      </c>
      <c r="D16" s="189" t="s">
        <v>435</v>
      </c>
      <c r="E16" s="189" t="s">
        <v>435</v>
      </c>
      <c r="F16" s="4"/>
      <c r="G16" s="4"/>
      <c r="H16" s="189" t="s">
        <v>435</v>
      </c>
      <c r="I16" s="189" t="s">
        <v>435</v>
      </c>
      <c r="J16" s="189" t="s">
        <v>435</v>
      </c>
      <c r="K16" s="189" t="s">
        <v>435</v>
      </c>
      <c r="L16" s="4"/>
      <c r="M16" s="189" t="s">
        <v>435</v>
      </c>
      <c r="N16" s="189" t="s">
        <v>435</v>
      </c>
      <c r="O16" s="189" t="s">
        <v>435</v>
      </c>
      <c r="P16" s="189" t="s">
        <v>435</v>
      </c>
      <c r="Q16" s="189" t="s">
        <v>435</v>
      </c>
      <c r="R16" s="189" t="s">
        <v>435</v>
      </c>
      <c r="S16" s="189" t="s">
        <v>435</v>
      </c>
      <c r="T16" s="189" t="s">
        <v>435</v>
      </c>
      <c r="U16" s="4"/>
      <c r="V16" s="4"/>
      <c r="W16" s="4"/>
      <c r="X16" s="4"/>
      <c r="Y16" s="4"/>
      <c r="Z16" s="4"/>
      <c r="AA16" s="4"/>
      <c r="AB16" s="4"/>
    </row>
    <row r="17">
      <c r="A17" s="638" t="s">
        <v>5</v>
      </c>
      <c r="B17" s="189" t="s">
        <v>435</v>
      </c>
      <c r="C17" s="189" t="s">
        <v>435</v>
      </c>
      <c r="D17" s="189" t="s">
        <v>435</v>
      </c>
      <c r="E17" s="189" t="s">
        <v>435</v>
      </c>
      <c r="F17" s="4"/>
      <c r="G17" s="4"/>
      <c r="H17" s="189" t="s">
        <v>435</v>
      </c>
      <c r="I17" s="189" t="s">
        <v>435</v>
      </c>
      <c r="J17" s="189" t="s">
        <v>435</v>
      </c>
      <c r="K17" s="189" t="s">
        <v>435</v>
      </c>
      <c r="L17" s="4"/>
      <c r="M17" s="189" t="s">
        <v>435</v>
      </c>
      <c r="N17" s="189" t="s">
        <v>435</v>
      </c>
      <c r="O17" s="189" t="s">
        <v>435</v>
      </c>
      <c r="P17" s="189" t="s">
        <v>435</v>
      </c>
      <c r="Q17" s="189" t="s">
        <v>435</v>
      </c>
      <c r="R17" s="189" t="s">
        <v>435</v>
      </c>
      <c r="S17" s="189" t="s">
        <v>435</v>
      </c>
      <c r="T17" s="189" t="s">
        <v>435</v>
      </c>
      <c r="U17" s="4"/>
      <c r="V17" s="4"/>
      <c r="W17" s="4"/>
      <c r="X17" s="4"/>
      <c r="Y17" s="4"/>
      <c r="Z17" s="4"/>
      <c r="AA17" s="4"/>
      <c r="AB17" s="4"/>
    </row>
    <row r="18">
      <c r="A18" s="638" t="s">
        <v>13</v>
      </c>
      <c r="B18" s="189" t="s">
        <v>435</v>
      </c>
      <c r="C18" s="189" t="s">
        <v>435</v>
      </c>
      <c r="D18" s="189" t="s">
        <v>435</v>
      </c>
      <c r="E18" s="189" t="s">
        <v>435</v>
      </c>
      <c r="F18" s="4"/>
      <c r="G18" s="4"/>
      <c r="H18" s="189" t="s">
        <v>435</v>
      </c>
      <c r="I18" s="189" t="s">
        <v>435</v>
      </c>
      <c r="J18" s="189" t="s">
        <v>435</v>
      </c>
      <c r="K18" s="189" t="s">
        <v>435</v>
      </c>
      <c r="L18" s="4"/>
      <c r="M18" s="189" t="s">
        <v>435</v>
      </c>
      <c r="N18" s="189" t="s">
        <v>435</v>
      </c>
      <c r="O18" s="189" t="s">
        <v>435</v>
      </c>
      <c r="P18" s="189" t="s">
        <v>537</v>
      </c>
      <c r="Q18" s="189" t="s">
        <v>435</v>
      </c>
      <c r="R18" s="189" t="s">
        <v>537</v>
      </c>
      <c r="S18" s="189" t="s">
        <v>435</v>
      </c>
      <c r="T18" s="189" t="s">
        <v>435</v>
      </c>
      <c r="U18" s="4"/>
      <c r="V18" s="4"/>
      <c r="W18" s="4"/>
      <c r="X18" s="4"/>
      <c r="Y18" s="4"/>
      <c r="Z18" s="4"/>
      <c r="AA18" s="4"/>
      <c r="AB18" s="4"/>
    </row>
    <row r="19">
      <c r="A19" s="638" t="s">
        <v>19</v>
      </c>
      <c r="B19" s="189" t="s">
        <v>435</v>
      </c>
      <c r="C19" s="189" t="s">
        <v>435</v>
      </c>
      <c r="D19" s="189" t="s">
        <v>435</v>
      </c>
      <c r="E19" s="189" t="s">
        <v>435</v>
      </c>
      <c r="F19" s="4"/>
      <c r="G19" s="4"/>
      <c r="H19" s="189" t="s">
        <v>435</v>
      </c>
      <c r="I19" s="189" t="s">
        <v>435</v>
      </c>
      <c r="J19" s="189" t="s">
        <v>435</v>
      </c>
      <c r="K19" s="189" t="s">
        <v>435</v>
      </c>
      <c r="L19" s="4"/>
      <c r="M19" s="189" t="s">
        <v>435</v>
      </c>
      <c r="N19" s="207" t="s">
        <v>1916</v>
      </c>
      <c r="O19" s="189" t="s">
        <v>435</v>
      </c>
      <c r="P19" s="207" t="s">
        <v>1916</v>
      </c>
      <c r="Q19" s="189" t="s">
        <v>435</v>
      </c>
      <c r="R19" s="189" t="s">
        <v>435</v>
      </c>
      <c r="S19" s="189" t="s">
        <v>435</v>
      </c>
      <c r="T19" s="189" t="s">
        <v>537</v>
      </c>
      <c r="U19" s="4"/>
      <c r="V19" s="4"/>
      <c r="W19" s="4"/>
      <c r="X19" s="4"/>
      <c r="Y19" s="4"/>
      <c r="Z19" s="4"/>
      <c r="AA19" s="4"/>
      <c r="AB19" s="4"/>
    </row>
    <row r="20">
      <c r="A20" s="638" t="s">
        <v>39</v>
      </c>
      <c r="B20" s="189" t="s">
        <v>435</v>
      </c>
      <c r="C20" s="189" t="s">
        <v>435</v>
      </c>
      <c r="D20" s="189" t="s">
        <v>435</v>
      </c>
      <c r="E20" s="189" t="s">
        <v>435</v>
      </c>
      <c r="F20" s="4"/>
      <c r="G20" s="4"/>
      <c r="H20" s="189" t="s">
        <v>435</v>
      </c>
      <c r="I20" s="189" t="s">
        <v>435</v>
      </c>
      <c r="J20" s="189" t="s">
        <v>435</v>
      </c>
      <c r="K20" s="189" t="s">
        <v>435</v>
      </c>
      <c r="L20" s="4"/>
      <c r="M20" s="189" t="s">
        <v>435</v>
      </c>
      <c r="N20" s="189" t="s">
        <v>435</v>
      </c>
      <c r="O20" s="189" t="s">
        <v>435</v>
      </c>
      <c r="P20" s="189" t="s">
        <v>435</v>
      </c>
      <c r="Q20" s="189" t="s">
        <v>435</v>
      </c>
      <c r="R20" s="189" t="s">
        <v>435</v>
      </c>
      <c r="S20" s="189" t="s">
        <v>435</v>
      </c>
      <c r="T20" s="189" t="s">
        <v>435</v>
      </c>
      <c r="U20" s="4"/>
      <c r="V20" s="4"/>
      <c r="W20" s="4"/>
      <c r="X20" s="4"/>
      <c r="Y20" s="4"/>
      <c r="Z20" s="4"/>
      <c r="AA20" s="4"/>
      <c r="AB20" s="4"/>
    </row>
    <row r="21">
      <c r="A21" s="638" t="s">
        <v>45</v>
      </c>
      <c r="B21" s="189" t="s">
        <v>435</v>
      </c>
      <c r="C21" s="189" t="s">
        <v>435</v>
      </c>
      <c r="D21" s="189" t="s">
        <v>435</v>
      </c>
      <c r="E21" s="189" t="s">
        <v>435</v>
      </c>
      <c r="F21" s="4"/>
      <c r="G21" s="4"/>
      <c r="H21" s="189" t="s">
        <v>435</v>
      </c>
      <c r="I21" s="189" t="s">
        <v>435</v>
      </c>
      <c r="J21" s="189" t="s">
        <v>435</v>
      </c>
      <c r="K21" s="189" t="s">
        <v>435</v>
      </c>
      <c r="L21" s="4"/>
      <c r="M21" s="189" t="s">
        <v>435</v>
      </c>
      <c r="N21" s="189" t="s">
        <v>435</v>
      </c>
      <c r="O21" s="189" t="s">
        <v>435</v>
      </c>
      <c r="P21" s="189" t="s">
        <v>435</v>
      </c>
      <c r="Q21" s="189" t="s">
        <v>435</v>
      </c>
      <c r="R21" s="189" t="s">
        <v>435</v>
      </c>
      <c r="S21" s="189" t="s">
        <v>435</v>
      </c>
      <c r="T21" s="189" t="s">
        <v>435</v>
      </c>
      <c r="U21" s="4"/>
      <c r="V21" s="4"/>
      <c r="W21" s="4"/>
      <c r="X21" s="4"/>
      <c r="Y21" s="4"/>
      <c r="Z21" s="4"/>
      <c r="AA21" s="4"/>
      <c r="AB21" s="4"/>
    </row>
    <row r="22">
      <c r="A22" s="638" t="s">
        <v>54</v>
      </c>
      <c r="B22" s="189" t="s">
        <v>435</v>
      </c>
      <c r="C22" s="189" t="s">
        <v>435</v>
      </c>
      <c r="D22" s="189" t="s">
        <v>435</v>
      </c>
      <c r="E22" s="189" t="s">
        <v>435</v>
      </c>
      <c r="F22" s="4"/>
      <c r="G22" s="4"/>
      <c r="H22" s="189" t="s">
        <v>352</v>
      </c>
      <c r="I22" s="189" t="s">
        <v>435</v>
      </c>
      <c r="J22" s="189" t="s">
        <v>435</v>
      </c>
      <c r="K22" s="189" t="s">
        <v>435</v>
      </c>
      <c r="L22" s="4"/>
      <c r="M22" s="189" t="s">
        <v>435</v>
      </c>
      <c r="N22" s="189" t="s">
        <v>435</v>
      </c>
      <c r="O22" s="189" t="s">
        <v>435</v>
      </c>
      <c r="P22" s="189" t="s">
        <v>435</v>
      </c>
      <c r="Q22" s="189" t="s">
        <v>435</v>
      </c>
      <c r="R22" s="189" t="s">
        <v>435</v>
      </c>
      <c r="S22" s="189" t="s">
        <v>435</v>
      </c>
      <c r="T22" s="189" t="s">
        <v>435</v>
      </c>
      <c r="U22" s="4"/>
      <c r="V22" s="4"/>
      <c r="W22" s="4"/>
      <c r="X22" s="4"/>
      <c r="Y22" s="4"/>
      <c r="Z22" s="4"/>
      <c r="AA22" s="4"/>
      <c r="AB22" s="4"/>
    </row>
    <row r="23">
      <c r="A23" s="638" t="s">
        <v>64</v>
      </c>
      <c r="B23" s="189" t="s">
        <v>435</v>
      </c>
      <c r="C23" s="189" t="s">
        <v>435</v>
      </c>
      <c r="D23" s="189" t="s">
        <v>435</v>
      </c>
      <c r="E23" s="189" t="s">
        <v>435</v>
      </c>
      <c r="F23" s="4"/>
      <c r="G23" s="4"/>
      <c r="H23" s="189" t="s">
        <v>435</v>
      </c>
      <c r="I23" s="189" t="s">
        <v>435</v>
      </c>
      <c r="J23" s="189" t="s">
        <v>435</v>
      </c>
      <c r="K23" s="189" t="s">
        <v>435</v>
      </c>
      <c r="L23" s="4"/>
      <c r="M23" s="189" t="s">
        <v>435</v>
      </c>
      <c r="N23" s="189" t="s">
        <v>435</v>
      </c>
      <c r="O23" s="189" t="s">
        <v>435</v>
      </c>
      <c r="P23" s="189" t="s">
        <v>435</v>
      </c>
      <c r="Q23" s="189" t="s">
        <v>435</v>
      </c>
      <c r="R23" s="189" t="s">
        <v>435</v>
      </c>
      <c r="S23" s="189" t="s">
        <v>435</v>
      </c>
      <c r="T23" s="189" t="s">
        <v>435</v>
      </c>
      <c r="U23" s="4"/>
      <c r="V23" s="4"/>
      <c r="W23" s="4"/>
      <c r="X23" s="4"/>
      <c r="Y23" s="4"/>
      <c r="Z23" s="4"/>
      <c r="AA23" s="4"/>
      <c r="AB23" s="4"/>
    </row>
    <row r="24">
      <c r="A24" s="638" t="s">
        <v>71</v>
      </c>
      <c r="B24" s="189" t="s">
        <v>435</v>
      </c>
      <c r="C24" s="189" t="s">
        <v>352</v>
      </c>
      <c r="D24" s="189" t="s">
        <v>352</v>
      </c>
      <c r="E24" s="189" t="s">
        <v>435</v>
      </c>
      <c r="F24" s="4"/>
      <c r="G24" s="4"/>
      <c r="H24" s="189" t="s">
        <v>435</v>
      </c>
      <c r="I24" s="189" t="s">
        <v>435</v>
      </c>
      <c r="J24" s="189" t="s">
        <v>352</v>
      </c>
      <c r="K24" s="189" t="s">
        <v>435</v>
      </c>
      <c r="L24" s="4"/>
      <c r="M24" s="189" t="s">
        <v>435</v>
      </c>
      <c r="N24" s="189" t="s">
        <v>435</v>
      </c>
      <c r="O24" s="189" t="s">
        <v>352</v>
      </c>
      <c r="P24" s="189" t="s">
        <v>435</v>
      </c>
      <c r="Q24" s="469" t="s">
        <v>352</v>
      </c>
      <c r="R24" s="189" t="s">
        <v>435</v>
      </c>
      <c r="S24" s="189" t="s">
        <v>352</v>
      </c>
      <c r="T24" s="189" t="s">
        <v>435</v>
      </c>
      <c r="U24" s="4"/>
      <c r="V24" s="4"/>
      <c r="W24" s="4"/>
      <c r="X24" s="4"/>
      <c r="Y24" s="4"/>
      <c r="Z24" s="4"/>
      <c r="AA24" s="4"/>
      <c r="AB24" s="4"/>
    </row>
    <row r="25">
      <c r="A25" s="638" t="s">
        <v>80</v>
      </c>
      <c r="B25" s="189" t="s">
        <v>537</v>
      </c>
      <c r="C25" s="189" t="s">
        <v>537</v>
      </c>
      <c r="D25" s="189" t="s">
        <v>537</v>
      </c>
      <c r="E25" s="189" t="s">
        <v>435</v>
      </c>
      <c r="F25" s="4"/>
      <c r="G25" s="4"/>
      <c r="H25" s="189" t="s">
        <v>435</v>
      </c>
      <c r="I25" s="189" t="s">
        <v>435</v>
      </c>
      <c r="J25" s="189" t="s">
        <v>435</v>
      </c>
      <c r="K25" s="189" t="s">
        <v>435</v>
      </c>
      <c r="L25" s="4"/>
      <c r="M25" s="189" t="s">
        <v>435</v>
      </c>
      <c r="N25" s="189" t="s">
        <v>435</v>
      </c>
      <c r="O25" s="189" t="s">
        <v>435</v>
      </c>
      <c r="P25" s="189" t="s">
        <v>435</v>
      </c>
      <c r="Q25" s="189" t="s">
        <v>435</v>
      </c>
      <c r="R25" s="189" t="s">
        <v>435</v>
      </c>
      <c r="S25" s="189" t="s">
        <v>435</v>
      </c>
      <c r="T25" s="189" t="s">
        <v>435</v>
      </c>
      <c r="U25" s="4"/>
      <c r="V25" s="4"/>
      <c r="W25" s="4"/>
      <c r="X25" s="4"/>
      <c r="Y25" s="4"/>
      <c r="Z25" s="4"/>
      <c r="AA25" s="4"/>
      <c r="AB25" s="4"/>
    </row>
    <row r="26">
      <c r="A26" s="638" t="s">
        <v>95</v>
      </c>
      <c r="B26" s="189" t="s">
        <v>435</v>
      </c>
      <c r="C26" s="189" t="s">
        <v>435</v>
      </c>
      <c r="D26" s="189" t="s">
        <v>435</v>
      </c>
      <c r="E26" s="189" t="s">
        <v>435</v>
      </c>
      <c r="F26" s="4"/>
      <c r="G26" s="4"/>
      <c r="H26" s="189" t="s">
        <v>435</v>
      </c>
      <c r="I26" s="189" t="s">
        <v>435</v>
      </c>
      <c r="J26" s="189" t="s">
        <v>435</v>
      </c>
      <c r="K26" s="189" t="s">
        <v>435</v>
      </c>
      <c r="L26" s="4"/>
      <c r="M26" s="189" t="s">
        <v>435</v>
      </c>
      <c r="N26" s="189" t="s">
        <v>435</v>
      </c>
      <c r="O26" s="189" t="s">
        <v>435</v>
      </c>
      <c r="P26" s="189" t="s">
        <v>435</v>
      </c>
      <c r="Q26" s="189" t="s">
        <v>435</v>
      </c>
      <c r="R26" s="189" t="s">
        <v>435</v>
      </c>
      <c r="S26" s="189" t="s">
        <v>435</v>
      </c>
      <c r="T26" s="189" t="s">
        <v>435</v>
      </c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639">
        <v>45385.0</v>
      </c>
      <c r="C29" s="639">
        <v>45387.0</v>
      </c>
      <c r="D29" s="639">
        <v>45394.0</v>
      </c>
      <c r="E29" s="639">
        <v>45401.0</v>
      </c>
      <c r="F29" s="639">
        <v>45408.0</v>
      </c>
      <c r="G29" s="4"/>
      <c r="H29" s="640">
        <v>45415.0</v>
      </c>
      <c r="I29" s="640">
        <v>45422.0</v>
      </c>
      <c r="J29" s="640">
        <v>45429.0</v>
      </c>
      <c r="K29" s="640">
        <v>45436.0</v>
      </c>
      <c r="L29" s="4"/>
      <c r="M29" s="641">
        <v>45450.0</v>
      </c>
      <c r="N29" s="641">
        <v>45457.0</v>
      </c>
      <c r="O29" s="641">
        <v>45464.0</v>
      </c>
      <c r="P29" s="641">
        <v>45471.0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638" t="s">
        <v>0</v>
      </c>
      <c r="B30" s="189" t="s">
        <v>435</v>
      </c>
      <c r="C30" s="189" t="s">
        <v>435</v>
      </c>
      <c r="D30" s="189" t="s">
        <v>435</v>
      </c>
      <c r="E30" s="189" t="s">
        <v>435</v>
      </c>
      <c r="F30" s="189" t="s">
        <v>435</v>
      </c>
      <c r="G30" s="4"/>
      <c r="H30" s="189" t="s">
        <v>435</v>
      </c>
      <c r="I30" s="189" t="s">
        <v>435</v>
      </c>
      <c r="J30" s="189" t="s">
        <v>435</v>
      </c>
      <c r="K30" s="201" t="s">
        <v>435</v>
      </c>
      <c r="L30" s="4"/>
      <c r="M30" s="189" t="s">
        <v>435</v>
      </c>
      <c r="N30" s="189" t="s">
        <v>435</v>
      </c>
      <c r="O30" s="189"/>
      <c r="P30" s="189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638" t="s">
        <v>5</v>
      </c>
      <c r="B31" s="189" t="s">
        <v>435</v>
      </c>
      <c r="C31" s="189" t="s">
        <v>435</v>
      </c>
      <c r="D31" s="189" t="s">
        <v>435</v>
      </c>
      <c r="E31" s="189" t="s">
        <v>435</v>
      </c>
      <c r="F31" s="189" t="s">
        <v>435</v>
      </c>
      <c r="G31" s="4"/>
      <c r="H31" s="189" t="s">
        <v>435</v>
      </c>
      <c r="I31" s="189" t="s">
        <v>435</v>
      </c>
      <c r="J31" s="189" t="s">
        <v>435</v>
      </c>
      <c r="K31" s="201" t="s">
        <v>435</v>
      </c>
      <c r="L31" s="4"/>
      <c r="M31" s="189" t="s">
        <v>435</v>
      </c>
      <c r="N31" s="189" t="s">
        <v>435</v>
      </c>
      <c r="O31" s="189"/>
      <c r="P31" s="189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638" t="s">
        <v>13</v>
      </c>
      <c r="B32" s="189" t="s">
        <v>435</v>
      </c>
      <c r="C32" s="189" t="s">
        <v>435</v>
      </c>
      <c r="D32" s="189" t="s">
        <v>435</v>
      </c>
      <c r="E32" s="189" t="s">
        <v>435</v>
      </c>
      <c r="F32" s="189" t="s">
        <v>435</v>
      </c>
      <c r="G32" s="4"/>
      <c r="H32" s="189" t="s">
        <v>435</v>
      </c>
      <c r="I32" s="189" t="s">
        <v>435</v>
      </c>
      <c r="J32" s="189" t="s">
        <v>435</v>
      </c>
      <c r="K32" s="201" t="s">
        <v>435</v>
      </c>
      <c r="L32" s="4"/>
      <c r="M32" s="189" t="s">
        <v>435</v>
      </c>
      <c r="N32" s="189" t="s">
        <v>435</v>
      </c>
      <c r="O32" s="189"/>
      <c r="P32" s="18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638" t="s">
        <v>19</v>
      </c>
      <c r="B33" s="189" t="s">
        <v>537</v>
      </c>
      <c r="C33" s="189" t="s">
        <v>435</v>
      </c>
      <c r="D33" s="69" t="s">
        <v>537</v>
      </c>
      <c r="E33" s="189" t="s">
        <v>435</v>
      </c>
      <c r="F33" s="189" t="s">
        <v>435</v>
      </c>
      <c r="G33" s="4"/>
      <c r="H33" s="189" t="s">
        <v>435</v>
      </c>
      <c r="I33" s="189" t="s">
        <v>435</v>
      </c>
      <c r="J33" s="189" t="s">
        <v>435</v>
      </c>
      <c r="K33" s="201" t="s">
        <v>435</v>
      </c>
      <c r="L33" s="4"/>
      <c r="M33" s="189" t="s">
        <v>435</v>
      </c>
      <c r="N33" s="189" t="s">
        <v>435</v>
      </c>
      <c r="O33" s="189"/>
      <c r="P33" s="18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638" t="s">
        <v>39</v>
      </c>
      <c r="B34" s="189" t="s">
        <v>435</v>
      </c>
      <c r="C34" s="207" t="s">
        <v>1916</v>
      </c>
      <c r="D34" s="189" t="s">
        <v>435</v>
      </c>
      <c r="E34" s="189" t="s">
        <v>435</v>
      </c>
      <c r="F34" s="189" t="s">
        <v>435</v>
      </c>
      <c r="G34" s="4"/>
      <c r="H34" s="189" t="s">
        <v>435</v>
      </c>
      <c r="I34" s="189" t="s">
        <v>435</v>
      </c>
      <c r="J34" s="189" t="s">
        <v>435</v>
      </c>
      <c r="K34" s="201" t="s">
        <v>435</v>
      </c>
      <c r="L34" s="4"/>
      <c r="M34" s="189" t="s">
        <v>435</v>
      </c>
      <c r="N34" s="189" t="s">
        <v>435</v>
      </c>
      <c r="O34" s="189"/>
      <c r="P34" s="18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638" t="s">
        <v>45</v>
      </c>
      <c r="B35" s="189" t="s">
        <v>435</v>
      </c>
      <c r="C35" s="189" t="s">
        <v>435</v>
      </c>
      <c r="D35" s="205" t="s">
        <v>352</v>
      </c>
      <c r="E35" s="189" t="s">
        <v>435</v>
      </c>
      <c r="F35" s="205" t="s">
        <v>352</v>
      </c>
      <c r="G35" s="4"/>
      <c r="H35" s="189" t="s">
        <v>435</v>
      </c>
      <c r="I35" s="189" t="s">
        <v>435</v>
      </c>
      <c r="J35" s="189" t="s">
        <v>435</v>
      </c>
      <c r="K35" s="201" t="s">
        <v>435</v>
      </c>
      <c r="L35" s="4"/>
      <c r="M35" s="189" t="s">
        <v>435</v>
      </c>
      <c r="N35" s="189" t="s">
        <v>435</v>
      </c>
      <c r="O35" s="189"/>
      <c r="P35" s="18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638" t="s">
        <v>54</v>
      </c>
      <c r="B36" s="189" t="s">
        <v>435</v>
      </c>
      <c r="C36" s="189" t="s">
        <v>435</v>
      </c>
      <c r="D36" s="189" t="s">
        <v>435</v>
      </c>
      <c r="E36" s="189" t="s">
        <v>435</v>
      </c>
      <c r="F36" s="189" t="s">
        <v>435</v>
      </c>
      <c r="G36" s="4"/>
      <c r="H36" s="189" t="s">
        <v>435</v>
      </c>
      <c r="I36" s="189" t="s">
        <v>435</v>
      </c>
      <c r="J36" s="189" t="s">
        <v>435</v>
      </c>
      <c r="K36" s="201" t="s">
        <v>435</v>
      </c>
      <c r="L36" s="4"/>
      <c r="M36" s="189" t="s">
        <v>435</v>
      </c>
      <c r="N36" s="189" t="s">
        <v>435</v>
      </c>
      <c r="O36" s="189"/>
      <c r="P36" s="189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638" t="s">
        <v>64</v>
      </c>
      <c r="B37" s="189" t="s">
        <v>435</v>
      </c>
      <c r="C37" s="189" t="s">
        <v>435</v>
      </c>
      <c r="D37" s="189" t="s">
        <v>435</v>
      </c>
      <c r="E37" s="189" t="s">
        <v>435</v>
      </c>
      <c r="F37" s="189" t="s">
        <v>435</v>
      </c>
      <c r="G37" s="4"/>
      <c r="H37" s="189" t="s">
        <v>435</v>
      </c>
      <c r="I37" s="189" t="s">
        <v>435</v>
      </c>
      <c r="J37" s="189" t="s">
        <v>435</v>
      </c>
      <c r="K37" s="201" t="s">
        <v>435</v>
      </c>
      <c r="L37" s="4"/>
      <c r="M37" s="189" t="s">
        <v>435</v>
      </c>
      <c r="N37" s="189" t="s">
        <v>435</v>
      </c>
      <c r="O37" s="189"/>
      <c r="P37" s="18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638" t="s">
        <v>71</v>
      </c>
      <c r="B38" s="189" t="s">
        <v>435</v>
      </c>
      <c r="C38" s="189" t="s">
        <v>435</v>
      </c>
      <c r="D38" s="189" t="s">
        <v>435</v>
      </c>
      <c r="E38" s="189" t="s">
        <v>435</v>
      </c>
      <c r="F38" s="189" t="s">
        <v>435</v>
      </c>
      <c r="G38" s="4"/>
      <c r="H38" s="189" t="s">
        <v>435</v>
      </c>
      <c r="I38" s="189" t="s">
        <v>352</v>
      </c>
      <c r="J38" s="189" t="s">
        <v>435</v>
      </c>
      <c r="K38" s="189" t="s">
        <v>1917</v>
      </c>
      <c r="L38" s="4"/>
      <c r="M38" s="189" t="s">
        <v>435</v>
      </c>
      <c r="N38" s="189" t="s">
        <v>435</v>
      </c>
      <c r="O38" s="189"/>
      <c r="P38" s="18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638" t="s">
        <v>80</v>
      </c>
      <c r="B39" s="189" t="s">
        <v>435</v>
      </c>
      <c r="C39" s="189" t="s">
        <v>435</v>
      </c>
      <c r="D39" s="189" t="s">
        <v>435</v>
      </c>
      <c r="E39" s="189" t="s">
        <v>435</v>
      </c>
      <c r="F39" s="189" t="s">
        <v>435</v>
      </c>
      <c r="G39" s="4"/>
      <c r="H39" s="189" t="s">
        <v>435</v>
      </c>
      <c r="I39" s="189" t="s">
        <v>435</v>
      </c>
      <c r="J39" s="189" t="s">
        <v>435</v>
      </c>
      <c r="K39" s="201" t="s">
        <v>435</v>
      </c>
      <c r="L39" s="4"/>
      <c r="M39" s="189" t="s">
        <v>435</v>
      </c>
      <c r="N39" s="189" t="s">
        <v>435</v>
      </c>
      <c r="O39" s="469" t="s">
        <v>352</v>
      </c>
      <c r="P39" s="189" t="s">
        <v>1917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638" t="s">
        <v>95</v>
      </c>
      <c r="B40" s="189" t="s">
        <v>435</v>
      </c>
      <c r="C40" s="189" t="s">
        <v>435</v>
      </c>
      <c r="D40" s="189" t="s">
        <v>435</v>
      </c>
      <c r="E40" s="189" t="s">
        <v>435</v>
      </c>
      <c r="F40" s="189" t="s">
        <v>435</v>
      </c>
      <c r="G40" s="4"/>
      <c r="H40" s="189" t="s">
        <v>435</v>
      </c>
      <c r="I40" s="189" t="s">
        <v>435</v>
      </c>
      <c r="J40" s="189" t="s">
        <v>435</v>
      </c>
      <c r="K40" s="201" t="s">
        <v>435</v>
      </c>
      <c r="L40" s="4"/>
      <c r="M40" s="189" t="s">
        <v>435</v>
      </c>
      <c r="N40" s="189" t="s">
        <v>435</v>
      </c>
      <c r="O40" s="189"/>
      <c r="P40" s="18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642">
        <v>45478.0</v>
      </c>
      <c r="C43" s="642">
        <v>45485.0</v>
      </c>
      <c r="D43" s="642">
        <v>45492.0</v>
      </c>
      <c r="E43" s="642">
        <v>45499.0</v>
      </c>
      <c r="F43" s="4"/>
      <c r="G43" s="4"/>
      <c r="H43" s="643">
        <v>45511.0</v>
      </c>
      <c r="I43" s="643">
        <v>45513.0</v>
      </c>
      <c r="J43" s="643">
        <v>45518.0</v>
      </c>
      <c r="K43" s="643">
        <v>45532.0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638" t="s">
        <v>0</v>
      </c>
      <c r="B44" s="189" t="s">
        <v>435</v>
      </c>
      <c r="C44" s="61" t="s">
        <v>435</v>
      </c>
      <c r="D44" s="61" t="s">
        <v>435</v>
      </c>
      <c r="E44" s="61" t="s">
        <v>435</v>
      </c>
      <c r="F44" s="4"/>
      <c r="G44" s="4"/>
      <c r="H44" s="189"/>
      <c r="I44" s="189"/>
      <c r="J44" s="189"/>
      <c r="K44" s="18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638" t="s">
        <v>5</v>
      </c>
      <c r="B45" s="189" t="s">
        <v>435</v>
      </c>
      <c r="C45" s="61" t="s">
        <v>435</v>
      </c>
      <c r="D45" s="61" t="s">
        <v>435</v>
      </c>
      <c r="E45" s="61" t="s">
        <v>435</v>
      </c>
      <c r="F45" s="4"/>
      <c r="G45" s="4"/>
      <c r="H45" s="189"/>
      <c r="I45" s="189"/>
      <c r="J45" s="189"/>
      <c r="K45" s="18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638" t="s">
        <v>13</v>
      </c>
      <c r="B46" s="189" t="s">
        <v>435</v>
      </c>
      <c r="C46" s="61" t="s">
        <v>435</v>
      </c>
      <c r="D46" s="61" t="s">
        <v>435</v>
      </c>
      <c r="E46" s="61" t="s">
        <v>435</v>
      </c>
      <c r="F46" s="4"/>
      <c r="G46" s="4"/>
      <c r="H46" s="189"/>
      <c r="I46" s="189"/>
      <c r="J46" s="189"/>
      <c r="K46" s="18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638" t="s">
        <v>19</v>
      </c>
      <c r="B47" s="189" t="s">
        <v>435</v>
      </c>
      <c r="C47" s="61" t="s">
        <v>435</v>
      </c>
      <c r="D47" s="61" t="s">
        <v>435</v>
      </c>
      <c r="E47" s="61" t="s">
        <v>435</v>
      </c>
      <c r="F47" s="4"/>
      <c r="G47" s="4"/>
      <c r="H47" s="189"/>
      <c r="I47" s="189"/>
      <c r="J47" s="189"/>
      <c r="K47" s="18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638" t="s">
        <v>39</v>
      </c>
      <c r="B48" s="189" t="s">
        <v>435</v>
      </c>
      <c r="C48" s="61" t="s">
        <v>435</v>
      </c>
      <c r="D48" s="61" t="s">
        <v>435</v>
      </c>
      <c r="E48" s="61" t="s">
        <v>435</v>
      </c>
      <c r="F48" s="4"/>
      <c r="G48" s="4"/>
      <c r="H48" s="189"/>
      <c r="I48" s="189"/>
      <c r="J48" s="189"/>
      <c r="K48" s="18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638" t="s">
        <v>45</v>
      </c>
      <c r="B49" s="189" t="s">
        <v>435</v>
      </c>
      <c r="C49" s="61" t="s">
        <v>435</v>
      </c>
      <c r="D49" s="61" t="s">
        <v>435</v>
      </c>
      <c r="E49" s="61" t="s">
        <v>435</v>
      </c>
      <c r="F49" s="4"/>
      <c r="G49" s="4"/>
      <c r="H49" s="189"/>
      <c r="I49" s="189"/>
      <c r="J49" s="189"/>
      <c r="K49" s="18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638" t="s">
        <v>54</v>
      </c>
      <c r="B50" s="189" t="s">
        <v>435</v>
      </c>
      <c r="C50" s="61" t="s">
        <v>435</v>
      </c>
      <c r="D50" s="61" t="s">
        <v>435</v>
      </c>
      <c r="E50" s="61" t="s">
        <v>435</v>
      </c>
      <c r="F50" s="4"/>
      <c r="G50" s="4"/>
      <c r="H50" s="189"/>
      <c r="I50" s="189"/>
      <c r="J50" s="189"/>
      <c r="K50" s="18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638" t="s">
        <v>64</v>
      </c>
      <c r="B51" s="189" t="s">
        <v>435</v>
      </c>
      <c r="C51" s="61" t="s">
        <v>435</v>
      </c>
      <c r="D51" s="61" t="s">
        <v>435</v>
      </c>
      <c r="E51" s="61" t="s">
        <v>435</v>
      </c>
      <c r="F51" s="4"/>
      <c r="G51" s="4"/>
      <c r="H51" s="189"/>
      <c r="I51" s="189"/>
      <c r="J51" s="189"/>
      <c r="K51" s="18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638" t="s">
        <v>71</v>
      </c>
      <c r="B52" s="189" t="s">
        <v>435</v>
      </c>
      <c r="C52" s="61" t="s">
        <v>435</v>
      </c>
      <c r="D52" s="61" t="s">
        <v>435</v>
      </c>
      <c r="E52" s="61" t="s">
        <v>435</v>
      </c>
      <c r="F52" s="4"/>
      <c r="G52" s="4"/>
      <c r="H52" s="189"/>
      <c r="I52" s="189"/>
      <c r="J52" s="189"/>
      <c r="K52" s="18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638" t="s">
        <v>80</v>
      </c>
      <c r="B53" s="189" t="s">
        <v>435</v>
      </c>
      <c r="C53" s="61" t="s">
        <v>435</v>
      </c>
      <c r="D53" s="61" t="s">
        <v>435</v>
      </c>
      <c r="E53" s="61" t="s">
        <v>435</v>
      </c>
      <c r="F53" s="4"/>
      <c r="G53" s="4"/>
      <c r="H53" s="189" t="s">
        <v>1917</v>
      </c>
      <c r="I53" s="189"/>
      <c r="J53" s="189"/>
      <c r="K53" s="189" t="s">
        <v>1917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638" t="s">
        <v>95</v>
      </c>
      <c r="B54" s="189" t="s">
        <v>435</v>
      </c>
      <c r="C54" s="61" t="s">
        <v>435</v>
      </c>
      <c r="D54" s="61" t="s">
        <v>435</v>
      </c>
      <c r="E54" s="61" t="s">
        <v>435</v>
      </c>
      <c r="F54" s="4"/>
      <c r="G54" s="4"/>
      <c r="H54" s="189"/>
      <c r="I54" s="189"/>
      <c r="J54" s="189"/>
      <c r="K54" s="18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</sheetData>
  <mergeCells count="1">
    <mergeCell ref="B14:R14"/>
  </mergeCells>
  <drawing r:id="rId4"/>
  <legacyDrawing r:id="rId5"/>
</worksheet>
</file>